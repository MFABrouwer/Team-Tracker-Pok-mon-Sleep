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a25dbf0700dd290/Documenten/"/>
    </mc:Choice>
  </mc:AlternateContent>
  <xr:revisionPtr revIDLastSave="1079" documentId="8_{6217F150-3C97-4805-BFD2-03E1AEDCDB7A}" xr6:coauthVersionLast="47" xr6:coauthVersionMax="47" xr10:uidLastSave="{C44EEA9E-280E-4BB7-9559-F6BB9156F1B2}"/>
  <bookViews>
    <workbookView xWindow="-120" yWindow="-120" windowWidth="29040" windowHeight="16440" xr2:uid="{00000000-000D-0000-FFFF-FFFF00000000}"/>
  </bookViews>
  <sheets>
    <sheet name="Data" sheetId="1" r:id="rId1"/>
    <sheet name="Weekplanner" sheetId="8" r:id="rId2"/>
    <sheet name="Berry Team" sheetId="3" r:id="rId3"/>
    <sheet name="Ingredient Team" sheetId="4" r:id="rId4"/>
    <sheet name="Skill Team" sheetId="5" r:id="rId5"/>
    <sheet name="Advies" sheetId="6" r:id="rId6"/>
    <sheet name="Referentie" sheetId="2" r:id="rId7"/>
    <sheet name="Helper_Ingredien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0" i="1" l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W250" i="1" a="1"/>
  <c r="W250" i="1" s="1"/>
  <c r="W249" i="1" a="1"/>
  <c r="W249" i="1" s="1"/>
  <c r="W248" i="1" a="1"/>
  <c r="W248" i="1" s="1"/>
  <c r="W247" i="1" a="1"/>
  <c r="W247" i="1" s="1"/>
  <c r="W246" i="1" a="1"/>
  <c r="W246" i="1" s="1"/>
  <c r="W245" i="1" a="1"/>
  <c r="W245" i="1" s="1"/>
  <c r="W244" i="1" a="1"/>
  <c r="W244" i="1" s="1"/>
  <c r="W243" i="1"/>
  <c r="W243" i="1" a="1"/>
  <c r="W242" i="1" a="1"/>
  <c r="W242" i="1" s="1"/>
  <c r="W241" i="1" a="1"/>
  <c r="W241" i="1" s="1"/>
  <c r="W240" i="1" a="1"/>
  <c r="W240" i="1" s="1"/>
  <c r="W239" i="1" a="1"/>
  <c r="W239" i="1" s="1"/>
  <c r="W238" i="1" a="1"/>
  <c r="W238" i="1" s="1"/>
  <c r="W237" i="1" a="1"/>
  <c r="W237" i="1" s="1"/>
  <c r="W236" i="1" a="1"/>
  <c r="W236" i="1" s="1"/>
  <c r="W235" i="1"/>
  <c r="W235" i="1" a="1"/>
  <c r="W234" i="1" a="1"/>
  <c r="W234" i="1" s="1"/>
  <c r="W233" i="1" a="1"/>
  <c r="W233" i="1" s="1"/>
  <c r="W232" i="1" a="1"/>
  <c r="W232" i="1" s="1"/>
  <c r="W231" i="1" a="1"/>
  <c r="W231" i="1" s="1"/>
  <c r="W230" i="1" a="1"/>
  <c r="W230" i="1" s="1"/>
  <c r="W229" i="1" a="1"/>
  <c r="W229" i="1" s="1"/>
  <c r="W228" i="1" a="1"/>
  <c r="W228" i="1" s="1"/>
  <c r="W227" i="1"/>
  <c r="W227" i="1" a="1"/>
  <c r="W226" i="1" a="1"/>
  <c r="W226" i="1" s="1"/>
  <c r="W225" i="1" a="1"/>
  <c r="W225" i="1" s="1"/>
  <c r="W224" i="1" a="1"/>
  <c r="W224" i="1" s="1"/>
  <c r="W223" i="1" a="1"/>
  <c r="W223" i="1" s="1"/>
  <c r="W222" i="1" a="1"/>
  <c r="W222" i="1" s="1"/>
  <c r="W221" i="1" a="1"/>
  <c r="W221" i="1" s="1"/>
  <c r="W220" i="1" a="1"/>
  <c r="W220" i="1" s="1"/>
  <c r="W219" i="1"/>
  <c r="W219" i="1" a="1"/>
  <c r="W218" i="1" a="1"/>
  <c r="W218" i="1" s="1"/>
  <c r="W217" i="1" a="1"/>
  <c r="W217" i="1" s="1"/>
  <c r="W216" i="1" a="1"/>
  <c r="W216" i="1" s="1"/>
  <c r="W215" i="1" a="1"/>
  <c r="W215" i="1" s="1"/>
  <c r="W214" i="1" a="1"/>
  <c r="W214" i="1" s="1"/>
  <c r="W213" i="1" a="1"/>
  <c r="W213" i="1" s="1"/>
  <c r="W212" i="1" a="1"/>
  <c r="W212" i="1" s="1"/>
  <c r="W211" i="1"/>
  <c r="W211" i="1" a="1"/>
  <c r="W210" i="1" a="1"/>
  <c r="W210" i="1" s="1"/>
  <c r="W209" i="1" a="1"/>
  <c r="W209" i="1" s="1"/>
  <c r="W208" i="1" a="1"/>
  <c r="W208" i="1" s="1"/>
  <c r="W207" i="1" a="1"/>
  <c r="W207" i="1" s="1"/>
  <c r="W206" i="1" a="1"/>
  <c r="W206" i="1" s="1"/>
  <c r="W205" i="1" a="1"/>
  <c r="W205" i="1" s="1"/>
  <c r="W204" i="1" a="1"/>
  <c r="W204" i="1" s="1"/>
  <c r="W203" i="1"/>
  <c r="W203" i="1" a="1"/>
  <c r="W202" i="1" a="1"/>
  <c r="W202" i="1" s="1"/>
  <c r="W201" i="1" a="1"/>
  <c r="W201" i="1" s="1"/>
  <c r="W200" i="1" a="1"/>
  <c r="W200" i="1" s="1"/>
  <c r="W199" i="1" a="1"/>
  <c r="W199" i="1" s="1"/>
  <c r="W198" i="1" a="1"/>
  <c r="W198" i="1" s="1"/>
  <c r="W197" i="1" a="1"/>
  <c r="W197" i="1" s="1"/>
  <c r="W196" i="1" a="1"/>
  <c r="W196" i="1" s="1"/>
  <c r="W195" i="1"/>
  <c r="W195" i="1" a="1"/>
  <c r="W194" i="1" a="1"/>
  <c r="W194" i="1" s="1"/>
  <c r="W193" i="1" a="1"/>
  <c r="W193" i="1" s="1"/>
  <c r="W192" i="1" a="1"/>
  <c r="W192" i="1" s="1"/>
  <c r="W191" i="1" a="1"/>
  <c r="W191" i="1" s="1"/>
  <c r="W190" i="1" a="1"/>
  <c r="W190" i="1" s="1"/>
  <c r="W189" i="1" a="1"/>
  <c r="W189" i="1" s="1"/>
  <c r="W188" i="1" a="1"/>
  <c r="W188" i="1" s="1"/>
  <c r="W187" i="1"/>
  <c r="W187" i="1" a="1"/>
  <c r="W186" i="1" a="1"/>
  <c r="W186" i="1" s="1"/>
  <c r="W185" i="1" a="1"/>
  <c r="W185" i="1" s="1"/>
  <c r="W184" i="1" a="1"/>
  <c r="W184" i="1" s="1"/>
  <c r="W183" i="1" a="1"/>
  <c r="W183" i="1" s="1"/>
  <c r="W182" i="1" a="1"/>
  <c r="W182" i="1" s="1"/>
  <c r="W181" i="1" a="1"/>
  <c r="W181" i="1" s="1"/>
  <c r="W180" i="1" a="1"/>
  <c r="W180" i="1" s="1"/>
  <c r="W179" i="1"/>
  <c r="W179" i="1" a="1"/>
  <c r="W178" i="1" a="1"/>
  <c r="W178" i="1" s="1"/>
  <c r="W177" i="1" a="1"/>
  <c r="W177" i="1" s="1"/>
  <c r="W176" i="1" a="1"/>
  <c r="W176" i="1" s="1"/>
  <c r="W175" i="1" a="1"/>
  <c r="W175" i="1" s="1"/>
  <c r="W174" i="1" a="1"/>
  <c r="W174" i="1" s="1"/>
  <c r="W173" i="1" a="1"/>
  <c r="W173" i="1" s="1"/>
  <c r="W172" i="1" a="1"/>
  <c r="W172" i="1" s="1"/>
  <c r="W171" i="1"/>
  <c r="W171" i="1" a="1"/>
  <c r="W170" i="1" a="1"/>
  <c r="W170" i="1" s="1"/>
  <c r="W169" i="1" a="1"/>
  <c r="W169" i="1" s="1"/>
  <c r="W168" i="1" a="1"/>
  <c r="W168" i="1" s="1"/>
  <c r="W167" i="1" a="1"/>
  <c r="W167" i="1" s="1"/>
  <c r="W166" i="1" a="1"/>
  <c r="W166" i="1" s="1"/>
  <c r="W165" i="1" a="1"/>
  <c r="W165" i="1" s="1"/>
  <c r="W164" i="1" a="1"/>
  <c r="W164" i="1" s="1"/>
  <c r="W163" i="1"/>
  <c r="W163" i="1" a="1"/>
  <c r="W162" i="1" a="1"/>
  <c r="W162" i="1" s="1"/>
  <c r="W161" i="1" a="1"/>
  <c r="W161" i="1" s="1"/>
  <c r="W160" i="1" a="1"/>
  <c r="W160" i="1" s="1"/>
  <c r="W159" i="1" a="1"/>
  <c r="W159" i="1" s="1"/>
  <c r="W158" i="1" a="1"/>
  <c r="W158" i="1" s="1"/>
  <c r="W157" i="1" a="1"/>
  <c r="W157" i="1" s="1"/>
  <c r="W156" i="1" a="1"/>
  <c r="W156" i="1" s="1"/>
  <c r="W155" i="1"/>
  <c r="W155" i="1" a="1"/>
  <c r="W154" i="1" a="1"/>
  <c r="W154" i="1" s="1"/>
  <c r="W153" i="1" a="1"/>
  <c r="W153" i="1" s="1"/>
  <c r="W152" i="1" a="1"/>
  <c r="W152" i="1" s="1"/>
  <c r="W151" i="1" a="1"/>
  <c r="W151" i="1" s="1"/>
  <c r="W150" i="1" a="1"/>
  <c r="W150" i="1" s="1"/>
  <c r="W149" i="1" a="1"/>
  <c r="W149" i="1" s="1"/>
  <c r="W148" i="1" a="1"/>
  <c r="W148" i="1" s="1"/>
  <c r="W147" i="1"/>
  <c r="W147" i="1" a="1"/>
  <c r="W146" i="1" a="1"/>
  <c r="W146" i="1" s="1"/>
  <c r="W145" i="1" a="1"/>
  <c r="W145" i="1" s="1"/>
  <c r="W144" i="1" a="1"/>
  <c r="W144" i="1" s="1"/>
  <c r="W143" i="1" a="1"/>
  <c r="W143" i="1" s="1"/>
  <c r="W142" i="1" a="1"/>
  <c r="W142" i="1" s="1"/>
  <c r="W141" i="1" a="1"/>
  <c r="W141" i="1" s="1"/>
  <c r="W140" i="1" a="1"/>
  <c r="W140" i="1" s="1"/>
  <c r="W139" i="1"/>
  <c r="W139" i="1" a="1"/>
  <c r="W138" i="1" a="1"/>
  <c r="W138" i="1" s="1"/>
  <c r="W137" i="1" a="1"/>
  <c r="W137" i="1" s="1"/>
  <c r="W136" i="1" a="1"/>
  <c r="W136" i="1" s="1"/>
  <c r="W135" i="1" a="1"/>
  <c r="W135" i="1" s="1"/>
  <c r="W134" i="1" a="1"/>
  <c r="W134" i="1" s="1"/>
  <c r="W133" i="1" a="1"/>
  <c r="W133" i="1" s="1"/>
  <c r="W132" i="1" a="1"/>
  <c r="W132" i="1" s="1"/>
  <c r="W131" i="1"/>
  <c r="W131" i="1" a="1"/>
  <c r="W130" i="1" a="1"/>
  <c r="W130" i="1" s="1"/>
  <c r="W129" i="1" a="1"/>
  <c r="W129" i="1" s="1"/>
  <c r="W128" i="1" a="1"/>
  <c r="W128" i="1" s="1"/>
  <c r="W127" i="1" a="1"/>
  <c r="W127" i="1" s="1"/>
  <c r="W126" i="1" a="1"/>
  <c r="W126" i="1" s="1"/>
  <c r="W125" i="1" a="1"/>
  <c r="W125" i="1" s="1"/>
  <c r="W124" i="1" a="1"/>
  <c r="W124" i="1" s="1"/>
  <c r="W123" i="1"/>
  <c r="W123" i="1" a="1"/>
  <c r="W122" i="1" a="1"/>
  <c r="W122" i="1" s="1"/>
  <c r="W121" i="1" a="1"/>
  <c r="W121" i="1" s="1"/>
  <c r="W120" i="1" a="1"/>
  <c r="W120" i="1" s="1"/>
  <c r="W119" i="1" a="1"/>
  <c r="W119" i="1" s="1"/>
  <c r="W118" i="1" a="1"/>
  <c r="W118" i="1" s="1"/>
  <c r="W117" i="1" a="1"/>
  <c r="W117" i="1" s="1"/>
  <c r="W116" i="1" a="1"/>
  <c r="W116" i="1" s="1"/>
  <c r="W115" i="1"/>
  <c r="W115" i="1" a="1"/>
  <c r="W114" i="1" a="1"/>
  <c r="W114" i="1" s="1"/>
  <c r="W113" i="1" a="1"/>
  <c r="W113" i="1" s="1"/>
  <c r="W112" i="1" a="1"/>
  <c r="W112" i="1" s="1"/>
  <c r="W111" i="1" a="1"/>
  <c r="W111" i="1" s="1"/>
  <c r="W110" i="1" a="1"/>
  <c r="W110" i="1" s="1"/>
  <c r="W109" i="1" a="1"/>
  <c r="W109" i="1" s="1"/>
  <c r="W108" i="1" a="1"/>
  <c r="W108" i="1" s="1"/>
  <c r="W107" i="1"/>
  <c r="W107" i="1" a="1"/>
  <c r="W106" i="1" a="1"/>
  <c r="W106" i="1" s="1"/>
  <c r="W105" i="1" a="1"/>
  <c r="W105" i="1" s="1"/>
  <c r="W104" i="1" a="1"/>
  <c r="W104" i="1" s="1"/>
  <c r="W103" i="1" a="1"/>
  <c r="W103" i="1" s="1"/>
  <c r="W102" i="1" a="1"/>
  <c r="W102" i="1" s="1"/>
  <c r="W101" i="1" a="1"/>
  <c r="W101" i="1" s="1"/>
  <c r="W100" i="1" a="1"/>
  <c r="W100" i="1" s="1"/>
  <c r="W99" i="1"/>
  <c r="W99" i="1" a="1"/>
  <c r="W98" i="1" a="1"/>
  <c r="W98" i="1" s="1"/>
  <c r="W97" i="1" a="1"/>
  <c r="W97" i="1" s="1"/>
  <c r="W96" i="1" a="1"/>
  <c r="W96" i="1" s="1"/>
  <c r="W95" i="1" a="1"/>
  <c r="W95" i="1" s="1"/>
  <c r="W94" i="1" a="1"/>
  <c r="W94" i="1" s="1"/>
  <c r="W93" i="1" a="1"/>
  <c r="W93" i="1" s="1"/>
  <c r="W92" i="1" a="1"/>
  <c r="W92" i="1" s="1"/>
  <c r="W91" i="1"/>
  <c r="W91" i="1" a="1"/>
  <c r="W90" i="1" a="1"/>
  <c r="W90" i="1" s="1"/>
  <c r="W89" i="1" a="1"/>
  <c r="W89" i="1" s="1"/>
  <c r="W88" i="1" a="1"/>
  <c r="W88" i="1" s="1"/>
  <c r="W87" i="1" a="1"/>
  <c r="W87" i="1" s="1"/>
  <c r="W86" i="1" a="1"/>
  <c r="W86" i="1" s="1"/>
  <c r="W85" i="1" a="1"/>
  <c r="W85" i="1" s="1"/>
  <c r="W84" i="1" a="1"/>
  <c r="W84" i="1" s="1"/>
  <c r="W83" i="1"/>
  <c r="W83" i="1" a="1"/>
  <c r="W82" i="1" a="1"/>
  <c r="W82" i="1" s="1"/>
  <c r="W81" i="1" a="1"/>
  <c r="W81" i="1" s="1"/>
  <c r="W80" i="1" a="1"/>
  <c r="W80" i="1" s="1"/>
  <c r="W79" i="1" a="1"/>
  <c r="W79" i="1" s="1"/>
  <c r="W78" i="1" a="1"/>
  <c r="W78" i="1" s="1"/>
  <c r="W77" i="1" a="1"/>
  <c r="W77" i="1" s="1"/>
  <c r="W76" i="1" a="1"/>
  <c r="W76" i="1" s="1"/>
  <c r="W75" i="1"/>
  <c r="W75" i="1" a="1"/>
  <c r="W74" i="1" a="1"/>
  <c r="W74" i="1" s="1"/>
  <c r="W73" i="1" a="1"/>
  <c r="W73" i="1" s="1"/>
  <c r="W72" i="1" a="1"/>
  <c r="W72" i="1" s="1"/>
  <c r="W71" i="1" a="1"/>
  <c r="W71" i="1" s="1"/>
  <c r="W70" i="1" a="1"/>
  <c r="W70" i="1" s="1"/>
  <c r="W69" i="1" a="1"/>
  <c r="W69" i="1" s="1"/>
  <c r="W68" i="1" a="1"/>
  <c r="W68" i="1" s="1"/>
  <c r="W67" i="1"/>
  <c r="W67" i="1" a="1"/>
  <c r="W66" i="1" a="1"/>
  <c r="W66" i="1" s="1"/>
  <c r="W65" i="1" a="1"/>
  <c r="W65" i="1" s="1"/>
  <c r="W64" i="1" a="1"/>
  <c r="W64" i="1" s="1"/>
  <c r="W63" i="1" a="1"/>
  <c r="W63" i="1" s="1"/>
  <c r="W62" i="1" a="1"/>
  <c r="W62" i="1" s="1"/>
  <c r="W61" i="1" a="1"/>
  <c r="W61" i="1" s="1"/>
  <c r="W60" i="1" a="1"/>
  <c r="W60" i="1" s="1"/>
  <c r="W59" i="1"/>
  <c r="W59" i="1" a="1"/>
  <c r="W58" i="1" a="1"/>
  <c r="W58" i="1" s="1"/>
  <c r="W57" i="1" a="1"/>
  <c r="W57" i="1" s="1"/>
  <c r="W56" i="1" a="1"/>
  <c r="W56" i="1" s="1"/>
  <c r="W55" i="1" a="1"/>
  <c r="W55" i="1" s="1"/>
  <c r="W53" i="1" a="1"/>
  <c r="W53" i="1" s="1"/>
  <c r="W52" i="1" a="1"/>
  <c r="W52" i="1" s="1"/>
  <c r="W51" i="1"/>
  <c r="W51" i="1" a="1"/>
  <c r="W50" i="1" a="1"/>
  <c r="W50" i="1" s="1"/>
  <c r="W49" i="1" a="1"/>
  <c r="W49" i="1" s="1"/>
  <c r="W48" i="1" a="1"/>
  <c r="W48" i="1" s="1"/>
  <c r="W47" i="1" a="1"/>
  <c r="W47" i="1" s="1"/>
  <c r="W46" i="1" a="1"/>
  <c r="W46" i="1" s="1"/>
  <c r="W45" i="1" a="1"/>
  <c r="W45" i="1" s="1"/>
  <c r="W44" i="1" a="1"/>
  <c r="W44" i="1" s="1"/>
  <c r="W43" i="1"/>
  <c r="W43" i="1" a="1"/>
  <c r="W42" i="1" a="1"/>
  <c r="W42" i="1" s="1"/>
  <c r="W41" i="1" a="1"/>
  <c r="W41" i="1" s="1"/>
  <c r="W40" i="1" a="1"/>
  <c r="W40" i="1" s="1"/>
  <c r="W39" i="1" a="1"/>
  <c r="W39" i="1" s="1"/>
  <c r="W38" i="1" a="1"/>
  <c r="W38" i="1" s="1"/>
  <c r="W37" i="1" a="1"/>
  <c r="W37" i="1" s="1"/>
  <c r="W36" i="1" a="1"/>
  <c r="W36" i="1" s="1"/>
  <c r="W35" i="1"/>
  <c r="W35" i="1" a="1"/>
  <c r="W34" i="1" a="1"/>
  <c r="W34" i="1" s="1"/>
  <c r="W33" i="1" a="1"/>
  <c r="W33" i="1" s="1"/>
  <c r="W32" i="1" a="1"/>
  <c r="W32" i="1" s="1"/>
  <c r="W31" i="1" a="1"/>
  <c r="W31" i="1" s="1"/>
  <c r="W30" i="1" a="1"/>
  <c r="W30" i="1" s="1"/>
  <c r="W29" i="1" a="1"/>
  <c r="W29" i="1" s="1"/>
  <c r="W28" i="1" a="1"/>
  <c r="W28" i="1" s="1"/>
  <c r="W27" i="1"/>
  <c r="W27" i="1" a="1"/>
  <c r="W26" i="1" a="1"/>
  <c r="W26" i="1" s="1"/>
  <c r="W25" i="1" a="1"/>
  <c r="W25" i="1" s="1"/>
  <c r="W24" i="1" a="1"/>
  <c r="W24" i="1" s="1"/>
  <c r="W23" i="1" a="1"/>
  <c r="W23" i="1" s="1"/>
  <c r="W22" i="1" a="1"/>
  <c r="W22" i="1" s="1"/>
  <c r="W21" i="1" a="1"/>
  <c r="W21" i="1" s="1"/>
  <c r="W20" i="1" a="1"/>
  <c r="W20" i="1" s="1"/>
  <c r="W19" i="1"/>
  <c r="W19" i="1" a="1"/>
  <c r="W18" i="1" a="1"/>
  <c r="W18" i="1" s="1"/>
  <c r="W17" i="1" a="1"/>
  <c r="W17" i="1" s="1"/>
  <c r="W16" i="1" a="1"/>
  <c r="W16" i="1" s="1"/>
  <c r="W15" i="1" a="1"/>
  <c r="W15" i="1" s="1"/>
  <c r="W14" i="1" a="1"/>
  <c r="W14" i="1" s="1"/>
  <c r="W13" i="1" a="1"/>
  <c r="W13" i="1" s="1"/>
  <c r="W12" i="1" a="1"/>
  <c r="W12" i="1" s="1"/>
  <c r="W11" i="1"/>
  <c r="W11" i="1" a="1"/>
  <c r="W10" i="1" a="1"/>
  <c r="W10" i="1" s="1"/>
  <c r="W9" i="1" a="1"/>
  <c r="W9" i="1" s="1"/>
  <c r="W8" i="1" a="1"/>
  <c r="W8" i="1" s="1"/>
  <c r="W7" i="1" a="1"/>
  <c r="W7" i="1" s="1"/>
  <c r="W6" i="1" a="1"/>
  <c r="W6" i="1" s="1"/>
  <c r="W5" i="1" a="1"/>
  <c r="W5" i="1" s="1"/>
  <c r="W4" i="1" a="1"/>
  <c r="W4" i="1" s="1"/>
  <c r="W3" i="1"/>
  <c r="W3" i="1" a="1"/>
  <c r="W2" i="1" a="1"/>
  <c r="W2" i="1" s="1"/>
  <c r="D53" i="1"/>
  <c r="V56" i="1"/>
  <c r="V55" i="1"/>
  <c r="U56" i="1"/>
  <c r="U55" i="1"/>
  <c r="S56" i="1"/>
  <c r="S55" i="1"/>
  <c r="R56" i="1"/>
  <c r="R55" i="1"/>
  <c r="Q56" i="1"/>
  <c r="Q55" i="1"/>
  <c r="P56" i="1"/>
  <c r="P55" i="1"/>
  <c r="P54" i="1"/>
  <c r="P53" i="1"/>
  <c r="P52" i="1"/>
  <c r="O56" i="1"/>
  <c r="O55" i="1"/>
  <c r="O54" i="1"/>
  <c r="O53" i="1"/>
  <c r="O52" i="1"/>
  <c r="N56" i="1"/>
  <c r="N55" i="1"/>
  <c r="N54" i="1"/>
  <c r="R54" i="1" s="1"/>
  <c r="N53" i="1"/>
  <c r="R53" i="1" s="1"/>
  <c r="N52" i="1"/>
  <c r="D56" i="1"/>
  <c r="D55" i="1"/>
  <c r="D54" i="1"/>
  <c r="D52" i="1"/>
  <c r="D2" i="1"/>
  <c r="AN50" i="8"/>
  <c r="AN49" i="8"/>
  <c r="AN34" i="8"/>
  <c r="AN33" i="8"/>
  <c r="AN18" i="8"/>
  <c r="AN17" i="8"/>
  <c r="AN2" i="8"/>
  <c r="AL51" i="8"/>
  <c r="AL50" i="8"/>
  <c r="AL49" i="8"/>
  <c r="AL48" i="8"/>
  <c r="AL47" i="8"/>
  <c r="AL46" i="8"/>
  <c r="AL45" i="8"/>
  <c r="AL44" i="8"/>
  <c r="AL43" i="8"/>
  <c r="AL42" i="8"/>
  <c r="AL41" i="8"/>
  <c r="AL40" i="8"/>
  <c r="AL39" i="8"/>
  <c r="AL38" i="8"/>
  <c r="AL37" i="8"/>
  <c r="AL36" i="8"/>
  <c r="AL35" i="8"/>
  <c r="AL34" i="8"/>
  <c r="AL33" i="8"/>
  <c r="AL32" i="8"/>
  <c r="AL31" i="8"/>
  <c r="AL30" i="8"/>
  <c r="AL29" i="8"/>
  <c r="AL28" i="8"/>
  <c r="AL27" i="8"/>
  <c r="AL26" i="8"/>
  <c r="AL25" i="8"/>
  <c r="AL24" i="8"/>
  <c r="AL23" i="8"/>
  <c r="AL22" i="8"/>
  <c r="AL21" i="8"/>
  <c r="AL20" i="8"/>
  <c r="AL19" i="8"/>
  <c r="AL18" i="8"/>
  <c r="AL17" i="8"/>
  <c r="AL16" i="8"/>
  <c r="AL15" i="8"/>
  <c r="AL14" i="8"/>
  <c r="AL13" i="8"/>
  <c r="AL12" i="8"/>
  <c r="AL11" i="8"/>
  <c r="AL10" i="8"/>
  <c r="AL9" i="8"/>
  <c r="AL8" i="8"/>
  <c r="AL7" i="8"/>
  <c r="AL6" i="8"/>
  <c r="AL5" i="8"/>
  <c r="AL4" i="8"/>
  <c r="AL3" i="8"/>
  <c r="AL2" i="8"/>
  <c r="AK51" i="8"/>
  <c r="AK50" i="8"/>
  <c r="AK49" i="8"/>
  <c r="AK48" i="8"/>
  <c r="AK47" i="8"/>
  <c r="AK46" i="8"/>
  <c r="AK45" i="8"/>
  <c r="AK44" i="8"/>
  <c r="AK43" i="8"/>
  <c r="AK42" i="8"/>
  <c r="AK41" i="8"/>
  <c r="AK40" i="8"/>
  <c r="AK39" i="8"/>
  <c r="AK38" i="8"/>
  <c r="AK37" i="8"/>
  <c r="AK36" i="8"/>
  <c r="AK35" i="8"/>
  <c r="AK34" i="8"/>
  <c r="AK33" i="8"/>
  <c r="AK32" i="8"/>
  <c r="AK31" i="8"/>
  <c r="AK30" i="8"/>
  <c r="AK29" i="8"/>
  <c r="AK28" i="8"/>
  <c r="AK27" i="8"/>
  <c r="AK26" i="8"/>
  <c r="AK25" i="8"/>
  <c r="AK24" i="8"/>
  <c r="AK23" i="8"/>
  <c r="AK22" i="8"/>
  <c r="AK21" i="8"/>
  <c r="AK20" i="8"/>
  <c r="AK19" i="8"/>
  <c r="AK18" i="8"/>
  <c r="AK17" i="8"/>
  <c r="AK16" i="8"/>
  <c r="AK15" i="8"/>
  <c r="AK14" i="8"/>
  <c r="AK13" i="8"/>
  <c r="AK12" i="8"/>
  <c r="AK11" i="8"/>
  <c r="AK10" i="8"/>
  <c r="AK9" i="8"/>
  <c r="AK8" i="8"/>
  <c r="AK7" i="8"/>
  <c r="AK6" i="8"/>
  <c r="AK5" i="8"/>
  <c r="AK4" i="8"/>
  <c r="AK3" i="8"/>
  <c r="AK2" i="8"/>
  <c r="AJ51" i="8"/>
  <c r="AJ50" i="8"/>
  <c r="AJ49" i="8"/>
  <c r="AJ48" i="8"/>
  <c r="AJ47" i="8"/>
  <c r="AJ46" i="8"/>
  <c r="AJ45" i="8"/>
  <c r="AJ44" i="8"/>
  <c r="AJ43" i="8"/>
  <c r="AJ42" i="8"/>
  <c r="AJ41" i="8"/>
  <c r="AJ40" i="8"/>
  <c r="AJ39" i="8"/>
  <c r="AJ38" i="8"/>
  <c r="AJ37" i="8"/>
  <c r="AJ36" i="8"/>
  <c r="AJ35" i="8"/>
  <c r="AJ34" i="8"/>
  <c r="AJ33" i="8"/>
  <c r="AJ32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J2" i="8"/>
  <c r="AG44" i="8"/>
  <c r="AG43" i="8"/>
  <c r="AG28" i="8"/>
  <c r="AG27" i="8"/>
  <c r="AG12" i="8"/>
  <c r="AG11" i="8"/>
  <c r="AE51" i="8"/>
  <c r="AE50" i="8"/>
  <c r="AE49" i="8"/>
  <c r="AE48" i="8"/>
  <c r="AE47" i="8"/>
  <c r="AE46" i="8"/>
  <c r="AE45" i="8"/>
  <c r="AE44" i="8"/>
  <c r="AE43" i="8"/>
  <c r="AE42" i="8"/>
  <c r="AE41" i="8"/>
  <c r="AE40" i="8"/>
  <c r="AE39" i="8"/>
  <c r="AE38" i="8"/>
  <c r="AE37" i="8"/>
  <c r="AE36" i="8"/>
  <c r="AE35" i="8"/>
  <c r="AE34" i="8"/>
  <c r="AE33" i="8"/>
  <c r="AE32" i="8"/>
  <c r="AE31" i="8"/>
  <c r="AE30" i="8"/>
  <c r="AE29" i="8"/>
  <c r="AE28" i="8"/>
  <c r="AE27" i="8"/>
  <c r="AE26" i="8"/>
  <c r="AE25" i="8"/>
  <c r="AE24" i="8"/>
  <c r="AE23" i="8"/>
  <c r="AE22" i="8"/>
  <c r="AE21" i="8"/>
  <c r="AE20" i="8"/>
  <c r="AE19" i="8"/>
  <c r="AE18" i="8"/>
  <c r="AE17" i="8"/>
  <c r="AE16" i="8"/>
  <c r="AE15" i="8"/>
  <c r="AE14" i="8"/>
  <c r="AE13" i="8"/>
  <c r="AE12" i="8"/>
  <c r="AE11" i="8"/>
  <c r="AE10" i="8"/>
  <c r="AE9" i="8"/>
  <c r="AE8" i="8"/>
  <c r="AE7" i="8"/>
  <c r="AE6" i="8"/>
  <c r="AE5" i="8"/>
  <c r="AE4" i="8"/>
  <c r="AE3" i="8"/>
  <c r="AE2" i="8"/>
  <c r="AD51" i="8"/>
  <c r="AD50" i="8"/>
  <c r="AD49" i="8"/>
  <c r="AD48" i="8"/>
  <c r="AD47" i="8"/>
  <c r="AD46" i="8"/>
  <c r="AD45" i="8"/>
  <c r="AD44" i="8"/>
  <c r="AD43" i="8"/>
  <c r="AD42" i="8"/>
  <c r="AD41" i="8"/>
  <c r="AD40" i="8"/>
  <c r="AD39" i="8"/>
  <c r="AD38" i="8"/>
  <c r="AD37" i="8"/>
  <c r="AD36" i="8"/>
  <c r="AD35" i="8"/>
  <c r="AD34" i="8"/>
  <c r="AD33" i="8"/>
  <c r="AD32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AD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AB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AA36" i="8"/>
  <c r="AA35" i="8"/>
  <c r="AA34" i="8"/>
  <c r="AA33" i="8"/>
  <c r="AA32" i="8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10" i="8"/>
  <c r="AA9" i="8"/>
  <c r="AA8" i="8"/>
  <c r="AA7" i="8"/>
  <c r="AA6" i="8"/>
  <c r="AA5" i="8"/>
  <c r="AA4" i="8"/>
  <c r="AA3" i="8"/>
  <c r="AA2" i="8"/>
  <c r="W42" i="8"/>
  <c r="W41" i="8"/>
  <c r="W26" i="8"/>
  <c r="W25" i="8"/>
  <c r="W10" i="8"/>
  <c r="W9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9" i="8"/>
  <c r="U8" i="8"/>
  <c r="U7" i="8"/>
  <c r="U6" i="8"/>
  <c r="U5" i="8"/>
  <c r="U4" i="8"/>
  <c r="U3" i="8"/>
  <c r="U2" i="8"/>
  <c r="T48" i="8"/>
  <c r="T47" i="8"/>
  <c r="T32" i="8"/>
  <c r="X32" i="8" s="1"/>
  <c r="T31" i="8"/>
  <c r="T16" i="8"/>
  <c r="T15" i="8"/>
  <c r="T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S3" i="8"/>
  <c r="S2" i="8"/>
  <c r="M22" i="6"/>
  <c r="L13" i="6"/>
  <c r="L12" i="6"/>
  <c r="L11" i="6"/>
  <c r="L10" i="6"/>
  <c r="L9" i="6"/>
  <c r="L8" i="6"/>
  <c r="L7" i="6"/>
  <c r="L6" i="6"/>
  <c r="V250" i="1"/>
  <c r="U250" i="1"/>
  <c r="S250" i="1"/>
  <c r="R250" i="1"/>
  <c r="Q250" i="1"/>
  <c r="P250" i="1"/>
  <c r="O250" i="1"/>
  <c r="N250" i="1"/>
  <c r="D250" i="1"/>
  <c r="V249" i="1"/>
  <c r="U249" i="1"/>
  <c r="S249" i="1"/>
  <c r="R249" i="1"/>
  <c r="Q249" i="1"/>
  <c r="P249" i="1"/>
  <c r="O249" i="1"/>
  <c r="N249" i="1"/>
  <c r="D249" i="1"/>
  <c r="V248" i="1"/>
  <c r="U248" i="1"/>
  <c r="S248" i="1"/>
  <c r="R248" i="1"/>
  <c r="Q248" i="1"/>
  <c r="P248" i="1"/>
  <c r="O248" i="1"/>
  <c r="N248" i="1"/>
  <c r="D248" i="1"/>
  <c r="V247" i="1"/>
  <c r="U247" i="1"/>
  <c r="S247" i="1"/>
  <c r="R247" i="1"/>
  <c r="Q247" i="1"/>
  <c r="P247" i="1"/>
  <c r="O247" i="1"/>
  <c r="N247" i="1"/>
  <c r="D247" i="1"/>
  <c r="V246" i="1"/>
  <c r="U246" i="1"/>
  <c r="S246" i="1"/>
  <c r="R246" i="1"/>
  <c r="Q246" i="1"/>
  <c r="P246" i="1"/>
  <c r="O246" i="1"/>
  <c r="N246" i="1"/>
  <c r="D246" i="1"/>
  <c r="V245" i="1"/>
  <c r="U245" i="1"/>
  <c r="S245" i="1"/>
  <c r="R245" i="1"/>
  <c r="Q245" i="1"/>
  <c r="P245" i="1"/>
  <c r="O245" i="1"/>
  <c r="N245" i="1"/>
  <c r="D245" i="1"/>
  <c r="V244" i="1"/>
  <c r="U244" i="1"/>
  <c r="S244" i="1"/>
  <c r="R244" i="1"/>
  <c r="Q244" i="1"/>
  <c r="P244" i="1"/>
  <c r="O244" i="1"/>
  <c r="N244" i="1"/>
  <c r="D244" i="1"/>
  <c r="V243" i="1"/>
  <c r="U243" i="1"/>
  <c r="S243" i="1"/>
  <c r="R243" i="1"/>
  <c r="Q243" i="1"/>
  <c r="P243" i="1"/>
  <c r="O243" i="1"/>
  <c r="N243" i="1"/>
  <c r="D243" i="1"/>
  <c r="V242" i="1"/>
  <c r="U242" i="1"/>
  <c r="S242" i="1"/>
  <c r="R242" i="1"/>
  <c r="Q242" i="1"/>
  <c r="P242" i="1"/>
  <c r="O242" i="1"/>
  <c r="N242" i="1"/>
  <c r="D242" i="1"/>
  <c r="V241" i="1"/>
  <c r="U241" i="1"/>
  <c r="S241" i="1"/>
  <c r="R241" i="1"/>
  <c r="Q241" i="1"/>
  <c r="P241" i="1"/>
  <c r="O241" i="1"/>
  <c r="N241" i="1"/>
  <c r="D241" i="1"/>
  <c r="V240" i="1"/>
  <c r="U240" i="1"/>
  <c r="S240" i="1"/>
  <c r="R240" i="1"/>
  <c r="Q240" i="1"/>
  <c r="P240" i="1"/>
  <c r="O240" i="1"/>
  <c r="N240" i="1"/>
  <c r="D240" i="1"/>
  <c r="V239" i="1"/>
  <c r="U239" i="1"/>
  <c r="S239" i="1"/>
  <c r="R239" i="1"/>
  <c r="Q239" i="1"/>
  <c r="P239" i="1"/>
  <c r="O239" i="1"/>
  <c r="N239" i="1"/>
  <c r="D239" i="1"/>
  <c r="V238" i="1"/>
  <c r="U238" i="1"/>
  <c r="S238" i="1"/>
  <c r="R238" i="1"/>
  <c r="Q238" i="1"/>
  <c r="P238" i="1"/>
  <c r="O238" i="1"/>
  <c r="N238" i="1"/>
  <c r="D238" i="1"/>
  <c r="V237" i="1"/>
  <c r="U237" i="1"/>
  <c r="S237" i="1"/>
  <c r="R237" i="1"/>
  <c r="Q237" i="1"/>
  <c r="P237" i="1"/>
  <c r="O237" i="1"/>
  <c r="N237" i="1"/>
  <c r="D237" i="1"/>
  <c r="V236" i="1"/>
  <c r="U236" i="1"/>
  <c r="S236" i="1"/>
  <c r="R236" i="1"/>
  <c r="Q236" i="1"/>
  <c r="P236" i="1"/>
  <c r="O236" i="1"/>
  <c r="N236" i="1"/>
  <c r="D236" i="1"/>
  <c r="V235" i="1"/>
  <c r="U235" i="1"/>
  <c r="S235" i="1"/>
  <c r="R235" i="1"/>
  <c r="Q235" i="1"/>
  <c r="P235" i="1"/>
  <c r="O235" i="1"/>
  <c r="N235" i="1"/>
  <c r="D235" i="1"/>
  <c r="V234" i="1"/>
  <c r="U234" i="1"/>
  <c r="S234" i="1"/>
  <c r="R234" i="1"/>
  <c r="Q234" i="1"/>
  <c r="P234" i="1"/>
  <c r="O234" i="1"/>
  <c r="N234" i="1"/>
  <c r="D234" i="1"/>
  <c r="V233" i="1"/>
  <c r="U233" i="1"/>
  <c r="S233" i="1"/>
  <c r="R233" i="1"/>
  <c r="Q233" i="1"/>
  <c r="P233" i="1"/>
  <c r="O233" i="1"/>
  <c r="N233" i="1"/>
  <c r="D233" i="1"/>
  <c r="V232" i="1"/>
  <c r="U232" i="1"/>
  <c r="S232" i="1"/>
  <c r="R232" i="1"/>
  <c r="Q232" i="1"/>
  <c r="P232" i="1"/>
  <c r="O232" i="1"/>
  <c r="N232" i="1"/>
  <c r="D232" i="1"/>
  <c r="V231" i="1"/>
  <c r="U231" i="1"/>
  <c r="S231" i="1"/>
  <c r="R231" i="1"/>
  <c r="Q231" i="1"/>
  <c r="P231" i="1"/>
  <c r="O231" i="1"/>
  <c r="N231" i="1"/>
  <c r="D231" i="1"/>
  <c r="V230" i="1"/>
  <c r="U230" i="1"/>
  <c r="S230" i="1"/>
  <c r="R230" i="1"/>
  <c r="Q230" i="1"/>
  <c r="P230" i="1"/>
  <c r="O230" i="1"/>
  <c r="N230" i="1"/>
  <c r="D230" i="1"/>
  <c r="V229" i="1"/>
  <c r="U229" i="1"/>
  <c r="S229" i="1"/>
  <c r="R229" i="1"/>
  <c r="Q229" i="1"/>
  <c r="P229" i="1"/>
  <c r="O229" i="1"/>
  <c r="N229" i="1"/>
  <c r="D229" i="1"/>
  <c r="V228" i="1"/>
  <c r="U228" i="1"/>
  <c r="S228" i="1"/>
  <c r="R228" i="1"/>
  <c r="Q228" i="1"/>
  <c r="P228" i="1"/>
  <c r="O228" i="1"/>
  <c r="N228" i="1"/>
  <c r="D228" i="1"/>
  <c r="V227" i="1"/>
  <c r="U227" i="1"/>
  <c r="S227" i="1"/>
  <c r="R227" i="1"/>
  <c r="Q227" i="1"/>
  <c r="P227" i="1"/>
  <c r="O227" i="1"/>
  <c r="N227" i="1"/>
  <c r="D227" i="1"/>
  <c r="V226" i="1"/>
  <c r="U226" i="1"/>
  <c r="S226" i="1"/>
  <c r="R226" i="1"/>
  <c r="Q226" i="1"/>
  <c r="P226" i="1"/>
  <c r="O226" i="1"/>
  <c r="N226" i="1"/>
  <c r="D226" i="1"/>
  <c r="V225" i="1"/>
  <c r="U225" i="1"/>
  <c r="S225" i="1"/>
  <c r="R225" i="1"/>
  <c r="Q225" i="1"/>
  <c r="P225" i="1"/>
  <c r="O225" i="1"/>
  <c r="N225" i="1"/>
  <c r="D225" i="1"/>
  <c r="V224" i="1"/>
  <c r="U224" i="1"/>
  <c r="S224" i="1"/>
  <c r="R224" i="1"/>
  <c r="Q224" i="1"/>
  <c r="P224" i="1"/>
  <c r="O224" i="1"/>
  <c r="N224" i="1"/>
  <c r="D224" i="1"/>
  <c r="V223" i="1"/>
  <c r="U223" i="1"/>
  <c r="S223" i="1"/>
  <c r="R223" i="1"/>
  <c r="Q223" i="1"/>
  <c r="P223" i="1"/>
  <c r="O223" i="1"/>
  <c r="N223" i="1"/>
  <c r="D223" i="1"/>
  <c r="V222" i="1"/>
  <c r="U222" i="1"/>
  <c r="S222" i="1"/>
  <c r="R222" i="1"/>
  <c r="Q222" i="1"/>
  <c r="P222" i="1"/>
  <c r="O222" i="1"/>
  <c r="N222" i="1"/>
  <c r="D222" i="1"/>
  <c r="V221" i="1"/>
  <c r="U221" i="1"/>
  <c r="S221" i="1"/>
  <c r="R221" i="1"/>
  <c r="Q221" i="1"/>
  <c r="P221" i="1"/>
  <c r="O221" i="1"/>
  <c r="N221" i="1"/>
  <c r="D221" i="1"/>
  <c r="V220" i="1"/>
  <c r="U220" i="1"/>
  <c r="S220" i="1"/>
  <c r="R220" i="1"/>
  <c r="Q220" i="1"/>
  <c r="P220" i="1"/>
  <c r="O220" i="1"/>
  <c r="N220" i="1"/>
  <c r="D220" i="1"/>
  <c r="V219" i="1"/>
  <c r="U219" i="1"/>
  <c r="S219" i="1"/>
  <c r="R219" i="1"/>
  <c r="Q219" i="1"/>
  <c r="P219" i="1"/>
  <c r="O219" i="1"/>
  <c r="N219" i="1"/>
  <c r="D219" i="1"/>
  <c r="V218" i="1"/>
  <c r="U218" i="1"/>
  <c r="S218" i="1"/>
  <c r="R218" i="1"/>
  <c r="Q218" i="1"/>
  <c r="P218" i="1"/>
  <c r="O218" i="1"/>
  <c r="N218" i="1"/>
  <c r="D218" i="1"/>
  <c r="V217" i="1"/>
  <c r="U217" i="1"/>
  <c r="S217" i="1"/>
  <c r="R217" i="1"/>
  <c r="Q217" i="1"/>
  <c r="P217" i="1"/>
  <c r="O217" i="1"/>
  <c r="N217" i="1"/>
  <c r="D217" i="1"/>
  <c r="V216" i="1"/>
  <c r="U216" i="1"/>
  <c r="S216" i="1"/>
  <c r="R216" i="1"/>
  <c r="Q216" i="1"/>
  <c r="P216" i="1"/>
  <c r="O216" i="1"/>
  <c r="N216" i="1"/>
  <c r="D216" i="1"/>
  <c r="V215" i="1"/>
  <c r="U215" i="1"/>
  <c r="S215" i="1"/>
  <c r="R215" i="1"/>
  <c r="Q215" i="1"/>
  <c r="P215" i="1"/>
  <c r="O215" i="1"/>
  <c r="N215" i="1"/>
  <c r="D215" i="1"/>
  <c r="V214" i="1"/>
  <c r="U214" i="1"/>
  <c r="S214" i="1"/>
  <c r="R214" i="1"/>
  <c r="Q214" i="1"/>
  <c r="P214" i="1"/>
  <c r="O214" i="1"/>
  <c r="N214" i="1"/>
  <c r="D214" i="1"/>
  <c r="V213" i="1"/>
  <c r="U213" i="1"/>
  <c r="S213" i="1"/>
  <c r="R213" i="1"/>
  <c r="Q213" i="1"/>
  <c r="P213" i="1"/>
  <c r="O213" i="1"/>
  <c r="N213" i="1"/>
  <c r="D213" i="1"/>
  <c r="V212" i="1"/>
  <c r="U212" i="1"/>
  <c r="S212" i="1"/>
  <c r="R212" i="1"/>
  <c r="Q212" i="1"/>
  <c r="P212" i="1"/>
  <c r="O212" i="1"/>
  <c r="N212" i="1"/>
  <c r="D212" i="1"/>
  <c r="V211" i="1"/>
  <c r="U211" i="1"/>
  <c r="S211" i="1"/>
  <c r="R211" i="1"/>
  <c r="Q211" i="1"/>
  <c r="P211" i="1"/>
  <c r="O211" i="1"/>
  <c r="N211" i="1"/>
  <c r="D211" i="1"/>
  <c r="V210" i="1"/>
  <c r="U210" i="1"/>
  <c r="S210" i="1"/>
  <c r="R210" i="1"/>
  <c r="Q210" i="1"/>
  <c r="P210" i="1"/>
  <c r="O210" i="1"/>
  <c r="N210" i="1"/>
  <c r="D210" i="1"/>
  <c r="V209" i="1"/>
  <c r="U209" i="1"/>
  <c r="S209" i="1"/>
  <c r="R209" i="1"/>
  <c r="Q209" i="1"/>
  <c r="P209" i="1"/>
  <c r="O209" i="1"/>
  <c r="N209" i="1"/>
  <c r="D209" i="1"/>
  <c r="V208" i="1"/>
  <c r="U208" i="1"/>
  <c r="S208" i="1"/>
  <c r="R208" i="1"/>
  <c r="Q208" i="1"/>
  <c r="P208" i="1"/>
  <c r="O208" i="1"/>
  <c r="N208" i="1"/>
  <c r="D208" i="1"/>
  <c r="V207" i="1"/>
  <c r="U207" i="1"/>
  <c r="S207" i="1"/>
  <c r="R207" i="1"/>
  <c r="Q207" i="1"/>
  <c r="P207" i="1"/>
  <c r="O207" i="1"/>
  <c r="N207" i="1"/>
  <c r="D207" i="1"/>
  <c r="V206" i="1"/>
  <c r="U206" i="1"/>
  <c r="S206" i="1"/>
  <c r="R206" i="1"/>
  <c r="Q206" i="1"/>
  <c r="P206" i="1"/>
  <c r="O206" i="1"/>
  <c r="N206" i="1"/>
  <c r="D206" i="1"/>
  <c r="V205" i="1"/>
  <c r="U205" i="1"/>
  <c r="S205" i="1"/>
  <c r="R205" i="1"/>
  <c r="Q205" i="1"/>
  <c r="P205" i="1"/>
  <c r="O205" i="1"/>
  <c r="N205" i="1"/>
  <c r="D205" i="1"/>
  <c r="V204" i="1"/>
  <c r="U204" i="1"/>
  <c r="S204" i="1"/>
  <c r="R204" i="1"/>
  <c r="Q204" i="1"/>
  <c r="P204" i="1"/>
  <c r="O204" i="1"/>
  <c r="N204" i="1"/>
  <c r="D204" i="1"/>
  <c r="V203" i="1"/>
  <c r="U203" i="1"/>
  <c r="S203" i="1"/>
  <c r="R203" i="1"/>
  <c r="Q203" i="1"/>
  <c r="P203" i="1"/>
  <c r="O203" i="1"/>
  <c r="N203" i="1"/>
  <c r="D203" i="1"/>
  <c r="V202" i="1"/>
  <c r="U202" i="1"/>
  <c r="S202" i="1"/>
  <c r="R202" i="1"/>
  <c r="Q202" i="1"/>
  <c r="P202" i="1"/>
  <c r="O202" i="1"/>
  <c r="N202" i="1"/>
  <c r="D202" i="1"/>
  <c r="V201" i="1"/>
  <c r="U201" i="1"/>
  <c r="S201" i="1"/>
  <c r="R201" i="1"/>
  <c r="Q201" i="1"/>
  <c r="P201" i="1"/>
  <c r="O201" i="1"/>
  <c r="N201" i="1"/>
  <c r="D201" i="1"/>
  <c r="V200" i="1"/>
  <c r="U200" i="1"/>
  <c r="S200" i="1"/>
  <c r="R200" i="1"/>
  <c r="Q200" i="1"/>
  <c r="P200" i="1"/>
  <c r="O200" i="1"/>
  <c r="N200" i="1"/>
  <c r="D200" i="1"/>
  <c r="V199" i="1"/>
  <c r="U199" i="1"/>
  <c r="S199" i="1"/>
  <c r="R199" i="1"/>
  <c r="Q199" i="1"/>
  <c r="P199" i="1"/>
  <c r="O199" i="1"/>
  <c r="N199" i="1"/>
  <c r="D199" i="1"/>
  <c r="V198" i="1"/>
  <c r="U198" i="1"/>
  <c r="S198" i="1"/>
  <c r="R198" i="1"/>
  <c r="Q198" i="1"/>
  <c r="P198" i="1"/>
  <c r="O198" i="1"/>
  <c r="N198" i="1"/>
  <c r="D198" i="1"/>
  <c r="V197" i="1"/>
  <c r="U197" i="1"/>
  <c r="S197" i="1"/>
  <c r="R197" i="1"/>
  <c r="Q197" i="1"/>
  <c r="P197" i="1"/>
  <c r="O197" i="1"/>
  <c r="N197" i="1"/>
  <c r="D197" i="1"/>
  <c r="V196" i="1"/>
  <c r="U196" i="1"/>
  <c r="S196" i="1"/>
  <c r="R196" i="1"/>
  <c r="Q196" i="1"/>
  <c r="P196" i="1"/>
  <c r="O196" i="1"/>
  <c r="N196" i="1"/>
  <c r="D196" i="1"/>
  <c r="V195" i="1"/>
  <c r="U195" i="1"/>
  <c r="S195" i="1"/>
  <c r="R195" i="1"/>
  <c r="Q195" i="1"/>
  <c r="P195" i="1"/>
  <c r="O195" i="1"/>
  <c r="N195" i="1"/>
  <c r="D195" i="1"/>
  <c r="V194" i="1"/>
  <c r="U194" i="1"/>
  <c r="S194" i="1"/>
  <c r="R194" i="1"/>
  <c r="Q194" i="1"/>
  <c r="P194" i="1"/>
  <c r="O194" i="1"/>
  <c r="N194" i="1"/>
  <c r="D194" i="1"/>
  <c r="V193" i="1"/>
  <c r="U193" i="1"/>
  <c r="S193" i="1"/>
  <c r="R193" i="1"/>
  <c r="Q193" i="1"/>
  <c r="P193" i="1"/>
  <c r="O193" i="1"/>
  <c r="N193" i="1"/>
  <c r="D193" i="1"/>
  <c r="V192" i="1"/>
  <c r="U192" i="1"/>
  <c r="S192" i="1"/>
  <c r="R192" i="1"/>
  <c r="Q192" i="1"/>
  <c r="P192" i="1"/>
  <c r="O192" i="1"/>
  <c r="N192" i="1"/>
  <c r="D192" i="1"/>
  <c r="V191" i="1"/>
  <c r="U191" i="1"/>
  <c r="S191" i="1"/>
  <c r="R191" i="1"/>
  <c r="Q191" i="1"/>
  <c r="P191" i="1"/>
  <c r="O191" i="1"/>
  <c r="N191" i="1"/>
  <c r="D191" i="1"/>
  <c r="V190" i="1"/>
  <c r="U190" i="1"/>
  <c r="S190" i="1"/>
  <c r="R190" i="1"/>
  <c r="Q190" i="1"/>
  <c r="P190" i="1"/>
  <c r="O190" i="1"/>
  <c r="N190" i="1"/>
  <c r="D190" i="1"/>
  <c r="V189" i="1"/>
  <c r="U189" i="1"/>
  <c r="S189" i="1"/>
  <c r="R189" i="1"/>
  <c r="Q189" i="1"/>
  <c r="P189" i="1"/>
  <c r="O189" i="1"/>
  <c r="N189" i="1"/>
  <c r="D189" i="1"/>
  <c r="V188" i="1"/>
  <c r="U188" i="1"/>
  <c r="S188" i="1"/>
  <c r="R188" i="1"/>
  <c r="Q188" i="1"/>
  <c r="P188" i="1"/>
  <c r="O188" i="1"/>
  <c r="N188" i="1"/>
  <c r="D188" i="1"/>
  <c r="V187" i="1"/>
  <c r="U187" i="1"/>
  <c r="S187" i="1"/>
  <c r="R187" i="1"/>
  <c r="Q187" i="1"/>
  <c r="P187" i="1"/>
  <c r="O187" i="1"/>
  <c r="N187" i="1"/>
  <c r="D187" i="1"/>
  <c r="V186" i="1"/>
  <c r="U186" i="1"/>
  <c r="S186" i="1"/>
  <c r="R186" i="1"/>
  <c r="Q186" i="1"/>
  <c r="P186" i="1"/>
  <c r="O186" i="1"/>
  <c r="N186" i="1"/>
  <c r="D186" i="1"/>
  <c r="V185" i="1"/>
  <c r="U185" i="1"/>
  <c r="S185" i="1"/>
  <c r="R185" i="1"/>
  <c r="Q185" i="1"/>
  <c r="P185" i="1"/>
  <c r="O185" i="1"/>
  <c r="N185" i="1"/>
  <c r="D185" i="1"/>
  <c r="V184" i="1"/>
  <c r="U184" i="1"/>
  <c r="S184" i="1"/>
  <c r="R184" i="1"/>
  <c r="Q184" i="1"/>
  <c r="P184" i="1"/>
  <c r="O184" i="1"/>
  <c r="N184" i="1"/>
  <c r="D184" i="1"/>
  <c r="V183" i="1"/>
  <c r="U183" i="1"/>
  <c r="S183" i="1"/>
  <c r="R183" i="1"/>
  <c r="Q183" i="1"/>
  <c r="P183" i="1"/>
  <c r="O183" i="1"/>
  <c r="N183" i="1"/>
  <c r="D183" i="1"/>
  <c r="V182" i="1"/>
  <c r="U182" i="1"/>
  <c r="S182" i="1"/>
  <c r="R182" i="1"/>
  <c r="Q182" i="1"/>
  <c r="P182" i="1"/>
  <c r="O182" i="1"/>
  <c r="N182" i="1"/>
  <c r="D182" i="1"/>
  <c r="V181" i="1"/>
  <c r="U181" i="1"/>
  <c r="S181" i="1"/>
  <c r="R181" i="1"/>
  <c r="Q181" i="1"/>
  <c r="P181" i="1"/>
  <c r="O181" i="1"/>
  <c r="N181" i="1"/>
  <c r="D181" i="1"/>
  <c r="V180" i="1"/>
  <c r="U180" i="1"/>
  <c r="S180" i="1"/>
  <c r="R180" i="1"/>
  <c r="Q180" i="1"/>
  <c r="P180" i="1"/>
  <c r="O180" i="1"/>
  <c r="N180" i="1"/>
  <c r="D180" i="1"/>
  <c r="V179" i="1"/>
  <c r="U179" i="1"/>
  <c r="S179" i="1"/>
  <c r="R179" i="1"/>
  <c r="Q179" i="1"/>
  <c r="P179" i="1"/>
  <c r="O179" i="1"/>
  <c r="N179" i="1"/>
  <c r="D179" i="1"/>
  <c r="V178" i="1"/>
  <c r="U178" i="1"/>
  <c r="S178" i="1"/>
  <c r="R178" i="1"/>
  <c r="Q178" i="1"/>
  <c r="P178" i="1"/>
  <c r="O178" i="1"/>
  <c r="N178" i="1"/>
  <c r="D178" i="1"/>
  <c r="V177" i="1"/>
  <c r="U177" i="1"/>
  <c r="S177" i="1"/>
  <c r="R177" i="1"/>
  <c r="Q177" i="1"/>
  <c r="P177" i="1"/>
  <c r="O177" i="1"/>
  <c r="N177" i="1"/>
  <c r="D177" i="1"/>
  <c r="V176" i="1"/>
  <c r="U176" i="1"/>
  <c r="S176" i="1"/>
  <c r="R176" i="1"/>
  <c r="Q176" i="1"/>
  <c r="P176" i="1"/>
  <c r="O176" i="1"/>
  <c r="N176" i="1"/>
  <c r="D176" i="1"/>
  <c r="V175" i="1"/>
  <c r="U175" i="1"/>
  <c r="S175" i="1"/>
  <c r="R175" i="1"/>
  <c r="Q175" i="1"/>
  <c r="P175" i="1"/>
  <c r="O175" i="1"/>
  <c r="N175" i="1"/>
  <c r="D175" i="1"/>
  <c r="V174" i="1"/>
  <c r="U174" i="1"/>
  <c r="S174" i="1"/>
  <c r="R174" i="1"/>
  <c r="Q174" i="1"/>
  <c r="P174" i="1"/>
  <c r="O174" i="1"/>
  <c r="N174" i="1"/>
  <c r="D174" i="1"/>
  <c r="V173" i="1"/>
  <c r="U173" i="1"/>
  <c r="S173" i="1"/>
  <c r="R173" i="1"/>
  <c r="Q173" i="1"/>
  <c r="P173" i="1"/>
  <c r="O173" i="1"/>
  <c r="N173" i="1"/>
  <c r="D173" i="1"/>
  <c r="V172" i="1"/>
  <c r="U172" i="1"/>
  <c r="S172" i="1"/>
  <c r="R172" i="1"/>
  <c r="Q172" i="1"/>
  <c r="P172" i="1"/>
  <c r="O172" i="1"/>
  <c r="N172" i="1"/>
  <c r="D172" i="1"/>
  <c r="V171" i="1"/>
  <c r="U171" i="1"/>
  <c r="S171" i="1"/>
  <c r="R171" i="1"/>
  <c r="Q171" i="1"/>
  <c r="P171" i="1"/>
  <c r="O171" i="1"/>
  <c r="N171" i="1"/>
  <c r="D171" i="1"/>
  <c r="V170" i="1"/>
  <c r="U170" i="1"/>
  <c r="S170" i="1"/>
  <c r="R170" i="1"/>
  <c r="Q170" i="1"/>
  <c r="P170" i="1"/>
  <c r="O170" i="1"/>
  <c r="N170" i="1"/>
  <c r="D170" i="1"/>
  <c r="V169" i="1"/>
  <c r="U169" i="1"/>
  <c r="S169" i="1"/>
  <c r="R169" i="1"/>
  <c r="Q169" i="1"/>
  <c r="P169" i="1"/>
  <c r="O169" i="1"/>
  <c r="N169" i="1"/>
  <c r="D169" i="1"/>
  <c r="V168" i="1"/>
  <c r="U168" i="1"/>
  <c r="S168" i="1"/>
  <c r="R168" i="1"/>
  <c r="Q168" i="1"/>
  <c r="P168" i="1"/>
  <c r="O168" i="1"/>
  <c r="N168" i="1"/>
  <c r="D168" i="1"/>
  <c r="V167" i="1"/>
  <c r="U167" i="1"/>
  <c r="S167" i="1"/>
  <c r="R167" i="1"/>
  <c r="Q167" i="1"/>
  <c r="P167" i="1"/>
  <c r="O167" i="1"/>
  <c r="N167" i="1"/>
  <c r="D167" i="1"/>
  <c r="V166" i="1"/>
  <c r="U166" i="1"/>
  <c r="S166" i="1"/>
  <c r="R166" i="1"/>
  <c r="Q166" i="1"/>
  <c r="P166" i="1"/>
  <c r="O166" i="1"/>
  <c r="N166" i="1"/>
  <c r="D166" i="1"/>
  <c r="V165" i="1"/>
  <c r="U165" i="1"/>
  <c r="S165" i="1"/>
  <c r="R165" i="1"/>
  <c r="Q165" i="1"/>
  <c r="P165" i="1"/>
  <c r="O165" i="1"/>
  <c r="N165" i="1"/>
  <c r="D165" i="1"/>
  <c r="V164" i="1"/>
  <c r="U164" i="1"/>
  <c r="S164" i="1"/>
  <c r="R164" i="1"/>
  <c r="Q164" i="1"/>
  <c r="P164" i="1"/>
  <c r="O164" i="1"/>
  <c r="N164" i="1"/>
  <c r="D164" i="1"/>
  <c r="V163" i="1"/>
  <c r="U163" i="1"/>
  <c r="S163" i="1"/>
  <c r="R163" i="1"/>
  <c r="Q163" i="1"/>
  <c r="P163" i="1"/>
  <c r="O163" i="1"/>
  <c r="N163" i="1"/>
  <c r="D163" i="1"/>
  <c r="V162" i="1"/>
  <c r="U162" i="1"/>
  <c r="S162" i="1"/>
  <c r="R162" i="1"/>
  <c r="Q162" i="1"/>
  <c r="P162" i="1"/>
  <c r="O162" i="1"/>
  <c r="N162" i="1"/>
  <c r="D162" i="1"/>
  <c r="V161" i="1"/>
  <c r="U161" i="1"/>
  <c r="S161" i="1"/>
  <c r="R161" i="1"/>
  <c r="Q161" i="1"/>
  <c r="P161" i="1"/>
  <c r="O161" i="1"/>
  <c r="N161" i="1"/>
  <c r="D161" i="1"/>
  <c r="V160" i="1"/>
  <c r="U160" i="1"/>
  <c r="S160" i="1"/>
  <c r="R160" i="1"/>
  <c r="Q160" i="1"/>
  <c r="P160" i="1"/>
  <c r="O160" i="1"/>
  <c r="N160" i="1"/>
  <c r="D160" i="1"/>
  <c r="V159" i="1"/>
  <c r="U159" i="1"/>
  <c r="S159" i="1"/>
  <c r="R159" i="1"/>
  <c r="Q159" i="1"/>
  <c r="P159" i="1"/>
  <c r="O159" i="1"/>
  <c r="N159" i="1"/>
  <c r="D159" i="1"/>
  <c r="V158" i="1"/>
  <c r="U158" i="1"/>
  <c r="S158" i="1"/>
  <c r="R158" i="1"/>
  <c r="Q158" i="1"/>
  <c r="P158" i="1"/>
  <c r="O158" i="1"/>
  <c r="N158" i="1"/>
  <c r="D158" i="1"/>
  <c r="V157" i="1"/>
  <c r="U157" i="1"/>
  <c r="S157" i="1"/>
  <c r="R157" i="1"/>
  <c r="Q157" i="1"/>
  <c r="P157" i="1"/>
  <c r="O157" i="1"/>
  <c r="N157" i="1"/>
  <c r="D157" i="1"/>
  <c r="V156" i="1"/>
  <c r="U156" i="1"/>
  <c r="S156" i="1"/>
  <c r="R156" i="1"/>
  <c r="Q156" i="1"/>
  <c r="P156" i="1"/>
  <c r="O156" i="1"/>
  <c r="N156" i="1"/>
  <c r="D156" i="1"/>
  <c r="V155" i="1"/>
  <c r="U155" i="1"/>
  <c r="S155" i="1"/>
  <c r="R155" i="1"/>
  <c r="Q155" i="1"/>
  <c r="P155" i="1"/>
  <c r="O155" i="1"/>
  <c r="N155" i="1"/>
  <c r="D155" i="1"/>
  <c r="V154" i="1"/>
  <c r="U154" i="1"/>
  <c r="S154" i="1"/>
  <c r="R154" i="1"/>
  <c r="Q154" i="1"/>
  <c r="P154" i="1"/>
  <c r="O154" i="1"/>
  <c r="N154" i="1"/>
  <c r="D154" i="1"/>
  <c r="V153" i="1"/>
  <c r="U153" i="1"/>
  <c r="S153" i="1"/>
  <c r="R153" i="1"/>
  <c r="Q153" i="1"/>
  <c r="P153" i="1"/>
  <c r="O153" i="1"/>
  <c r="N153" i="1"/>
  <c r="D153" i="1"/>
  <c r="V152" i="1"/>
  <c r="U152" i="1"/>
  <c r="S152" i="1"/>
  <c r="R152" i="1"/>
  <c r="Q152" i="1"/>
  <c r="P152" i="1"/>
  <c r="O152" i="1"/>
  <c r="N152" i="1"/>
  <c r="D152" i="1"/>
  <c r="V151" i="1"/>
  <c r="U151" i="1"/>
  <c r="S151" i="1"/>
  <c r="R151" i="1"/>
  <c r="Q151" i="1"/>
  <c r="P151" i="1"/>
  <c r="O151" i="1"/>
  <c r="N151" i="1"/>
  <c r="D151" i="1"/>
  <c r="V150" i="1"/>
  <c r="U150" i="1"/>
  <c r="S150" i="1"/>
  <c r="R150" i="1"/>
  <c r="Q150" i="1"/>
  <c r="P150" i="1"/>
  <c r="O150" i="1"/>
  <c r="N150" i="1"/>
  <c r="D150" i="1"/>
  <c r="V149" i="1"/>
  <c r="U149" i="1"/>
  <c r="S149" i="1"/>
  <c r="R149" i="1"/>
  <c r="Q149" i="1"/>
  <c r="P149" i="1"/>
  <c r="O149" i="1"/>
  <c r="N149" i="1"/>
  <c r="D149" i="1"/>
  <c r="V148" i="1"/>
  <c r="U148" i="1"/>
  <c r="S148" i="1"/>
  <c r="R148" i="1"/>
  <c r="Q148" i="1"/>
  <c r="P148" i="1"/>
  <c r="O148" i="1"/>
  <c r="N148" i="1"/>
  <c r="D148" i="1"/>
  <c r="V147" i="1"/>
  <c r="U147" i="1"/>
  <c r="S147" i="1"/>
  <c r="R147" i="1"/>
  <c r="Q147" i="1"/>
  <c r="P147" i="1"/>
  <c r="O147" i="1"/>
  <c r="N147" i="1"/>
  <c r="D147" i="1"/>
  <c r="V146" i="1"/>
  <c r="U146" i="1"/>
  <c r="S146" i="1"/>
  <c r="R146" i="1"/>
  <c r="Q146" i="1"/>
  <c r="P146" i="1"/>
  <c r="O146" i="1"/>
  <c r="N146" i="1"/>
  <c r="D146" i="1"/>
  <c r="V145" i="1"/>
  <c r="U145" i="1"/>
  <c r="S145" i="1"/>
  <c r="R145" i="1"/>
  <c r="Q145" i="1"/>
  <c r="P145" i="1"/>
  <c r="O145" i="1"/>
  <c r="N145" i="1"/>
  <c r="D145" i="1"/>
  <c r="V144" i="1"/>
  <c r="U144" i="1"/>
  <c r="S144" i="1"/>
  <c r="R144" i="1"/>
  <c r="Q144" i="1"/>
  <c r="P144" i="1"/>
  <c r="O144" i="1"/>
  <c r="N144" i="1"/>
  <c r="D144" i="1"/>
  <c r="V143" i="1"/>
  <c r="U143" i="1"/>
  <c r="S143" i="1"/>
  <c r="R143" i="1"/>
  <c r="Q143" i="1"/>
  <c r="P143" i="1"/>
  <c r="O143" i="1"/>
  <c r="N143" i="1"/>
  <c r="D143" i="1"/>
  <c r="V142" i="1"/>
  <c r="U142" i="1"/>
  <c r="S142" i="1"/>
  <c r="R142" i="1"/>
  <c r="Q142" i="1"/>
  <c r="P142" i="1"/>
  <c r="O142" i="1"/>
  <c r="N142" i="1"/>
  <c r="D142" i="1"/>
  <c r="V141" i="1"/>
  <c r="U141" i="1"/>
  <c r="S141" i="1"/>
  <c r="R141" i="1"/>
  <c r="Q141" i="1"/>
  <c r="P141" i="1"/>
  <c r="O141" i="1"/>
  <c r="N141" i="1"/>
  <c r="D141" i="1"/>
  <c r="V140" i="1"/>
  <c r="U140" i="1"/>
  <c r="S140" i="1"/>
  <c r="R140" i="1"/>
  <c r="Q140" i="1"/>
  <c r="P140" i="1"/>
  <c r="O140" i="1"/>
  <c r="N140" i="1"/>
  <c r="D140" i="1"/>
  <c r="V139" i="1"/>
  <c r="U139" i="1"/>
  <c r="S139" i="1"/>
  <c r="R139" i="1"/>
  <c r="Q139" i="1"/>
  <c r="P139" i="1"/>
  <c r="O139" i="1"/>
  <c r="N139" i="1"/>
  <c r="D139" i="1"/>
  <c r="V138" i="1"/>
  <c r="U138" i="1"/>
  <c r="S138" i="1"/>
  <c r="R138" i="1"/>
  <c r="Q138" i="1"/>
  <c r="P138" i="1"/>
  <c r="O138" i="1"/>
  <c r="N138" i="1"/>
  <c r="D138" i="1"/>
  <c r="V137" i="1"/>
  <c r="U137" i="1"/>
  <c r="S137" i="1"/>
  <c r="R137" i="1"/>
  <c r="Q137" i="1"/>
  <c r="P137" i="1"/>
  <c r="O137" i="1"/>
  <c r="N137" i="1"/>
  <c r="D137" i="1"/>
  <c r="V136" i="1"/>
  <c r="U136" i="1"/>
  <c r="S136" i="1"/>
  <c r="R136" i="1"/>
  <c r="Q136" i="1"/>
  <c r="P136" i="1"/>
  <c r="O136" i="1"/>
  <c r="N136" i="1"/>
  <c r="D136" i="1"/>
  <c r="V135" i="1"/>
  <c r="U135" i="1"/>
  <c r="S135" i="1"/>
  <c r="R135" i="1"/>
  <c r="Q135" i="1"/>
  <c r="P135" i="1"/>
  <c r="O135" i="1"/>
  <c r="N135" i="1"/>
  <c r="D135" i="1"/>
  <c r="V134" i="1"/>
  <c r="U134" i="1"/>
  <c r="S134" i="1"/>
  <c r="R134" i="1"/>
  <c r="Q134" i="1"/>
  <c r="P134" i="1"/>
  <c r="O134" i="1"/>
  <c r="N134" i="1"/>
  <c r="D134" i="1"/>
  <c r="V133" i="1"/>
  <c r="U133" i="1"/>
  <c r="S133" i="1"/>
  <c r="R133" i="1"/>
  <c r="Q133" i="1"/>
  <c r="P133" i="1"/>
  <c r="O133" i="1"/>
  <c r="N133" i="1"/>
  <c r="D133" i="1"/>
  <c r="V132" i="1"/>
  <c r="U132" i="1"/>
  <c r="S132" i="1"/>
  <c r="R132" i="1"/>
  <c r="Q132" i="1"/>
  <c r="P132" i="1"/>
  <c r="O132" i="1"/>
  <c r="N132" i="1"/>
  <c r="D132" i="1"/>
  <c r="V131" i="1"/>
  <c r="U131" i="1"/>
  <c r="S131" i="1"/>
  <c r="R131" i="1"/>
  <c r="Q131" i="1"/>
  <c r="P131" i="1"/>
  <c r="O131" i="1"/>
  <c r="N131" i="1"/>
  <c r="D131" i="1"/>
  <c r="V130" i="1"/>
  <c r="U130" i="1"/>
  <c r="S130" i="1"/>
  <c r="R130" i="1"/>
  <c r="Q130" i="1"/>
  <c r="P130" i="1"/>
  <c r="O130" i="1"/>
  <c r="N130" i="1"/>
  <c r="D130" i="1"/>
  <c r="V129" i="1"/>
  <c r="U129" i="1"/>
  <c r="S129" i="1"/>
  <c r="R129" i="1"/>
  <c r="Q129" i="1"/>
  <c r="P129" i="1"/>
  <c r="O129" i="1"/>
  <c r="N129" i="1"/>
  <c r="D129" i="1"/>
  <c r="V128" i="1"/>
  <c r="U128" i="1"/>
  <c r="S128" i="1"/>
  <c r="R128" i="1"/>
  <c r="Q128" i="1"/>
  <c r="P128" i="1"/>
  <c r="O128" i="1"/>
  <c r="N128" i="1"/>
  <c r="D128" i="1"/>
  <c r="V127" i="1"/>
  <c r="U127" i="1"/>
  <c r="S127" i="1"/>
  <c r="R127" i="1"/>
  <c r="Q127" i="1"/>
  <c r="P127" i="1"/>
  <c r="O127" i="1"/>
  <c r="N127" i="1"/>
  <c r="D127" i="1"/>
  <c r="V126" i="1"/>
  <c r="U126" i="1"/>
  <c r="S126" i="1"/>
  <c r="R126" i="1"/>
  <c r="Q126" i="1"/>
  <c r="P126" i="1"/>
  <c r="O126" i="1"/>
  <c r="N126" i="1"/>
  <c r="D126" i="1"/>
  <c r="V125" i="1"/>
  <c r="U125" i="1"/>
  <c r="S125" i="1"/>
  <c r="R125" i="1"/>
  <c r="Q125" i="1"/>
  <c r="P125" i="1"/>
  <c r="O125" i="1"/>
  <c r="N125" i="1"/>
  <c r="D125" i="1"/>
  <c r="V124" i="1"/>
  <c r="U124" i="1"/>
  <c r="S124" i="1"/>
  <c r="R124" i="1"/>
  <c r="Q124" i="1"/>
  <c r="P124" i="1"/>
  <c r="O124" i="1"/>
  <c r="N124" i="1"/>
  <c r="D124" i="1"/>
  <c r="V123" i="1"/>
  <c r="U123" i="1"/>
  <c r="S123" i="1"/>
  <c r="R123" i="1"/>
  <c r="Q123" i="1"/>
  <c r="P123" i="1"/>
  <c r="O123" i="1"/>
  <c r="N123" i="1"/>
  <c r="D123" i="1"/>
  <c r="V122" i="1"/>
  <c r="U122" i="1"/>
  <c r="S122" i="1"/>
  <c r="R122" i="1"/>
  <c r="Q122" i="1"/>
  <c r="P122" i="1"/>
  <c r="O122" i="1"/>
  <c r="N122" i="1"/>
  <c r="D122" i="1"/>
  <c r="V121" i="1"/>
  <c r="U121" i="1"/>
  <c r="S121" i="1"/>
  <c r="R121" i="1"/>
  <c r="Q121" i="1"/>
  <c r="P121" i="1"/>
  <c r="O121" i="1"/>
  <c r="N121" i="1"/>
  <c r="D121" i="1"/>
  <c r="V120" i="1"/>
  <c r="U120" i="1"/>
  <c r="S120" i="1"/>
  <c r="R120" i="1"/>
  <c r="Q120" i="1"/>
  <c r="P120" i="1"/>
  <c r="O120" i="1"/>
  <c r="N120" i="1"/>
  <c r="D120" i="1"/>
  <c r="V119" i="1"/>
  <c r="U119" i="1"/>
  <c r="S119" i="1"/>
  <c r="R119" i="1"/>
  <c r="Q119" i="1"/>
  <c r="P119" i="1"/>
  <c r="O119" i="1"/>
  <c r="N119" i="1"/>
  <c r="D119" i="1"/>
  <c r="V118" i="1"/>
  <c r="U118" i="1"/>
  <c r="S118" i="1"/>
  <c r="R118" i="1"/>
  <c r="Q118" i="1"/>
  <c r="P118" i="1"/>
  <c r="O118" i="1"/>
  <c r="N118" i="1"/>
  <c r="D118" i="1"/>
  <c r="V117" i="1"/>
  <c r="U117" i="1"/>
  <c r="S117" i="1"/>
  <c r="R117" i="1"/>
  <c r="Q117" i="1"/>
  <c r="P117" i="1"/>
  <c r="O117" i="1"/>
  <c r="N117" i="1"/>
  <c r="D117" i="1"/>
  <c r="V116" i="1"/>
  <c r="U116" i="1"/>
  <c r="S116" i="1"/>
  <c r="R116" i="1"/>
  <c r="Q116" i="1"/>
  <c r="P116" i="1"/>
  <c r="O116" i="1"/>
  <c r="N116" i="1"/>
  <c r="D116" i="1"/>
  <c r="V115" i="1"/>
  <c r="U115" i="1"/>
  <c r="S115" i="1"/>
  <c r="R115" i="1"/>
  <c r="Q115" i="1"/>
  <c r="P115" i="1"/>
  <c r="O115" i="1"/>
  <c r="N115" i="1"/>
  <c r="D115" i="1"/>
  <c r="V114" i="1"/>
  <c r="U114" i="1"/>
  <c r="S114" i="1"/>
  <c r="R114" i="1"/>
  <c r="Q114" i="1"/>
  <c r="P114" i="1"/>
  <c r="O114" i="1"/>
  <c r="N114" i="1"/>
  <c r="D114" i="1"/>
  <c r="V113" i="1"/>
  <c r="U113" i="1"/>
  <c r="S113" i="1"/>
  <c r="R113" i="1"/>
  <c r="Q113" i="1"/>
  <c r="P113" i="1"/>
  <c r="O113" i="1"/>
  <c r="N113" i="1"/>
  <c r="D113" i="1"/>
  <c r="V112" i="1"/>
  <c r="U112" i="1"/>
  <c r="S112" i="1"/>
  <c r="R112" i="1"/>
  <c r="Q112" i="1"/>
  <c r="P112" i="1"/>
  <c r="O112" i="1"/>
  <c r="N112" i="1"/>
  <c r="D112" i="1"/>
  <c r="V111" i="1"/>
  <c r="U111" i="1"/>
  <c r="S111" i="1"/>
  <c r="R111" i="1"/>
  <c r="Q111" i="1"/>
  <c r="P111" i="1"/>
  <c r="O111" i="1"/>
  <c r="N111" i="1"/>
  <c r="D111" i="1"/>
  <c r="V110" i="1"/>
  <c r="U110" i="1"/>
  <c r="S110" i="1"/>
  <c r="R110" i="1"/>
  <c r="Q110" i="1"/>
  <c r="P110" i="1"/>
  <c r="O110" i="1"/>
  <c r="N110" i="1"/>
  <c r="D110" i="1"/>
  <c r="V109" i="1"/>
  <c r="U109" i="1"/>
  <c r="S109" i="1"/>
  <c r="R109" i="1"/>
  <c r="Q109" i="1"/>
  <c r="P109" i="1"/>
  <c r="O109" i="1"/>
  <c r="N109" i="1"/>
  <c r="D109" i="1"/>
  <c r="V108" i="1"/>
  <c r="U108" i="1"/>
  <c r="S108" i="1"/>
  <c r="R108" i="1"/>
  <c r="Q108" i="1"/>
  <c r="P108" i="1"/>
  <c r="O108" i="1"/>
  <c r="N108" i="1"/>
  <c r="D108" i="1"/>
  <c r="V107" i="1"/>
  <c r="U107" i="1"/>
  <c r="S107" i="1"/>
  <c r="R107" i="1"/>
  <c r="Q107" i="1"/>
  <c r="P107" i="1"/>
  <c r="O107" i="1"/>
  <c r="N107" i="1"/>
  <c r="D107" i="1"/>
  <c r="V106" i="1"/>
  <c r="U106" i="1"/>
  <c r="S106" i="1"/>
  <c r="R106" i="1"/>
  <c r="Q106" i="1"/>
  <c r="P106" i="1"/>
  <c r="O106" i="1"/>
  <c r="N106" i="1"/>
  <c r="D106" i="1"/>
  <c r="V105" i="1"/>
  <c r="U105" i="1"/>
  <c r="S105" i="1"/>
  <c r="R105" i="1"/>
  <c r="Q105" i="1"/>
  <c r="P105" i="1"/>
  <c r="O105" i="1"/>
  <c r="N105" i="1"/>
  <c r="D105" i="1"/>
  <c r="V104" i="1"/>
  <c r="U104" i="1"/>
  <c r="S104" i="1"/>
  <c r="R104" i="1"/>
  <c r="Q104" i="1"/>
  <c r="P104" i="1"/>
  <c r="O104" i="1"/>
  <c r="N104" i="1"/>
  <c r="D104" i="1"/>
  <c r="V103" i="1"/>
  <c r="U103" i="1"/>
  <c r="S103" i="1"/>
  <c r="R103" i="1"/>
  <c r="Q103" i="1"/>
  <c r="P103" i="1"/>
  <c r="O103" i="1"/>
  <c r="N103" i="1"/>
  <c r="D103" i="1"/>
  <c r="V102" i="1"/>
  <c r="U102" i="1"/>
  <c r="S102" i="1"/>
  <c r="R102" i="1"/>
  <c r="Q102" i="1"/>
  <c r="P102" i="1"/>
  <c r="O102" i="1"/>
  <c r="N102" i="1"/>
  <c r="D102" i="1"/>
  <c r="V101" i="1"/>
  <c r="U101" i="1"/>
  <c r="S101" i="1"/>
  <c r="R101" i="1"/>
  <c r="Q101" i="1"/>
  <c r="P101" i="1"/>
  <c r="O101" i="1"/>
  <c r="N101" i="1"/>
  <c r="D101" i="1"/>
  <c r="V100" i="1"/>
  <c r="U100" i="1"/>
  <c r="S100" i="1"/>
  <c r="R100" i="1"/>
  <c r="Q100" i="1"/>
  <c r="P100" i="1"/>
  <c r="O100" i="1"/>
  <c r="N100" i="1"/>
  <c r="D100" i="1"/>
  <c r="V99" i="1"/>
  <c r="U99" i="1"/>
  <c r="S99" i="1"/>
  <c r="R99" i="1"/>
  <c r="Q99" i="1"/>
  <c r="P99" i="1"/>
  <c r="O99" i="1"/>
  <c r="N99" i="1"/>
  <c r="D99" i="1"/>
  <c r="V98" i="1"/>
  <c r="U98" i="1"/>
  <c r="S98" i="1"/>
  <c r="R98" i="1"/>
  <c r="Q98" i="1"/>
  <c r="P98" i="1"/>
  <c r="O98" i="1"/>
  <c r="N98" i="1"/>
  <c r="D98" i="1"/>
  <c r="V97" i="1"/>
  <c r="U97" i="1"/>
  <c r="S97" i="1"/>
  <c r="R97" i="1"/>
  <c r="Q97" i="1"/>
  <c r="P97" i="1"/>
  <c r="O97" i="1"/>
  <c r="N97" i="1"/>
  <c r="D97" i="1"/>
  <c r="V96" i="1"/>
  <c r="U96" i="1"/>
  <c r="S96" i="1"/>
  <c r="R96" i="1"/>
  <c r="Q96" i="1"/>
  <c r="P96" i="1"/>
  <c r="O96" i="1"/>
  <c r="N96" i="1"/>
  <c r="D96" i="1"/>
  <c r="V95" i="1"/>
  <c r="U95" i="1"/>
  <c r="S95" i="1"/>
  <c r="R95" i="1"/>
  <c r="Q95" i="1"/>
  <c r="P95" i="1"/>
  <c r="O95" i="1"/>
  <c r="N95" i="1"/>
  <c r="D95" i="1"/>
  <c r="V94" i="1"/>
  <c r="U94" i="1"/>
  <c r="S94" i="1"/>
  <c r="R94" i="1"/>
  <c r="Q94" i="1"/>
  <c r="P94" i="1"/>
  <c r="O94" i="1"/>
  <c r="N94" i="1"/>
  <c r="D94" i="1"/>
  <c r="V93" i="1"/>
  <c r="U93" i="1"/>
  <c r="S93" i="1"/>
  <c r="R93" i="1"/>
  <c r="Q93" i="1"/>
  <c r="P93" i="1"/>
  <c r="O93" i="1"/>
  <c r="N93" i="1"/>
  <c r="D93" i="1"/>
  <c r="V92" i="1"/>
  <c r="U92" i="1"/>
  <c r="S92" i="1"/>
  <c r="R92" i="1"/>
  <c r="Q92" i="1"/>
  <c r="P92" i="1"/>
  <c r="O92" i="1"/>
  <c r="N92" i="1"/>
  <c r="D92" i="1"/>
  <c r="V91" i="1"/>
  <c r="U91" i="1"/>
  <c r="S91" i="1"/>
  <c r="R91" i="1"/>
  <c r="Q91" i="1"/>
  <c r="P91" i="1"/>
  <c r="O91" i="1"/>
  <c r="N91" i="1"/>
  <c r="D91" i="1"/>
  <c r="V90" i="1"/>
  <c r="U90" i="1"/>
  <c r="S90" i="1"/>
  <c r="R90" i="1"/>
  <c r="Q90" i="1"/>
  <c r="P90" i="1"/>
  <c r="O90" i="1"/>
  <c r="N90" i="1"/>
  <c r="D90" i="1"/>
  <c r="V89" i="1"/>
  <c r="U89" i="1"/>
  <c r="S89" i="1"/>
  <c r="R89" i="1"/>
  <c r="Q89" i="1"/>
  <c r="P89" i="1"/>
  <c r="O89" i="1"/>
  <c r="N89" i="1"/>
  <c r="D89" i="1"/>
  <c r="V88" i="1"/>
  <c r="U88" i="1"/>
  <c r="S88" i="1"/>
  <c r="R88" i="1"/>
  <c r="Q88" i="1"/>
  <c r="P88" i="1"/>
  <c r="O88" i="1"/>
  <c r="N88" i="1"/>
  <c r="D88" i="1"/>
  <c r="V87" i="1"/>
  <c r="U87" i="1"/>
  <c r="S87" i="1"/>
  <c r="R87" i="1"/>
  <c r="Q87" i="1"/>
  <c r="P87" i="1"/>
  <c r="O87" i="1"/>
  <c r="N87" i="1"/>
  <c r="D87" i="1"/>
  <c r="V86" i="1"/>
  <c r="U86" i="1"/>
  <c r="S86" i="1"/>
  <c r="R86" i="1"/>
  <c r="Q86" i="1"/>
  <c r="P86" i="1"/>
  <c r="O86" i="1"/>
  <c r="N86" i="1"/>
  <c r="D86" i="1"/>
  <c r="V85" i="1"/>
  <c r="U85" i="1"/>
  <c r="S85" i="1"/>
  <c r="R85" i="1"/>
  <c r="Q85" i="1"/>
  <c r="P85" i="1"/>
  <c r="O85" i="1"/>
  <c r="N85" i="1"/>
  <c r="D85" i="1"/>
  <c r="V84" i="1"/>
  <c r="U84" i="1"/>
  <c r="S84" i="1"/>
  <c r="R84" i="1"/>
  <c r="Q84" i="1"/>
  <c r="P84" i="1"/>
  <c r="O84" i="1"/>
  <c r="N84" i="1"/>
  <c r="D84" i="1"/>
  <c r="V83" i="1"/>
  <c r="U83" i="1"/>
  <c r="S83" i="1"/>
  <c r="R83" i="1"/>
  <c r="Q83" i="1"/>
  <c r="P83" i="1"/>
  <c r="O83" i="1"/>
  <c r="N83" i="1"/>
  <c r="D83" i="1"/>
  <c r="V82" i="1"/>
  <c r="U82" i="1"/>
  <c r="S82" i="1"/>
  <c r="R82" i="1"/>
  <c r="Q82" i="1"/>
  <c r="P82" i="1"/>
  <c r="O82" i="1"/>
  <c r="N82" i="1"/>
  <c r="D82" i="1"/>
  <c r="V81" i="1"/>
  <c r="U81" i="1"/>
  <c r="S81" i="1"/>
  <c r="R81" i="1"/>
  <c r="Q81" i="1"/>
  <c r="P81" i="1"/>
  <c r="O81" i="1"/>
  <c r="N81" i="1"/>
  <c r="D81" i="1"/>
  <c r="V80" i="1"/>
  <c r="U80" i="1"/>
  <c r="S80" i="1"/>
  <c r="R80" i="1"/>
  <c r="Q80" i="1"/>
  <c r="P80" i="1"/>
  <c r="O80" i="1"/>
  <c r="N80" i="1"/>
  <c r="D80" i="1"/>
  <c r="V79" i="1"/>
  <c r="U79" i="1"/>
  <c r="S79" i="1"/>
  <c r="R79" i="1"/>
  <c r="Q79" i="1"/>
  <c r="P79" i="1"/>
  <c r="O79" i="1"/>
  <c r="N79" i="1"/>
  <c r="D79" i="1"/>
  <c r="V78" i="1"/>
  <c r="U78" i="1"/>
  <c r="S78" i="1"/>
  <c r="R78" i="1"/>
  <c r="Q78" i="1"/>
  <c r="P78" i="1"/>
  <c r="O78" i="1"/>
  <c r="N78" i="1"/>
  <c r="D78" i="1"/>
  <c r="V77" i="1"/>
  <c r="U77" i="1"/>
  <c r="S77" i="1"/>
  <c r="R77" i="1"/>
  <c r="Q77" i="1"/>
  <c r="P77" i="1"/>
  <c r="O77" i="1"/>
  <c r="N77" i="1"/>
  <c r="D77" i="1"/>
  <c r="V76" i="1"/>
  <c r="U76" i="1"/>
  <c r="S76" i="1"/>
  <c r="R76" i="1"/>
  <c r="Q76" i="1"/>
  <c r="P76" i="1"/>
  <c r="O76" i="1"/>
  <c r="N76" i="1"/>
  <c r="D76" i="1"/>
  <c r="V75" i="1"/>
  <c r="U75" i="1"/>
  <c r="S75" i="1"/>
  <c r="R75" i="1"/>
  <c r="Q75" i="1"/>
  <c r="P75" i="1"/>
  <c r="O75" i="1"/>
  <c r="N75" i="1"/>
  <c r="D75" i="1"/>
  <c r="V74" i="1"/>
  <c r="U74" i="1"/>
  <c r="S74" i="1"/>
  <c r="R74" i="1"/>
  <c r="Q74" i="1"/>
  <c r="P74" i="1"/>
  <c r="O74" i="1"/>
  <c r="N74" i="1"/>
  <c r="D74" i="1"/>
  <c r="V73" i="1"/>
  <c r="U73" i="1"/>
  <c r="S73" i="1"/>
  <c r="R73" i="1"/>
  <c r="Q73" i="1"/>
  <c r="P73" i="1"/>
  <c r="O73" i="1"/>
  <c r="N73" i="1"/>
  <c r="D73" i="1"/>
  <c r="V72" i="1"/>
  <c r="U72" i="1"/>
  <c r="S72" i="1"/>
  <c r="R72" i="1"/>
  <c r="Q72" i="1"/>
  <c r="P72" i="1"/>
  <c r="O72" i="1"/>
  <c r="N72" i="1"/>
  <c r="D72" i="1"/>
  <c r="V71" i="1"/>
  <c r="U71" i="1"/>
  <c r="S71" i="1"/>
  <c r="R71" i="1"/>
  <c r="Q71" i="1"/>
  <c r="P71" i="1"/>
  <c r="O71" i="1"/>
  <c r="N71" i="1"/>
  <c r="D71" i="1"/>
  <c r="V70" i="1"/>
  <c r="U70" i="1"/>
  <c r="S70" i="1"/>
  <c r="R70" i="1"/>
  <c r="Q70" i="1"/>
  <c r="P70" i="1"/>
  <c r="O70" i="1"/>
  <c r="N70" i="1"/>
  <c r="D70" i="1"/>
  <c r="V69" i="1"/>
  <c r="U69" i="1"/>
  <c r="S69" i="1"/>
  <c r="R69" i="1"/>
  <c r="Q69" i="1"/>
  <c r="P69" i="1"/>
  <c r="O69" i="1"/>
  <c r="N69" i="1"/>
  <c r="D69" i="1"/>
  <c r="V68" i="1"/>
  <c r="U68" i="1"/>
  <c r="S68" i="1"/>
  <c r="R68" i="1"/>
  <c r="Q68" i="1"/>
  <c r="P68" i="1"/>
  <c r="O68" i="1"/>
  <c r="N68" i="1"/>
  <c r="D68" i="1"/>
  <c r="V67" i="1"/>
  <c r="U67" i="1"/>
  <c r="S67" i="1"/>
  <c r="R67" i="1"/>
  <c r="Q67" i="1"/>
  <c r="P67" i="1"/>
  <c r="O67" i="1"/>
  <c r="N67" i="1"/>
  <c r="D67" i="1"/>
  <c r="V66" i="1"/>
  <c r="U66" i="1"/>
  <c r="S66" i="1"/>
  <c r="R66" i="1"/>
  <c r="Q66" i="1"/>
  <c r="P66" i="1"/>
  <c r="O66" i="1"/>
  <c r="N66" i="1"/>
  <c r="D66" i="1"/>
  <c r="V65" i="1"/>
  <c r="U65" i="1"/>
  <c r="S65" i="1"/>
  <c r="R65" i="1"/>
  <c r="Q65" i="1"/>
  <c r="P65" i="1"/>
  <c r="O65" i="1"/>
  <c r="N65" i="1"/>
  <c r="D65" i="1"/>
  <c r="V64" i="1"/>
  <c r="U64" i="1"/>
  <c r="S64" i="1"/>
  <c r="R64" i="1"/>
  <c r="Q64" i="1"/>
  <c r="P64" i="1"/>
  <c r="O64" i="1"/>
  <c r="N64" i="1"/>
  <c r="D64" i="1"/>
  <c r="V63" i="1"/>
  <c r="U63" i="1"/>
  <c r="S63" i="1"/>
  <c r="R63" i="1"/>
  <c r="Q63" i="1"/>
  <c r="P63" i="1"/>
  <c r="O63" i="1"/>
  <c r="N63" i="1"/>
  <c r="D63" i="1"/>
  <c r="V62" i="1"/>
  <c r="U62" i="1"/>
  <c r="S62" i="1"/>
  <c r="R62" i="1"/>
  <c r="Q62" i="1"/>
  <c r="P62" i="1"/>
  <c r="O62" i="1"/>
  <c r="N62" i="1"/>
  <c r="D62" i="1"/>
  <c r="V61" i="1"/>
  <c r="U61" i="1"/>
  <c r="S61" i="1"/>
  <c r="R61" i="1"/>
  <c r="Q61" i="1"/>
  <c r="P61" i="1"/>
  <c r="O61" i="1"/>
  <c r="N61" i="1"/>
  <c r="D61" i="1"/>
  <c r="V60" i="1"/>
  <c r="U60" i="1"/>
  <c r="S60" i="1"/>
  <c r="R60" i="1"/>
  <c r="Q60" i="1"/>
  <c r="P60" i="1"/>
  <c r="O60" i="1"/>
  <c r="N60" i="1"/>
  <c r="D60" i="1"/>
  <c r="V59" i="1"/>
  <c r="U59" i="1"/>
  <c r="S59" i="1"/>
  <c r="R59" i="1"/>
  <c r="Q59" i="1"/>
  <c r="P59" i="1"/>
  <c r="O59" i="1"/>
  <c r="N59" i="1"/>
  <c r="D59" i="1"/>
  <c r="V58" i="1"/>
  <c r="U58" i="1"/>
  <c r="S58" i="1"/>
  <c r="R58" i="1"/>
  <c r="Q58" i="1"/>
  <c r="P58" i="1"/>
  <c r="O58" i="1"/>
  <c r="N58" i="1"/>
  <c r="D58" i="1"/>
  <c r="V57" i="1"/>
  <c r="U57" i="1"/>
  <c r="S57" i="1"/>
  <c r="R57" i="1"/>
  <c r="Q57" i="1"/>
  <c r="P57" i="1"/>
  <c r="O57" i="1"/>
  <c r="N57" i="1"/>
  <c r="D57" i="1"/>
  <c r="O51" i="1"/>
  <c r="N51" i="1"/>
  <c r="W51" i="8" s="1"/>
  <c r="D51" i="1"/>
  <c r="T51" i="8" s="1"/>
  <c r="O50" i="1"/>
  <c r="N50" i="1"/>
  <c r="W50" i="8" s="1"/>
  <c r="D50" i="1"/>
  <c r="T50" i="8" s="1"/>
  <c r="O49" i="1"/>
  <c r="N49" i="1"/>
  <c r="W49" i="8" s="1"/>
  <c r="D49" i="1"/>
  <c r="T49" i="8" s="1"/>
  <c r="O48" i="1"/>
  <c r="N48" i="1"/>
  <c r="AN48" i="8" s="1"/>
  <c r="D48" i="1"/>
  <c r="O47" i="1"/>
  <c r="N47" i="1"/>
  <c r="AN47" i="8" s="1"/>
  <c r="D47" i="1"/>
  <c r="O46" i="1"/>
  <c r="N46" i="1"/>
  <c r="AN46" i="8" s="1"/>
  <c r="D46" i="1"/>
  <c r="O45" i="1"/>
  <c r="N45" i="1"/>
  <c r="AN45" i="8" s="1"/>
  <c r="D45" i="1"/>
  <c r="T45" i="8" s="1"/>
  <c r="O44" i="1"/>
  <c r="N44" i="1"/>
  <c r="AN44" i="8" s="1"/>
  <c r="D44" i="1"/>
  <c r="O43" i="1"/>
  <c r="N43" i="1"/>
  <c r="AN43" i="8" s="1"/>
  <c r="D43" i="1"/>
  <c r="T43" i="8" s="1"/>
  <c r="O42" i="1"/>
  <c r="N42" i="1"/>
  <c r="AG42" i="8" s="1"/>
  <c r="D42" i="1"/>
  <c r="O41" i="1"/>
  <c r="N41" i="1"/>
  <c r="AG41" i="8" s="1"/>
  <c r="D41" i="1"/>
  <c r="T41" i="8" s="1"/>
  <c r="O40" i="1"/>
  <c r="N40" i="1"/>
  <c r="W40" i="8" s="1"/>
  <c r="D40" i="1"/>
  <c r="T40" i="8" s="1"/>
  <c r="O39" i="1"/>
  <c r="N39" i="1"/>
  <c r="W39" i="8" s="1"/>
  <c r="D39" i="1"/>
  <c r="T39" i="8" s="1"/>
  <c r="O38" i="1"/>
  <c r="N38" i="1"/>
  <c r="W38" i="8" s="1"/>
  <c r="D38" i="1"/>
  <c r="T38" i="8" s="1"/>
  <c r="O37" i="1"/>
  <c r="N37" i="1"/>
  <c r="W37" i="8" s="1"/>
  <c r="D37" i="1"/>
  <c r="T37" i="8" s="1"/>
  <c r="O36" i="1"/>
  <c r="N36" i="1"/>
  <c r="W36" i="8" s="1"/>
  <c r="D36" i="1"/>
  <c r="T36" i="8" s="1"/>
  <c r="O35" i="1"/>
  <c r="N35" i="1"/>
  <c r="W35" i="8" s="1"/>
  <c r="D35" i="1"/>
  <c r="T35" i="8" s="1"/>
  <c r="O34" i="1"/>
  <c r="N34" i="1"/>
  <c r="W34" i="8" s="1"/>
  <c r="D34" i="1"/>
  <c r="T34" i="8" s="1"/>
  <c r="O33" i="1"/>
  <c r="N33" i="1"/>
  <c r="W33" i="8" s="1"/>
  <c r="D33" i="1"/>
  <c r="T33" i="8" s="1"/>
  <c r="O32" i="1"/>
  <c r="N32" i="1"/>
  <c r="AN32" i="8" s="1"/>
  <c r="D32" i="1"/>
  <c r="O31" i="1"/>
  <c r="N31" i="1"/>
  <c r="AN31" i="8" s="1"/>
  <c r="D31" i="1"/>
  <c r="O30" i="1"/>
  <c r="N30" i="1"/>
  <c r="AN30" i="8" s="1"/>
  <c r="D30" i="1"/>
  <c r="O29" i="1"/>
  <c r="N29" i="1"/>
  <c r="AN29" i="8" s="1"/>
  <c r="D29" i="1"/>
  <c r="T29" i="8" s="1"/>
  <c r="O28" i="1"/>
  <c r="N28" i="1"/>
  <c r="AN28" i="8" s="1"/>
  <c r="D28" i="1"/>
  <c r="T28" i="8" s="1"/>
  <c r="O27" i="1"/>
  <c r="N27" i="1"/>
  <c r="AN27" i="8" s="1"/>
  <c r="D27" i="1"/>
  <c r="O26" i="1"/>
  <c r="N26" i="1"/>
  <c r="AG26" i="8" s="1"/>
  <c r="D26" i="1"/>
  <c r="T26" i="8" s="1"/>
  <c r="O25" i="1"/>
  <c r="N25" i="1"/>
  <c r="AG25" i="8" s="1"/>
  <c r="D25" i="1"/>
  <c r="O24" i="1"/>
  <c r="N24" i="1"/>
  <c r="W24" i="8" s="1"/>
  <c r="D24" i="1"/>
  <c r="T24" i="8" s="1"/>
  <c r="O23" i="1"/>
  <c r="N23" i="1"/>
  <c r="W23" i="8" s="1"/>
  <c r="D23" i="1"/>
  <c r="T23" i="8" s="1"/>
  <c r="O22" i="1"/>
  <c r="N22" i="1"/>
  <c r="W22" i="8" s="1"/>
  <c r="D22" i="1"/>
  <c r="T22" i="8" s="1"/>
  <c r="O21" i="1"/>
  <c r="N21" i="1"/>
  <c r="W21" i="8" s="1"/>
  <c r="D21" i="1"/>
  <c r="O20" i="1"/>
  <c r="N20" i="1"/>
  <c r="W20" i="8" s="1"/>
  <c r="D20" i="1"/>
  <c r="T20" i="8" s="1"/>
  <c r="O19" i="1"/>
  <c r="N19" i="1"/>
  <c r="W19" i="8" s="1"/>
  <c r="D19" i="1"/>
  <c r="T19" i="8" s="1"/>
  <c r="O18" i="1"/>
  <c r="N18" i="1"/>
  <c r="W18" i="8" s="1"/>
  <c r="D18" i="1"/>
  <c r="T18" i="8" s="1"/>
  <c r="O17" i="1"/>
  <c r="N17" i="1"/>
  <c r="W17" i="8" s="1"/>
  <c r="D17" i="1"/>
  <c r="T17" i="8" s="1"/>
  <c r="O16" i="1"/>
  <c r="N16" i="1"/>
  <c r="AN16" i="8" s="1"/>
  <c r="D16" i="1"/>
  <c r="O15" i="1"/>
  <c r="N15" i="1"/>
  <c r="AN15" i="8" s="1"/>
  <c r="D15" i="1"/>
  <c r="O14" i="1"/>
  <c r="N14" i="1"/>
  <c r="AN14" i="8" s="1"/>
  <c r="D14" i="1"/>
  <c r="T14" i="8" s="1"/>
  <c r="O13" i="1"/>
  <c r="N13" i="1"/>
  <c r="AN13" i="8" s="1"/>
  <c r="D13" i="1"/>
  <c r="T13" i="8" s="1"/>
  <c r="O12" i="1"/>
  <c r="N12" i="1"/>
  <c r="AN12" i="8" s="1"/>
  <c r="D12" i="1"/>
  <c r="T12" i="8" s="1"/>
  <c r="O11" i="1"/>
  <c r="N11" i="1"/>
  <c r="AN11" i="8" s="1"/>
  <c r="D11" i="1"/>
  <c r="T11" i="8" s="1"/>
  <c r="O10" i="1"/>
  <c r="N10" i="1"/>
  <c r="AG10" i="8" s="1"/>
  <c r="D10" i="1"/>
  <c r="T10" i="8" s="1"/>
  <c r="O9" i="1"/>
  <c r="N9" i="1"/>
  <c r="AG9" i="8" s="1"/>
  <c r="D9" i="1"/>
  <c r="T9" i="8" s="1"/>
  <c r="O8" i="1"/>
  <c r="N8" i="1"/>
  <c r="W8" i="8" s="1"/>
  <c r="D8" i="1"/>
  <c r="T8" i="8" s="1"/>
  <c r="O7" i="1"/>
  <c r="N7" i="1"/>
  <c r="W7" i="8" s="1"/>
  <c r="D7" i="1"/>
  <c r="T7" i="8" s="1"/>
  <c r="O6" i="1"/>
  <c r="N6" i="1"/>
  <c r="W6" i="8" s="1"/>
  <c r="D6" i="1"/>
  <c r="T6" i="8" s="1"/>
  <c r="O5" i="1"/>
  <c r="N5" i="1"/>
  <c r="W5" i="8" s="1"/>
  <c r="D5" i="1"/>
  <c r="T5" i="8" s="1"/>
  <c r="O4" i="1"/>
  <c r="N4" i="1"/>
  <c r="W4" i="8" s="1"/>
  <c r="D4" i="1"/>
  <c r="T4" i="8" s="1"/>
  <c r="O3" i="1"/>
  <c r="N3" i="1"/>
  <c r="W3" i="8" s="1"/>
  <c r="D3" i="1"/>
  <c r="T3" i="8" s="1"/>
  <c r="O2" i="1"/>
  <c r="N2" i="1"/>
  <c r="W2" i="8" s="1"/>
  <c r="AH25" i="8"/>
  <c r="AH17" i="8"/>
  <c r="AH9" i="8"/>
  <c r="Q54" i="1" l="1"/>
  <c r="S54" i="1" s="1"/>
  <c r="X34" i="8"/>
  <c r="X51" i="8"/>
  <c r="W11" i="8"/>
  <c r="W27" i="8"/>
  <c r="W43" i="8"/>
  <c r="AG13" i="8"/>
  <c r="AG29" i="8"/>
  <c r="AG45" i="8"/>
  <c r="AN3" i="8"/>
  <c r="AN19" i="8"/>
  <c r="AN35" i="8"/>
  <c r="AN51" i="8"/>
  <c r="W12" i="8"/>
  <c r="W28" i="8"/>
  <c r="W44" i="8"/>
  <c r="AG14" i="8"/>
  <c r="AG30" i="8"/>
  <c r="AG46" i="8"/>
  <c r="AN4" i="8"/>
  <c r="AN20" i="8"/>
  <c r="AN36" i="8"/>
  <c r="W13" i="8"/>
  <c r="W29" i="8"/>
  <c r="W45" i="8"/>
  <c r="AG15" i="8"/>
  <c r="AG31" i="8"/>
  <c r="AG47" i="8"/>
  <c r="AN5" i="8"/>
  <c r="AN21" i="8"/>
  <c r="AN37" i="8"/>
  <c r="X35" i="8"/>
  <c r="W14" i="8"/>
  <c r="W30" i="8"/>
  <c r="W46" i="8"/>
  <c r="AG16" i="8"/>
  <c r="AG32" i="8"/>
  <c r="AG48" i="8"/>
  <c r="AN6" i="8"/>
  <c r="AN22" i="8"/>
  <c r="AN38" i="8"/>
  <c r="X24" i="8"/>
  <c r="X46" i="8"/>
  <c r="T21" i="8"/>
  <c r="W15" i="8"/>
  <c r="W31" i="8"/>
  <c r="W47" i="8"/>
  <c r="AG17" i="8"/>
  <c r="AG33" i="8"/>
  <c r="AG49" i="8"/>
  <c r="AN7" i="8"/>
  <c r="AN23" i="8"/>
  <c r="AN39" i="8"/>
  <c r="X18" i="8"/>
  <c r="W16" i="8"/>
  <c r="W32" i="8"/>
  <c r="W48" i="8"/>
  <c r="AG2" i="8"/>
  <c r="AG18" i="8"/>
  <c r="AG34" i="8"/>
  <c r="AG50" i="8"/>
  <c r="AN8" i="8"/>
  <c r="AN24" i="8"/>
  <c r="AN40" i="8"/>
  <c r="Q52" i="1"/>
  <c r="S52" i="1" s="1"/>
  <c r="V52" i="1" s="1"/>
  <c r="X36" i="8"/>
  <c r="AG3" i="8"/>
  <c r="AG19" i="8"/>
  <c r="AG35" i="8"/>
  <c r="AG51" i="8"/>
  <c r="AN9" i="8"/>
  <c r="AN25" i="8"/>
  <c r="AN41" i="8"/>
  <c r="X39" i="8"/>
  <c r="X30" i="8"/>
  <c r="X6" i="8"/>
  <c r="AG4" i="8"/>
  <c r="AG20" i="8"/>
  <c r="AG36" i="8"/>
  <c r="AN10" i="8"/>
  <c r="AN26" i="8"/>
  <c r="AN42" i="8"/>
  <c r="T25" i="8"/>
  <c r="AG5" i="8"/>
  <c r="AG21" i="8"/>
  <c r="AG37" i="8"/>
  <c r="X44" i="8"/>
  <c r="T42" i="8"/>
  <c r="X42" i="8" s="1"/>
  <c r="AG6" i="8"/>
  <c r="AG22" i="8"/>
  <c r="AG38" i="8"/>
  <c r="R52" i="1"/>
  <c r="X48" i="8"/>
  <c r="T27" i="8"/>
  <c r="AG7" i="8"/>
  <c r="AG23" i="8"/>
  <c r="AG39" i="8"/>
  <c r="X43" i="8"/>
  <c r="T44" i="8"/>
  <c r="AG8" i="8"/>
  <c r="AG24" i="8"/>
  <c r="AG40" i="8"/>
  <c r="X9" i="8"/>
  <c r="X15" i="8"/>
  <c r="X38" i="8"/>
  <c r="X27" i="8"/>
  <c r="X50" i="8"/>
  <c r="T30" i="8"/>
  <c r="T46" i="8"/>
  <c r="Q53" i="1"/>
  <c r="U53" i="1" s="1"/>
  <c r="R51" i="1"/>
  <c r="AM51" i="8" s="1"/>
  <c r="R23" i="1"/>
  <c r="AM23" i="8" s="1"/>
  <c r="Q23" i="1"/>
  <c r="AF23" i="8" s="1"/>
  <c r="Q51" i="1"/>
  <c r="AF51" i="8" s="1"/>
  <c r="P51" i="1"/>
  <c r="V51" i="8" s="1"/>
  <c r="AH5" i="8"/>
  <c r="AH13" i="8"/>
  <c r="AH21" i="8"/>
  <c r="AH16" i="8"/>
  <c r="AH7" i="8"/>
  <c r="AH15" i="8"/>
  <c r="AH23" i="8"/>
  <c r="AH34" i="8"/>
  <c r="AH42" i="8"/>
  <c r="AH31" i="8"/>
  <c r="AH39" i="8"/>
  <c r="AH24" i="8"/>
  <c r="R50" i="1"/>
  <c r="AM50" i="8" s="1"/>
  <c r="AH8" i="8"/>
  <c r="R47" i="1"/>
  <c r="AM47" i="8" s="1"/>
  <c r="AH4" i="8"/>
  <c r="AH12" i="8"/>
  <c r="AH20" i="8"/>
  <c r="AH47" i="8"/>
  <c r="P23" i="1"/>
  <c r="V23" i="8" s="1"/>
  <c r="AH3" i="8"/>
  <c r="AH11" i="8"/>
  <c r="AH19" i="8"/>
  <c r="AH28" i="8"/>
  <c r="AH36" i="8"/>
  <c r="AH44" i="8"/>
  <c r="AH14" i="8"/>
  <c r="AH22" i="8"/>
  <c r="AH6" i="8"/>
  <c r="AH33" i="8"/>
  <c r="AH41" i="8"/>
  <c r="R48" i="1"/>
  <c r="AM48" i="8" s="1"/>
  <c r="AH30" i="8"/>
  <c r="AH38" i="8"/>
  <c r="AH46" i="8"/>
  <c r="R49" i="1"/>
  <c r="AM49" i="8" s="1"/>
  <c r="AH27" i="8"/>
  <c r="AH35" i="8"/>
  <c r="AH43" i="8"/>
  <c r="AH32" i="8"/>
  <c r="AH40" i="8"/>
  <c r="AH48" i="8"/>
  <c r="AH10" i="8"/>
  <c r="AH18" i="8"/>
  <c r="AH2" i="8"/>
  <c r="AH26" i="8"/>
  <c r="AH29" i="8"/>
  <c r="AH37" i="8"/>
  <c r="AH45" i="8"/>
  <c r="AH49" i="8"/>
  <c r="P50" i="1"/>
  <c r="V50" i="8" s="1"/>
  <c r="Q50" i="1"/>
  <c r="AF50" i="8" s="1"/>
  <c r="P49" i="1"/>
  <c r="V49" i="8" s="1"/>
  <c r="Q49" i="1"/>
  <c r="AF49" i="8" s="1"/>
  <c r="P48" i="1"/>
  <c r="V48" i="8" s="1"/>
  <c r="Q48" i="1"/>
  <c r="AF48" i="8" s="1"/>
  <c r="P47" i="1"/>
  <c r="V47" i="8" s="1"/>
  <c r="Q47" i="1"/>
  <c r="AF47" i="8" s="1"/>
  <c r="Q46" i="1"/>
  <c r="AF46" i="8" s="1"/>
  <c r="R46" i="1"/>
  <c r="P46" i="1"/>
  <c r="V46" i="8" s="1"/>
  <c r="AH51" i="8"/>
  <c r="R45" i="1"/>
  <c r="Q45" i="1"/>
  <c r="AF45" i="8" s="1"/>
  <c r="P45" i="1"/>
  <c r="V45" i="8" s="1"/>
  <c r="AH50" i="8"/>
  <c r="AO49" i="8"/>
  <c r="Q44" i="1"/>
  <c r="AF44" i="8" s="1"/>
  <c r="P44" i="1"/>
  <c r="V44" i="8" s="1"/>
  <c r="R44" i="1"/>
  <c r="R43" i="1"/>
  <c r="Q43" i="1"/>
  <c r="AF43" i="8" s="1"/>
  <c r="P43" i="1"/>
  <c r="V43" i="8" s="1"/>
  <c r="P42" i="1"/>
  <c r="V42" i="8" s="1"/>
  <c r="Q42" i="1"/>
  <c r="AF42" i="8" s="1"/>
  <c r="R42" i="1"/>
  <c r="R41" i="1"/>
  <c r="Q41" i="1"/>
  <c r="AF41" i="8" s="1"/>
  <c r="P41" i="1"/>
  <c r="V41" i="8" s="1"/>
  <c r="R40" i="1"/>
  <c r="P40" i="1"/>
  <c r="V40" i="8" s="1"/>
  <c r="Q40" i="1"/>
  <c r="AF40" i="8" s="1"/>
  <c r="P39" i="1"/>
  <c r="V39" i="8" s="1"/>
  <c r="Q39" i="1"/>
  <c r="AF39" i="8" s="1"/>
  <c r="R39" i="1"/>
  <c r="Q38" i="1"/>
  <c r="AF38" i="8" s="1"/>
  <c r="P38" i="1"/>
  <c r="V38" i="8" s="1"/>
  <c r="R38" i="1"/>
  <c r="Q37" i="1"/>
  <c r="AF37" i="8" s="1"/>
  <c r="R37" i="1"/>
  <c r="P37" i="1"/>
  <c r="V37" i="8" s="1"/>
  <c r="P36" i="1"/>
  <c r="V36" i="8" s="1"/>
  <c r="Q36" i="1"/>
  <c r="AF36" i="8" s="1"/>
  <c r="R36" i="1"/>
  <c r="Q35" i="1"/>
  <c r="AF35" i="8" s="1"/>
  <c r="R35" i="1"/>
  <c r="P35" i="1"/>
  <c r="V35" i="8" s="1"/>
  <c r="R34" i="1"/>
  <c r="Q34" i="1"/>
  <c r="AF34" i="8" s="1"/>
  <c r="P34" i="1"/>
  <c r="V34" i="8" s="1"/>
  <c r="P33" i="1"/>
  <c r="V33" i="8" s="1"/>
  <c r="Q33" i="1"/>
  <c r="R33" i="1"/>
  <c r="Q32" i="1"/>
  <c r="AF32" i="8" s="1"/>
  <c r="R32" i="1"/>
  <c r="P32" i="1"/>
  <c r="V32" i="8" s="1"/>
  <c r="R31" i="1"/>
  <c r="P31" i="1"/>
  <c r="V31" i="8" s="1"/>
  <c r="Q31" i="1"/>
  <c r="AF31" i="8" s="1"/>
  <c r="P30" i="1"/>
  <c r="V30" i="8" s="1"/>
  <c r="Q30" i="1"/>
  <c r="AF30" i="8" s="1"/>
  <c r="R30" i="1"/>
  <c r="Q29" i="1"/>
  <c r="AF29" i="8" s="1"/>
  <c r="R29" i="1"/>
  <c r="P29" i="1"/>
  <c r="V29" i="8" s="1"/>
  <c r="Q28" i="1"/>
  <c r="AF28" i="8" s="1"/>
  <c r="R28" i="1"/>
  <c r="P28" i="1"/>
  <c r="V28" i="8" s="1"/>
  <c r="X28" i="8" s="1"/>
  <c r="Q27" i="1"/>
  <c r="AF27" i="8" s="1"/>
  <c r="P27" i="1"/>
  <c r="V27" i="8" s="1"/>
  <c r="R27" i="1"/>
  <c r="Q26" i="1"/>
  <c r="AF26" i="8" s="1"/>
  <c r="R26" i="1"/>
  <c r="P26" i="1"/>
  <c r="V26" i="8" s="1"/>
  <c r="X26" i="8" s="1"/>
  <c r="P25" i="1"/>
  <c r="V25" i="8" s="1"/>
  <c r="R25" i="1"/>
  <c r="Q25" i="1"/>
  <c r="AF25" i="8" s="1"/>
  <c r="P24" i="1"/>
  <c r="V24" i="8" s="1"/>
  <c r="Q24" i="1"/>
  <c r="AF24" i="8" s="1"/>
  <c r="R24" i="1"/>
  <c r="S23" i="1"/>
  <c r="V23" i="1" s="1"/>
  <c r="U23" i="1"/>
  <c r="R22" i="1"/>
  <c r="Q22" i="1"/>
  <c r="P22" i="1"/>
  <c r="V22" i="8" s="1"/>
  <c r="R21" i="1"/>
  <c r="Q21" i="1"/>
  <c r="AF21" i="8" s="1"/>
  <c r="P21" i="1"/>
  <c r="V21" i="8" s="1"/>
  <c r="R20" i="1"/>
  <c r="Q20" i="1"/>
  <c r="AF20" i="8" s="1"/>
  <c r="P20" i="1"/>
  <c r="V20" i="8" s="1"/>
  <c r="X20" i="8" s="1"/>
  <c r="Q19" i="1"/>
  <c r="AF19" i="8" s="1"/>
  <c r="P19" i="1"/>
  <c r="V19" i="8" s="1"/>
  <c r="R19" i="1"/>
  <c r="P18" i="1"/>
  <c r="V18" i="8" s="1"/>
  <c r="Q18" i="1"/>
  <c r="AF18" i="8" s="1"/>
  <c r="R18" i="1"/>
  <c r="R17" i="1"/>
  <c r="Q17" i="1"/>
  <c r="AF17" i="8" s="1"/>
  <c r="P17" i="1"/>
  <c r="V17" i="8" s="1"/>
  <c r="X17" i="8" s="1"/>
  <c r="Q16" i="1"/>
  <c r="R16" i="1"/>
  <c r="P16" i="1"/>
  <c r="V16" i="8" s="1"/>
  <c r="R15" i="1"/>
  <c r="Q15" i="1"/>
  <c r="P15" i="1"/>
  <c r="V15" i="8" s="1"/>
  <c r="P14" i="1"/>
  <c r="V14" i="8" s="1"/>
  <c r="X14" i="8" s="1"/>
  <c r="R14" i="1"/>
  <c r="Q14" i="1"/>
  <c r="AF14" i="8" s="1"/>
  <c r="Q13" i="1"/>
  <c r="AF13" i="8" s="1"/>
  <c r="R13" i="1"/>
  <c r="P13" i="1"/>
  <c r="V13" i="8" s="1"/>
  <c r="Q12" i="1"/>
  <c r="AF12" i="8" s="1"/>
  <c r="R12" i="1"/>
  <c r="P12" i="1"/>
  <c r="V12" i="8" s="1"/>
  <c r="Q11" i="1"/>
  <c r="R11" i="1"/>
  <c r="P11" i="1"/>
  <c r="V11" i="8" s="1"/>
  <c r="R10" i="1"/>
  <c r="Q10" i="1"/>
  <c r="AF10" i="8" s="1"/>
  <c r="P10" i="1"/>
  <c r="V10" i="8" s="1"/>
  <c r="X10" i="8" s="1"/>
  <c r="P9" i="1"/>
  <c r="V9" i="8" s="1"/>
  <c r="Q9" i="1"/>
  <c r="AF9" i="8" s="1"/>
  <c r="R9" i="1"/>
  <c r="Q8" i="1"/>
  <c r="AF8" i="8" s="1"/>
  <c r="P8" i="1"/>
  <c r="V8" i="8" s="1"/>
  <c r="R8" i="1"/>
  <c r="R7" i="1"/>
  <c r="Q7" i="1"/>
  <c r="P7" i="1"/>
  <c r="V7" i="8" s="1"/>
  <c r="Q6" i="1"/>
  <c r="AF6" i="8" s="1"/>
  <c r="R6" i="1"/>
  <c r="P6" i="1"/>
  <c r="V6" i="8" s="1"/>
  <c r="R5" i="1"/>
  <c r="Q5" i="1"/>
  <c r="AF5" i="8" s="1"/>
  <c r="P5" i="1"/>
  <c r="V5" i="8" s="1"/>
  <c r="R4" i="1"/>
  <c r="P4" i="1"/>
  <c r="V4" i="8" s="1"/>
  <c r="Q4" i="1"/>
  <c r="AF4" i="8" s="1"/>
  <c r="Q3" i="1"/>
  <c r="AF3" i="8" s="1"/>
  <c r="P3" i="1"/>
  <c r="V3" i="8" s="1"/>
  <c r="R3" i="1"/>
  <c r="R2" i="1"/>
  <c r="Q2" i="1"/>
  <c r="AF2" i="8" s="1"/>
  <c r="P2" i="1"/>
  <c r="V2" i="8" s="1"/>
  <c r="V54" i="1" l="1"/>
  <c r="W54" i="1" a="1"/>
  <c r="W54" i="1" s="1"/>
  <c r="T54" i="1" s="1"/>
  <c r="U54" i="1" s="1"/>
  <c r="AM19" i="8"/>
  <c r="AM8" i="8"/>
  <c r="AO8" i="8" s="1"/>
  <c r="AO15" i="8"/>
  <c r="AM13" i="8"/>
  <c r="AM24" i="8"/>
  <c r="AM29" i="8"/>
  <c r="AO29" i="8" s="1"/>
  <c r="AO38" i="8"/>
  <c r="AM34" i="8"/>
  <c r="AO34" i="8" s="1"/>
  <c r="AM9" i="8"/>
  <c r="AO9" i="8" s="1"/>
  <c r="AO16" i="8"/>
  <c r="AM14" i="8"/>
  <c r="AO14" i="8" s="1"/>
  <c r="AM30" i="8"/>
  <c r="AM35" i="8"/>
  <c r="AO35" i="8" s="1"/>
  <c r="AM40" i="8"/>
  <c r="AM25" i="8"/>
  <c r="AO25" i="8" s="1"/>
  <c r="AO50" i="8"/>
  <c r="AM45" i="8"/>
  <c r="AO40" i="8"/>
  <c r="AM36" i="8"/>
  <c r="AO36" i="8" s="1"/>
  <c r="AI26" i="8"/>
  <c r="AI17" i="8"/>
  <c r="AF15" i="8"/>
  <c r="AI15" i="8" s="1"/>
  <c r="AO45" i="8"/>
  <c r="AM41" i="8"/>
  <c r="AM15" i="8"/>
  <c r="AO23" i="8"/>
  <c r="AM20" i="8"/>
  <c r="AM26" i="8"/>
  <c r="AO26" i="8" s="1"/>
  <c r="AM42" i="8"/>
  <c r="AO42" i="8" s="1"/>
  <c r="AO51" i="8"/>
  <c r="AM46" i="8"/>
  <c r="AO46" i="8" s="1"/>
  <c r="U52" i="1"/>
  <c r="AM6" i="8"/>
  <c r="AO6" i="8" s="1"/>
  <c r="AO12" i="8"/>
  <c r="AM10" i="8"/>
  <c r="AO10" i="8" s="1"/>
  <c r="AM31" i="8"/>
  <c r="AM4" i="8"/>
  <c r="AO4" i="8" s="1"/>
  <c r="AM16" i="8"/>
  <c r="AO30" i="8"/>
  <c r="AM27" i="8"/>
  <c r="AO27" i="8" s="1"/>
  <c r="AO41" i="8"/>
  <c r="AM37" i="8"/>
  <c r="AO13" i="8"/>
  <c r="AM11" i="8"/>
  <c r="AO11" i="8" s="1"/>
  <c r="AI18" i="8"/>
  <c r="AF16" i="8"/>
  <c r="AO24" i="8"/>
  <c r="AM21" i="8"/>
  <c r="AO21" i="8" s="1"/>
  <c r="AM32" i="8"/>
  <c r="AO32" i="8" s="1"/>
  <c r="AI13" i="8"/>
  <c r="AF11" i="8"/>
  <c r="AM38" i="8"/>
  <c r="AO5" i="8"/>
  <c r="AM5" i="8"/>
  <c r="AI25" i="8"/>
  <c r="AF22" i="8"/>
  <c r="AI22" i="8" s="1"/>
  <c r="AO37" i="8"/>
  <c r="AM33" i="8"/>
  <c r="AO33" i="8" s="1"/>
  <c r="AO47" i="8"/>
  <c r="AM43" i="8"/>
  <c r="AO43" i="8" s="1"/>
  <c r="AM2" i="8"/>
  <c r="AO2" i="8" s="1"/>
  <c r="AM12" i="8"/>
  <c r="AO19" i="8"/>
  <c r="AM17" i="8"/>
  <c r="AO17" i="8" s="1"/>
  <c r="AM22" i="8"/>
  <c r="AO22" i="8" s="1"/>
  <c r="AO31" i="8"/>
  <c r="AM28" i="8"/>
  <c r="AO28" i="8" s="1"/>
  <c r="AI37" i="8"/>
  <c r="AF33" i="8"/>
  <c r="AO48" i="8"/>
  <c r="AM44" i="8"/>
  <c r="AO44" i="8" s="1"/>
  <c r="AI9" i="8"/>
  <c r="AF7" i="8"/>
  <c r="AI7" i="8" s="1"/>
  <c r="AO20" i="8"/>
  <c r="AM18" i="8"/>
  <c r="AO18" i="8" s="1"/>
  <c r="AM39" i="8"/>
  <c r="AO39" i="8" s="1"/>
  <c r="AM3" i="8"/>
  <c r="AO3" i="8" s="1"/>
  <c r="AM7" i="8"/>
  <c r="AO7" i="8" s="1"/>
  <c r="S53" i="1"/>
  <c r="V53" i="1" s="1"/>
  <c r="AI43" i="8"/>
  <c r="AI35" i="8"/>
  <c r="AI30" i="8"/>
  <c r="AI48" i="8"/>
  <c r="AI46" i="8"/>
  <c r="AI45" i="8"/>
  <c r="AI44" i="8"/>
  <c r="AI42" i="8"/>
  <c r="AI40" i="8"/>
  <c r="AI39" i="8"/>
  <c r="AI38" i="8"/>
  <c r="AI36" i="8"/>
  <c r="AI31" i="8"/>
  <c r="AI23" i="8"/>
  <c r="AI19" i="8"/>
  <c r="AI16" i="8"/>
  <c r="AI12" i="8"/>
  <c r="AI3" i="8"/>
  <c r="AI4" i="8"/>
  <c r="AI5" i="8"/>
  <c r="AI11" i="8"/>
  <c r="AI21" i="8"/>
  <c r="AI29" i="8"/>
  <c r="AI8" i="8"/>
  <c r="AI41" i="8"/>
  <c r="S51" i="1"/>
  <c r="V51" i="1" s="1"/>
  <c r="U51" i="1"/>
  <c r="AI34" i="8"/>
  <c r="AI32" i="8"/>
  <c r="AI49" i="8"/>
  <c r="AI24" i="8"/>
  <c r="AI20" i="8"/>
  <c r="AI10" i="8"/>
  <c r="AI33" i="8"/>
  <c r="AI6" i="8"/>
  <c r="AI14" i="8"/>
  <c r="AI47" i="8"/>
  <c r="AI2" i="8"/>
  <c r="AI27" i="8"/>
  <c r="AI28" i="8"/>
  <c r="U50" i="1"/>
  <c r="S50" i="1"/>
  <c r="V50" i="1" s="1"/>
  <c r="S49" i="1"/>
  <c r="V49" i="1" s="1"/>
  <c r="U49" i="1"/>
  <c r="S48" i="1"/>
  <c r="V48" i="1" s="1"/>
  <c r="U48" i="1"/>
  <c r="U47" i="1"/>
  <c r="S47" i="1"/>
  <c r="V47" i="1" s="1"/>
  <c r="U46" i="1"/>
  <c r="S46" i="1"/>
  <c r="AI51" i="8"/>
  <c r="AI50" i="8"/>
  <c r="U45" i="1"/>
  <c r="S45" i="1"/>
  <c r="V45" i="1" s="1"/>
  <c r="X49" i="8"/>
  <c r="S44" i="1"/>
  <c r="V44" i="1" s="1"/>
  <c r="U44" i="1"/>
  <c r="S43" i="1"/>
  <c r="V43" i="1" s="1"/>
  <c r="U43" i="1"/>
  <c r="X47" i="8"/>
  <c r="S42" i="1"/>
  <c r="V42" i="1" s="1"/>
  <c r="U42" i="1"/>
  <c r="S41" i="1"/>
  <c r="V41" i="1" s="1"/>
  <c r="U41" i="1"/>
  <c r="X45" i="8"/>
  <c r="S40" i="1"/>
  <c r="V40" i="1" s="1"/>
  <c r="U40" i="1"/>
  <c r="S39" i="1"/>
  <c r="V39" i="1" s="1"/>
  <c r="U39" i="1"/>
  <c r="S38" i="1"/>
  <c r="V38" i="1" s="1"/>
  <c r="U38" i="1"/>
  <c r="S37" i="1"/>
  <c r="V37" i="1" s="1"/>
  <c r="U37" i="1"/>
  <c r="X41" i="8"/>
  <c r="S36" i="1"/>
  <c r="V36" i="1" s="1"/>
  <c r="U36" i="1"/>
  <c r="X40" i="8"/>
  <c r="U35" i="1"/>
  <c r="S35" i="1"/>
  <c r="V35" i="1" s="1"/>
  <c r="S34" i="1"/>
  <c r="V34" i="1" s="1"/>
  <c r="U34" i="1"/>
  <c r="U33" i="1"/>
  <c r="X37" i="8"/>
  <c r="S33" i="1"/>
  <c r="V33" i="1" s="1"/>
  <c r="S32" i="1"/>
  <c r="V32" i="1" s="1"/>
  <c r="U32" i="1"/>
  <c r="U31" i="1"/>
  <c r="S31" i="1"/>
  <c r="V31" i="1" s="1"/>
  <c r="S30" i="1"/>
  <c r="V30" i="1" s="1"/>
  <c r="U30" i="1"/>
  <c r="X33" i="8"/>
  <c r="S29" i="1"/>
  <c r="V29" i="1" s="1"/>
  <c r="U29" i="1"/>
  <c r="U28" i="1"/>
  <c r="S28" i="1"/>
  <c r="V28" i="1" s="1"/>
  <c r="X31" i="8"/>
  <c r="U27" i="1"/>
  <c r="S27" i="1"/>
  <c r="V27" i="1" s="1"/>
  <c r="U26" i="1"/>
  <c r="X29" i="8"/>
  <c r="S26" i="1"/>
  <c r="V26" i="1" s="1"/>
  <c r="U25" i="1"/>
  <c r="S25" i="1"/>
  <c r="V25" i="1" s="1"/>
  <c r="S24" i="1"/>
  <c r="V24" i="1" s="1"/>
  <c r="U24" i="1"/>
  <c r="S22" i="1"/>
  <c r="V22" i="1" s="1"/>
  <c r="U22" i="1"/>
  <c r="X25" i="8"/>
  <c r="S21" i="1"/>
  <c r="V21" i="1" s="1"/>
  <c r="U21" i="1"/>
  <c r="S20" i="1"/>
  <c r="V20" i="1" s="1"/>
  <c r="U20" i="1"/>
  <c r="X23" i="8"/>
  <c r="X22" i="8"/>
  <c r="S19" i="1"/>
  <c r="V19" i="1" s="1"/>
  <c r="U19" i="1"/>
  <c r="X21" i="8"/>
  <c r="S18" i="1"/>
  <c r="V18" i="1" s="1"/>
  <c r="U18" i="1"/>
  <c r="S17" i="1"/>
  <c r="V17" i="1" s="1"/>
  <c r="U17" i="1"/>
  <c r="X19" i="8"/>
  <c r="S16" i="1"/>
  <c r="V16" i="1" s="1"/>
  <c r="U16" i="1"/>
  <c r="S15" i="1"/>
  <c r="V15" i="1" s="1"/>
  <c r="U15" i="1"/>
  <c r="S14" i="1"/>
  <c r="V14" i="1" s="1"/>
  <c r="U14" i="1"/>
  <c r="X16" i="8"/>
  <c r="S13" i="1"/>
  <c r="V13" i="1" s="1"/>
  <c r="U13" i="1"/>
  <c r="S12" i="1"/>
  <c r="V12" i="1" s="1"/>
  <c r="U12" i="1"/>
  <c r="S11" i="1"/>
  <c r="V11" i="1" s="1"/>
  <c r="U11" i="1"/>
  <c r="X13" i="8"/>
  <c r="S10" i="1"/>
  <c r="V10" i="1" s="1"/>
  <c r="U10" i="1"/>
  <c r="X12" i="8"/>
  <c r="U9" i="1"/>
  <c r="S9" i="1"/>
  <c r="V9" i="1" s="1"/>
  <c r="X11" i="8"/>
  <c r="U8" i="1"/>
  <c r="S8" i="1"/>
  <c r="V8" i="1" s="1"/>
  <c r="U7" i="1"/>
  <c r="S7" i="1"/>
  <c r="V7" i="1" s="1"/>
  <c r="X8" i="8"/>
  <c r="X7" i="8"/>
  <c r="S6" i="1"/>
  <c r="V6" i="1" s="1"/>
  <c r="U6" i="1"/>
  <c r="U5" i="1"/>
  <c r="X5" i="8"/>
  <c r="S5" i="1"/>
  <c r="V5" i="1" s="1"/>
  <c r="S4" i="1"/>
  <c r="V4" i="1" s="1"/>
  <c r="U4" i="1"/>
  <c r="X4" i="8"/>
  <c r="U3" i="1"/>
  <c r="X3" i="8"/>
  <c r="S3" i="1"/>
  <c r="V3" i="1" s="1"/>
  <c r="S2" i="1"/>
  <c r="X2" i="8"/>
  <c r="U2" i="1"/>
  <c r="P23" i="8" l="1"/>
  <c r="P13" i="8"/>
  <c r="P12" i="8"/>
  <c r="P19" i="8"/>
  <c r="P20" i="8"/>
  <c r="P14" i="8"/>
  <c r="P21" i="8"/>
  <c r="P22" i="8"/>
  <c r="P15" i="8"/>
  <c r="P16" i="8"/>
  <c r="D14" i="8"/>
  <c r="D15" i="8"/>
  <c r="D16" i="8"/>
  <c r="D19" i="8"/>
  <c r="D20" i="8"/>
  <c r="D23" i="8"/>
  <c r="D21" i="8"/>
  <c r="D12" i="8"/>
  <c r="D22" i="8"/>
  <c r="D13" i="8"/>
  <c r="J13" i="8"/>
  <c r="V46" i="1"/>
  <c r="A5" i="5" a="1"/>
  <c r="A5" i="5" s="1"/>
  <c r="A5" i="4" a="1"/>
  <c r="A5" i="4" s="1"/>
  <c r="A5" i="3" a="1"/>
  <c r="A5" i="3" s="1"/>
  <c r="A80" i="6" a="1"/>
  <c r="A80" i="6" s="1"/>
  <c r="A47" i="6" a="1"/>
  <c r="A47" i="6" s="1"/>
  <c r="A18" i="6" a="1"/>
  <c r="A18" i="6" s="1"/>
  <c r="J20" i="8"/>
  <c r="J15" i="8"/>
  <c r="J14" i="8"/>
  <c r="J16" i="8"/>
  <c r="J12" i="8"/>
  <c r="J21" i="8"/>
  <c r="J23" i="8"/>
  <c r="J19" i="8"/>
  <c r="J22" i="8"/>
  <c r="Q12" i="8"/>
  <c r="N12" i="8"/>
  <c r="O12" i="8"/>
  <c r="N14" i="8"/>
  <c r="O14" i="8"/>
  <c r="Q14" i="8"/>
  <c r="N16" i="8"/>
  <c r="O16" i="8"/>
  <c r="Q16" i="8"/>
  <c r="Q19" i="8"/>
  <c r="N19" i="8"/>
  <c r="O19" i="8"/>
  <c r="Q20" i="8"/>
  <c r="N20" i="8"/>
  <c r="O20" i="8"/>
  <c r="Q21" i="8"/>
  <c r="N21" i="8"/>
  <c r="O21" i="8"/>
  <c r="Q22" i="8"/>
  <c r="N22" i="8"/>
  <c r="O22" i="8"/>
  <c r="N15" i="8"/>
  <c r="O15" i="8"/>
  <c r="Q15" i="8"/>
  <c r="N23" i="8"/>
  <c r="Q23" i="8"/>
  <c r="O23" i="8"/>
  <c r="O13" i="8"/>
  <c r="N13" i="8"/>
  <c r="Q13" i="8"/>
  <c r="N6" i="3"/>
  <c r="P7" i="5" a="1"/>
  <c r="P7" i="5" s="1"/>
  <c r="N5" i="3"/>
  <c r="V2" i="1"/>
  <c r="A6" i="6" s="1" a="1"/>
  <c r="A6" i="6" s="1"/>
  <c r="N5" i="4"/>
  <c r="N6" i="4"/>
  <c r="N7" i="4" a="1"/>
  <c r="N7" i="4" s="1"/>
  <c r="N8" i="4" a="1"/>
  <c r="N8" i="4" s="1"/>
  <c r="N7" i="3" a="1"/>
  <c r="N7" i="3" s="1"/>
  <c r="P5" i="5"/>
  <c r="N8" i="3" a="1"/>
  <c r="N8" i="3" s="1"/>
  <c r="P6" i="5"/>
  <c r="P8" i="5" a="1"/>
  <c r="P8" i="5" s="1"/>
  <c r="M20" i="6"/>
  <c r="M21" i="6"/>
  <c r="M18" i="6"/>
  <c r="M19" i="6"/>
  <c r="K13" i="8" l="1"/>
  <c r="I13" i="8"/>
  <c r="H13" i="8"/>
  <c r="H16" i="8"/>
  <c r="K16" i="8"/>
  <c r="I16" i="8"/>
  <c r="K19" i="8"/>
  <c r="I19" i="8"/>
  <c r="H19" i="8"/>
  <c r="I20" i="8"/>
  <c r="H20" i="8"/>
  <c r="K20" i="8"/>
  <c r="K15" i="8"/>
  <c r="I15" i="8"/>
  <c r="H15" i="8"/>
  <c r="K14" i="8"/>
  <c r="I14" i="8"/>
  <c r="H14" i="8"/>
  <c r="K12" i="8"/>
  <c r="I12" i="8"/>
  <c r="H12" i="8"/>
  <c r="I21" i="8"/>
  <c r="H21" i="8"/>
  <c r="K21" i="8"/>
  <c r="K23" i="8"/>
  <c r="H23" i="8"/>
  <c r="I23" i="8"/>
  <c r="I22" i="8"/>
  <c r="H22" i="8"/>
  <c r="K22" i="8"/>
  <c r="B16" i="8"/>
  <c r="C16" i="8"/>
  <c r="E16" i="8"/>
  <c r="B15" i="8"/>
  <c r="C15" i="8"/>
  <c r="E15" i="8"/>
  <c r="B13" i="8"/>
  <c r="C13" i="8"/>
  <c r="E13" i="8"/>
  <c r="B12" i="8"/>
  <c r="C12" i="8"/>
  <c r="E12" i="8"/>
  <c r="B23" i="8"/>
  <c r="C23" i="8"/>
  <c r="E23" i="8"/>
  <c r="E22" i="8"/>
  <c r="B22" i="8"/>
  <c r="C22" i="8"/>
  <c r="E21" i="8"/>
  <c r="B21" i="8"/>
  <c r="C21" i="8"/>
  <c r="E20" i="8"/>
  <c r="B20" i="8"/>
  <c r="C20" i="8"/>
  <c r="B19" i="8"/>
  <c r="C19" i="8"/>
  <c r="E19" i="8"/>
  <c r="B14" i="8"/>
  <c r="C14" i="8"/>
  <c r="E14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<sst xmlns="http://schemas.openxmlformats.org/spreadsheetml/2006/main" count="1312" uniqueCount="440">
  <si>
    <t>POKEMON SLEEP - WEEKLY TEAM PLANNER</t>
  </si>
  <si>
    <t>Name</t>
  </si>
  <si>
    <t>Berry</t>
  </si>
  <si>
    <t>Lvl</t>
  </si>
  <si>
    <t>Score</t>
  </si>
  <si>
    <t>Nature+</t>
  </si>
  <si>
    <t>Key</t>
  </si>
  <si>
    <t>IngrL1</t>
  </si>
  <si>
    <t>IngrL30</t>
  </si>
  <si>
    <t>IngrL60</t>
  </si>
  <si>
    <t>MatchCnt</t>
  </si>
  <si>
    <t>SkillL10</t>
  </si>
  <si>
    <t>BERRY TEAM - Kies jouw bessen deze week</t>
  </si>
  <si>
    <t>INGREDIENT TEAM - Kies kookcategorie</t>
  </si>
  <si>
    <t>SKILL TEAM - Top op Skill Score</t>
  </si>
  <si>
    <t>Berry 1:</t>
  </si>
  <si>
    <t>Oran</t>
  </si>
  <si>
    <t>Categorie:</t>
  </si>
  <si>
    <t>Curries/Stews</t>
  </si>
  <si>
    <t>Berry 2:</t>
  </si>
  <si>
    <t>Pecha</t>
  </si>
  <si>
    <t>Berry 3:</t>
  </si>
  <si>
    <t>Grepa</t>
  </si>
  <si>
    <t>Tip:</t>
  </si>
  <si>
    <t>honey • Pure Oil • Rousing Coffee</t>
  </si>
  <si>
    <t>Info:</t>
  </si>
  <si>
    <t>#</t>
  </si>
  <si>
    <t>Pokémon</t>
  </si>
  <si>
    <t>Nature +</t>
  </si>
  <si>
    <t>Ingr. L1</t>
  </si>
  <si>
    <t>Main Skill (L10)</t>
  </si>
  <si>
    <t>- Reserve -</t>
  </si>
  <si>
    <t>Lvl.</t>
  </si>
  <si>
    <t>Type</t>
  </si>
  <si>
    <t>Berries</t>
  </si>
  <si>
    <t>Ingredient Level 1</t>
  </si>
  <si>
    <t>Ingredient Level 30</t>
  </si>
  <si>
    <t>Ingredient Level 60</t>
  </si>
  <si>
    <t>Skill Level 10</t>
  </si>
  <si>
    <t>Skill Level25</t>
  </si>
  <si>
    <t>Skill Level 50</t>
  </si>
  <si>
    <t>Skill Level 75</t>
  </si>
  <si>
    <t>Skill Level 100</t>
  </si>
  <si>
    <t>Nature</t>
  </si>
  <si>
    <t>Nature Positives</t>
  </si>
  <si>
    <t>Nature Negatives</t>
  </si>
  <si>
    <t>Berry Score</t>
  </si>
  <si>
    <t>Ingredient Score</t>
  </si>
  <si>
    <t>Skill Score</t>
  </si>
  <si>
    <t>Team</t>
  </si>
  <si>
    <t>Totaal Score</t>
  </si>
  <si>
    <t>Advies</t>
  </si>
  <si>
    <t>Notities</t>
  </si>
  <si>
    <t>Pikachu</t>
  </si>
  <si>
    <t>Electric</t>
  </si>
  <si>
    <t>Fancy Apple</t>
  </si>
  <si>
    <t>Warming Ginger</t>
  </si>
  <si>
    <t>Inventory Up S</t>
  </si>
  <si>
    <t>Ingredient Finder S</t>
  </si>
  <si>
    <t>Inventory Up M</t>
  </si>
  <si>
    <t>Ingredient Finder M</t>
  </si>
  <si>
    <t>Skill Trigger S</t>
  </si>
  <si>
    <t>Modest</t>
  </si>
  <si>
    <t>Squirtle</t>
  </si>
  <si>
    <t>Water</t>
  </si>
  <si>
    <t>Moomoo Milk</t>
  </si>
  <si>
    <t>Soothing Cacao</t>
  </si>
  <si>
    <t>Inventory Up L</t>
  </si>
  <si>
    <t>Skill Trigger M</t>
  </si>
  <si>
    <t>Serious</t>
  </si>
  <si>
    <t>Igglybuff</t>
  </si>
  <si>
    <t>Fairy</t>
  </si>
  <si>
    <t>Honey</t>
  </si>
  <si>
    <t>Pure Oil</t>
  </si>
  <si>
    <t>Helping Speed S</t>
  </si>
  <si>
    <t>Naive</t>
  </si>
  <si>
    <t>Spheal</t>
  </si>
  <si>
    <t>Bean Sausage</t>
  </si>
  <si>
    <t>Berry Finding S</t>
  </si>
  <si>
    <t>Bold</t>
  </si>
  <si>
    <t>Cubone</t>
  </si>
  <si>
    <t>Ground</t>
  </si>
  <si>
    <t>Helping Speed M</t>
  </si>
  <si>
    <t>Skill Level Up M</t>
  </si>
  <si>
    <t>Naughty</t>
  </si>
  <si>
    <t>Pichu</t>
  </si>
  <si>
    <t>Skill Level Up S</t>
  </si>
  <si>
    <t>Impish</t>
  </si>
  <si>
    <t>Slowpoke</t>
  </si>
  <si>
    <t>Slowpoke Tail</t>
  </si>
  <si>
    <t>Jolly</t>
  </si>
  <si>
    <t>Noibat</t>
  </si>
  <si>
    <t>Dragon</t>
  </si>
  <si>
    <t>Large Leek</t>
  </si>
  <si>
    <t>Bashful</t>
  </si>
  <si>
    <t>Rattata</t>
  </si>
  <si>
    <t>Normal</t>
  </si>
  <si>
    <t>Greengrass Soybeans</t>
  </si>
  <si>
    <t>Research EXP Bonus</t>
  </si>
  <si>
    <t>Sleep EXP Bonus</t>
  </si>
  <si>
    <t>Mild</t>
  </si>
  <si>
    <t>Gulpin</t>
  </si>
  <si>
    <t>Poison</t>
  </si>
  <si>
    <t>Tasty Mushroom</t>
  </si>
  <si>
    <t>Dream Shard Bonus</t>
  </si>
  <si>
    <t>Hasty</t>
  </si>
  <si>
    <t>Swablu</t>
  </si>
  <si>
    <t>Flying</t>
  </si>
  <si>
    <t>Fancy Egg</t>
  </si>
  <si>
    <t>Rash</t>
  </si>
  <si>
    <t>Treecko</t>
  </si>
  <si>
    <t>Grass</t>
  </si>
  <si>
    <t>Growlithe</t>
  </si>
  <si>
    <t>Fire</t>
  </si>
  <si>
    <t>Fiery Herb</t>
  </si>
  <si>
    <t>Energy Recovery Bonus</t>
  </si>
  <si>
    <t>Psyduck</t>
  </si>
  <si>
    <t>Relaxed</t>
  </si>
  <si>
    <t>Riolu</t>
  </si>
  <si>
    <t>Fighting</t>
  </si>
  <si>
    <t>Soft Potato</t>
  </si>
  <si>
    <t>Helping Bonus</t>
  </si>
  <si>
    <t>Adamant</t>
  </si>
  <si>
    <t>Rousing Coffee</t>
  </si>
  <si>
    <t>Quiet</t>
  </si>
  <si>
    <t>Timid</t>
  </si>
  <si>
    <t>Drifloon</t>
  </si>
  <si>
    <t>Ghost</t>
  </si>
  <si>
    <t>Greengrass Corn</t>
  </si>
  <si>
    <t>Mareep</t>
  </si>
  <si>
    <t>Wynaut</t>
  </si>
  <si>
    <t>Psychic</t>
  </si>
  <si>
    <t>Larvitar</t>
  </si>
  <si>
    <t>Rock</t>
  </si>
  <si>
    <t>Quirky</t>
  </si>
  <si>
    <t>Bulbasaur</t>
  </si>
  <si>
    <t>Mudkip</t>
  </si>
  <si>
    <t>Togepi</t>
  </si>
  <si>
    <t>Geodude</t>
  </si>
  <si>
    <t>Totodile</t>
  </si>
  <si>
    <t>Houndour</t>
  </si>
  <si>
    <t>Dark</t>
  </si>
  <si>
    <t>Sassy</t>
  </si>
  <si>
    <t>Diglett</t>
  </si>
  <si>
    <t>Snoozy Tomato</t>
  </si>
  <si>
    <t>Ivysaur</t>
  </si>
  <si>
    <t>Marshtomp</t>
  </si>
  <si>
    <t>Magnemite</t>
  </si>
  <si>
    <t>Charmander</t>
  </si>
  <si>
    <t>Eevee</t>
  </si>
  <si>
    <t>Docile</t>
  </si>
  <si>
    <t>Brave</t>
  </si>
  <si>
    <t>Bonsly</t>
  </si>
  <si>
    <t>Lonely</t>
  </si>
  <si>
    <t>Latias</t>
  </si>
  <si>
    <t>Plump Pumpkin</t>
  </si>
  <si>
    <t>Hardy</t>
  </si>
  <si>
    <t>Ingredienten</t>
  </si>
  <si>
    <t>Skills</t>
  </si>
  <si>
    <t>Rarity</t>
  </si>
  <si>
    <t>Positive</t>
  </si>
  <si>
    <t>Negative</t>
  </si>
  <si>
    <t>Pokemon</t>
  </si>
  <si>
    <t>Persim</t>
  </si>
  <si>
    <t>Gold</t>
  </si>
  <si>
    <t>Ingredient Finding</t>
  </si>
  <si>
    <t>Energy Recovery</t>
  </si>
  <si>
    <t>Leppa</t>
  </si>
  <si>
    <t>EXP Gains</t>
  </si>
  <si>
    <t>Speed of Help</t>
  </si>
  <si>
    <t>Venusaur</t>
  </si>
  <si>
    <t>Durin</t>
  </si>
  <si>
    <t>Main Skill Chance</t>
  </si>
  <si>
    <t>Charmeleon</t>
  </si>
  <si>
    <t>Ice</t>
  </si>
  <si>
    <t>Rawst</t>
  </si>
  <si>
    <t>Careful</t>
  </si>
  <si>
    <t>Charizard</t>
  </si>
  <si>
    <t>Cheri</t>
  </si>
  <si>
    <t>Gentle</t>
  </si>
  <si>
    <t>Blue</t>
  </si>
  <si>
    <t>Calm</t>
  </si>
  <si>
    <t>Wartortle</t>
  </si>
  <si>
    <t>Figy</t>
  </si>
  <si>
    <t>Blastoise</t>
  </si>
  <si>
    <t>Lum</t>
  </si>
  <si>
    <t>Caterpie</t>
  </si>
  <si>
    <t>Mago</t>
  </si>
  <si>
    <t>Metapod</t>
  </si>
  <si>
    <t>Bug</t>
  </si>
  <si>
    <t>Butterfree</t>
  </si>
  <si>
    <t>Sitrus</t>
  </si>
  <si>
    <t>Bluk</t>
  </si>
  <si>
    <t>White</t>
  </si>
  <si>
    <t>Lax</t>
  </si>
  <si>
    <t>Raticate</t>
  </si>
  <si>
    <t>Yache</t>
  </si>
  <si>
    <t>Ekans</t>
  </si>
  <si>
    <t>Wiki</t>
  </si>
  <si>
    <t>Arbok</t>
  </si>
  <si>
    <t>Steel</t>
  </si>
  <si>
    <t>Belue</t>
  </si>
  <si>
    <t>Glossy Avocado</t>
  </si>
  <si>
    <t>Pikachu (Halloween)</t>
  </si>
  <si>
    <t>Pikachu (Holiday)</t>
  </si>
  <si>
    <t>Raichu</t>
  </si>
  <si>
    <t>Neutral</t>
  </si>
  <si>
    <t>Clefairy</t>
  </si>
  <si>
    <t>Clefable</t>
  </si>
  <si>
    <t>Vulpix</t>
  </si>
  <si>
    <t>Alolan Vulpix</t>
  </si>
  <si>
    <t>Ninetales</t>
  </si>
  <si>
    <t>Alolan Ninetales</t>
  </si>
  <si>
    <t>Jigglypuff</t>
  </si>
  <si>
    <t>Wigglytuff</t>
  </si>
  <si>
    <t>Dugtrio</t>
  </si>
  <si>
    <t>Meowth</t>
  </si>
  <si>
    <t>Persian</t>
  </si>
  <si>
    <t>Golduck</t>
  </si>
  <si>
    <t>Mankey</t>
  </si>
  <si>
    <t>Primeape</t>
  </si>
  <si>
    <t>Arcanine</t>
  </si>
  <si>
    <t>Bellsprout</t>
  </si>
  <si>
    <t>Weepinbell</t>
  </si>
  <si>
    <t>Victreebel</t>
  </si>
  <si>
    <t>Graveler</t>
  </si>
  <si>
    <t>Golem</t>
  </si>
  <si>
    <t>Slowbro</t>
  </si>
  <si>
    <t>Magneton</t>
  </si>
  <si>
    <t>Farfetch'd</t>
  </si>
  <si>
    <t>Doduo</t>
  </si>
  <si>
    <t>Dodrio</t>
  </si>
  <si>
    <t>Gastly</t>
  </si>
  <si>
    <t>Haunter</t>
  </si>
  <si>
    <t>Gengar</t>
  </si>
  <si>
    <t>Onix</t>
  </si>
  <si>
    <t>Marowak</t>
  </si>
  <si>
    <t>Chansey</t>
  </si>
  <si>
    <t>Kangaskhan</t>
  </si>
  <si>
    <t>Mr. Mime</t>
  </si>
  <si>
    <t>Pinsir</t>
  </si>
  <si>
    <t>Ditto</t>
  </si>
  <si>
    <t>Eevee (Holiday)</t>
  </si>
  <si>
    <t>Eevee (Halloween)</t>
  </si>
  <si>
    <t>Vaporeon</t>
  </si>
  <si>
    <t>Jolteon</t>
  </si>
  <si>
    <t>Flareon</t>
  </si>
  <si>
    <t>Dratini</t>
  </si>
  <si>
    <t>Dragonair</t>
  </si>
  <si>
    <t>Dragonite</t>
  </si>
  <si>
    <t>Mew</t>
  </si>
  <si>
    <t>Chikorita</t>
  </si>
  <si>
    <t>Bayleef</t>
  </si>
  <si>
    <t>Meganium</t>
  </si>
  <si>
    <t>Cyndaquil</t>
  </si>
  <si>
    <t>Quilava</t>
  </si>
  <si>
    <t>Typhlosion</t>
  </si>
  <si>
    <t>Croconaw</t>
  </si>
  <si>
    <t>Feraligatr</t>
  </si>
  <si>
    <t>Cleffa</t>
  </si>
  <si>
    <t>Togetic</t>
  </si>
  <si>
    <t>Natu</t>
  </si>
  <si>
    <t>Xatu</t>
  </si>
  <si>
    <t>Flaaffy</t>
  </si>
  <si>
    <t>Ampharos</t>
  </si>
  <si>
    <t>Sudowoodo</t>
  </si>
  <si>
    <t>Wooper</t>
  </si>
  <si>
    <t>Paldean Wooper</t>
  </si>
  <si>
    <t>Quagsire</t>
  </si>
  <si>
    <t>Espeon</t>
  </si>
  <si>
    <t>Umbreon</t>
  </si>
  <si>
    <t>Murkrow</t>
  </si>
  <si>
    <t>Slowking</t>
  </si>
  <si>
    <t>Wobbuffet</t>
  </si>
  <si>
    <t>Steelix</t>
  </si>
  <si>
    <t>Shuckle</t>
  </si>
  <si>
    <t>Heracross</t>
  </si>
  <si>
    <t>Sneasel</t>
  </si>
  <si>
    <t>Delibird</t>
  </si>
  <si>
    <t>Houndoom</t>
  </si>
  <si>
    <t>Blissey</t>
  </si>
  <si>
    <t>Raikou</t>
  </si>
  <si>
    <t>Entei</t>
  </si>
  <si>
    <t>Suicune</t>
  </si>
  <si>
    <t>Pupitar</t>
  </si>
  <si>
    <t>Tyranitar</t>
  </si>
  <si>
    <t>Grovyle</t>
  </si>
  <si>
    <t>Sceptile</t>
  </si>
  <si>
    <t>Torchic</t>
  </si>
  <si>
    <t>Combusken</t>
  </si>
  <si>
    <t>Blaziken</t>
  </si>
  <si>
    <t>Swampert</t>
  </si>
  <si>
    <t>Ralts</t>
  </si>
  <si>
    <t>Kirlia</t>
  </si>
  <si>
    <t>Gardevoir</t>
  </si>
  <si>
    <t>Slakoth</t>
  </si>
  <si>
    <t>Vigoroth</t>
  </si>
  <si>
    <t>Slaking</t>
  </si>
  <si>
    <t>Sableye</t>
  </si>
  <si>
    <t>Mawile</t>
  </si>
  <si>
    <t>Aron</t>
  </si>
  <si>
    <t>Lairon</t>
  </si>
  <si>
    <t>Aggron</t>
  </si>
  <si>
    <t>Plusle</t>
  </si>
  <si>
    <t>Minun</t>
  </si>
  <si>
    <t>Swalot</t>
  </si>
  <si>
    <t>Trapinch</t>
  </si>
  <si>
    <t>Vibrava</t>
  </si>
  <si>
    <t>Flygon</t>
  </si>
  <si>
    <t>Altaria</t>
  </si>
  <si>
    <t>Shuppet</t>
  </si>
  <si>
    <t>Banette</t>
  </si>
  <si>
    <t>Absol</t>
  </si>
  <si>
    <t>Spheal (Holiday)</t>
  </si>
  <si>
    <t>Sealeo</t>
  </si>
  <si>
    <t>Walrein</t>
  </si>
  <si>
    <t>Bagon</t>
  </si>
  <si>
    <t>Shelgon</t>
  </si>
  <si>
    <t>Salamence</t>
  </si>
  <si>
    <t>Shinx</t>
  </si>
  <si>
    <t>Luxio</t>
  </si>
  <si>
    <t>Luxray</t>
  </si>
  <si>
    <t>Drifblim</t>
  </si>
  <si>
    <t>Honchkrow</t>
  </si>
  <si>
    <t>Mime Jr.</t>
  </si>
  <si>
    <t>Happiny</t>
  </si>
  <si>
    <t>Spiritomb</t>
  </si>
  <si>
    <t>Lucario</t>
  </si>
  <si>
    <t>Croagunk</t>
  </si>
  <si>
    <t>Toxicroak</t>
  </si>
  <si>
    <t>Snover</t>
  </si>
  <si>
    <t>Abomasnow</t>
  </si>
  <si>
    <t>Weavile</t>
  </si>
  <si>
    <t>Magnezone</t>
  </si>
  <si>
    <t>Togekiss</t>
  </si>
  <si>
    <t>Leafeon</t>
  </si>
  <si>
    <t>Glaceon</t>
  </si>
  <si>
    <t>Gallade</t>
  </si>
  <si>
    <t>Cresselia</t>
  </si>
  <si>
    <t>Darkrai</t>
  </si>
  <si>
    <t>Munna</t>
  </si>
  <si>
    <t>Musharna</t>
  </si>
  <si>
    <t>Dwebble</t>
  </si>
  <si>
    <t>Crustle</t>
  </si>
  <si>
    <t>Rufflet</t>
  </si>
  <si>
    <t>Braviary</t>
  </si>
  <si>
    <t>Sylveon</t>
  </si>
  <si>
    <t>Dedenne</t>
  </si>
  <si>
    <t>Pumpkaboo</t>
  </si>
  <si>
    <t>Gourgeist</t>
  </si>
  <si>
    <t>Grubbin</t>
  </si>
  <si>
    <t>Charjabug</t>
  </si>
  <si>
    <t>Vikavolt</t>
  </si>
  <si>
    <t>Cutiefly</t>
  </si>
  <si>
    <t>Ribombee</t>
  </si>
  <si>
    <t>Stufful</t>
  </si>
  <si>
    <t>Bewear</t>
  </si>
  <si>
    <t>Comfey</t>
  </si>
  <si>
    <t>Togedemaru</t>
  </si>
  <si>
    <t>Mimikyu</t>
  </si>
  <si>
    <t>Cramorant</t>
  </si>
  <si>
    <t>Toxel</t>
  </si>
  <si>
    <t>Toxtricity (Amped Form)</t>
  </si>
  <si>
    <t>Toxtricity (Low Key Form)</t>
  </si>
  <si>
    <t>Sprigatito</t>
  </si>
  <si>
    <t>Floragato</t>
  </si>
  <si>
    <t>Meowscarada</t>
  </si>
  <si>
    <t>Fuecoco</t>
  </si>
  <si>
    <t>Crocalor</t>
  </si>
  <si>
    <t>Skeledirge</t>
  </si>
  <si>
    <t>Quaxly</t>
  </si>
  <si>
    <t>Quaxwell</t>
  </si>
  <si>
    <t>Quaquaval</t>
  </si>
  <si>
    <t>Pawmi</t>
  </si>
  <si>
    <t>Pawmo</t>
  </si>
  <si>
    <t>Pawmot</t>
  </si>
  <si>
    <t>Cetoddle</t>
  </si>
  <si>
    <t>Cetitan</t>
  </si>
  <si>
    <t>Clodsire</t>
  </si>
  <si>
    <t>🍇 Berry Team</t>
  </si>
  <si>
    <t>Pokémon die het beste bessen verzamelen — Nature met Speed of Help, Helping Speed skills</t>
  </si>
  <si>
    <t>Ingredient L1</t>
  </si>
  <si>
    <t>Ingredient L30</t>
  </si>
  <si>
    <t>Ingredient L60</t>
  </si>
  <si>
    <t>Nature −</t>
  </si>
  <si>
    <t>Samenvatting</t>
  </si>
  <si>
    <t>Aantal Pokémon:</t>
  </si>
  <si>
    <t>Gem. Level:</t>
  </si>
  <si>
    <t>Hoogste Score:</t>
  </si>
  <si>
    <t>Top Pokémon:</t>
  </si>
  <si>
    <t>🍳 Ingredient Team</t>
  </si>
  <si>
    <t>Pokémon die het beste ingrediënten vinden — Nature met Ingredient Finding, Ingredient Finder skills</t>
  </si>
  <si>
    <t>Ingr. Score</t>
  </si>
  <si>
    <t>✨ Skill Team</t>
  </si>
  <si>
    <t>Pokémon met sterke main skills — Nature met Main Skill Chance, Skill Trigger/Level Up skills</t>
  </si>
  <si>
    <t>Skill L10</t>
  </si>
  <si>
    <t>Skill L25</t>
  </si>
  <si>
    <t>Skill L50</t>
  </si>
  <si>
    <t>Skill L75</t>
  </si>
  <si>
    <t>Skill L100</t>
  </si>
  <si>
    <t>📋 Pokémon Advies — Keep / Level Up / Transfer</t>
  </si>
  <si>
    <t>Automatisch gegenereerd op basis van nature, skills, level en evolutie-potentieel</t>
  </si>
  <si>
    <t>⭐ KEEP — Direct inzetten!</t>
  </si>
  <si>
    <t>🚀 Zero-to-Hero Evoluties</t>
  </si>
  <si>
    <t>Evolueert naar</t>
  </si>
  <si>
    <t>Waarom sterk?</t>
  </si>
  <si>
    <t>Prio</t>
  </si>
  <si>
    <t>Snelste berry helper in het spel</t>
  </si>
  <si>
    <t>⭐⭐⭐</t>
  </si>
  <si>
    <t>Energy for Everyone S = hele team herstelt</t>
  </si>
  <si>
    <t>Energy for Everyone S, werkt overal</t>
  </si>
  <si>
    <t>Snelle berry+ingredient, Kanto starter OP</t>
  </si>
  <si>
    <t>Key voor Snowdrop Tundra</t>
  </si>
  <si>
    <t>⭐⭐</t>
  </si>
  <si>
    <t>Hoge frequentie + Charge Strength M</t>
  </si>
  <si>
    <t>Top berry voor Cyan Beach</t>
  </si>
  <si>
    <t>Sterke all-round fighter</t>
  </si>
  <si>
    <t>💡 Wacht met evolven tot je goede Nature hebt!</t>
  </si>
  <si>
    <t>📈 LEVEL UP — Investeer erin, potentieel is groot!</t>
  </si>
  <si>
    <t>📊 Samenvatting</t>
  </si>
  <si>
    <t>⭐ Keep:</t>
  </si>
  <si>
    <t>📈 Level Up:</t>
  </si>
  <si>
    <t>🤔 Bench:</t>
  </si>
  <si>
    <t>❌ Transfer:</t>
  </si>
  <si>
    <t>Totaal:</t>
  </si>
  <si>
    <t>🤔 BENCH — Bewaar voorlopig, maar lage prioriteit</t>
  </si>
  <si>
    <t>Opmerkingen</t>
  </si>
  <si>
    <t>❌ TRANSFER — Stuur naar Professor Neroli voor candy</t>
  </si>
  <si>
    <t>Waarom transferren?</t>
  </si>
  <si>
    <t>Kookcategorie:</t>
  </si>
  <si>
    <t>Salads</t>
  </si>
  <si>
    <t>Desserts/Drinks</t>
  </si>
  <si>
    <t>Chesto</t>
  </si>
  <si>
    <t>Pamtre</t>
  </si>
  <si>
    <t>Base Pokémon</t>
  </si>
  <si>
    <t>Evolutie</t>
  </si>
  <si>
    <t>Specialisatie</t>
  </si>
  <si>
    <t>Ingredient</t>
  </si>
  <si>
    <t>Skill</t>
  </si>
  <si>
    <t>Beste Evolutie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</si>
</sst>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>
    <font>
      <sz val="11"/>
      <color theme="1"/>
      <name val="Calibri"/>
      <family val="2"/>
      <scheme val="minor"/>
    </font>
    <font>
      <b/>
      <sz val="13.5"/>
      <color theme="1"/>
      <name val="Arial"/>
      <charset val="1"/>
    </font>
    <font>
      <sz val="10"/>
      <color theme="1"/>
      <name val="Arial"/>
      <charset val="1"/>
    </font>
    <font>
      <b/>
      <sz val="11"/>
      <color theme="1"/>
      <name val="Google Sans Text"/>
      <family val="2"/>
      <charset val="1"/>
    </font>
    <font>
      <sz val="11"/>
      <color theme="1"/>
      <name val="Google Sans Text"/>
      <family val="2"/>
      <charset val="1"/>
    </font>
    <font>
      <sz val="10"/>
      <color theme="9" tint="-0.499984740745262"/>
      <name val="Arial"/>
      <family val="2"/>
    </font>
    <font>
      <sz val="11"/>
      <color theme="9" tint="-0.499984740745262"/>
      <name val="Calibri"/>
      <family val="2"/>
      <scheme val="minor"/>
    </font>
    <font>
      <b/>
      <sz val="13.5"/>
      <color theme="9" tint="-0.499984740745262"/>
      <name val="Arial"/>
      <family val="2"/>
    </font>
    <font>
      <sz val="10"/>
      <color theme="1"/>
      <name val="Arial"/>
      <family val="2"/>
      <charset val="1"/>
    </font>
    <font>
      <b/>
      <sz val="13.5"/>
      <color theme="1"/>
      <name val="Arial"/>
      <family val="2"/>
      <charset val="1"/>
    </font>
    <font>
      <b/>
      <sz val="11"/>
      <color theme="1"/>
      <name val="Calibri"/>
      <family val="2"/>
      <scheme val="minor"/>
    </font>
    <font>
      <b/>
      <sz val="14"/>
      <color rgb="FFCC0066"/>
      <name val="Calibri"/>
      <family val="2"/>
      <scheme val="minor"/>
    </font>
    <font>
      <i/>
      <sz val="9"/>
      <color rgb="FF666666"/>
      <name val="Calibri"/>
      <family val="2"/>
      <scheme val="minor"/>
    </font>
    <font>
      <b/>
      <sz val="14"/>
      <color rgb="FF008800"/>
      <name val="Calibri"/>
      <family val="2"/>
      <scheme val="minor"/>
    </font>
    <font>
      <b/>
      <sz val="14"/>
      <color rgb="FF0000CC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D84315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2E7D32"/>
      <name val="Calibri"/>
      <family val="2"/>
      <scheme val="minor"/>
    </font>
    <font>
      <b/>
      <sz val="11"/>
      <color rgb="FF1565C0"/>
      <name val="Calibri"/>
      <family val="2"/>
      <scheme val="minor"/>
    </font>
    <font>
      <b/>
      <sz val="11"/>
      <color rgb="FFF57F17"/>
      <name val="Calibri"/>
      <family val="2"/>
      <scheme val="minor"/>
    </font>
    <font>
      <b/>
      <sz val="11"/>
      <color rgb="FFC62828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27">
    <fill>
      <patternFill patternType="none"/>
    </fill>
    <fill>
      <patternFill patternType="gray125"/>
    </fill>
    <fill>
      <patternFill patternType="solid">
        <fgColor rgb="FFFFD6D6"/>
        <bgColor indexed="64"/>
      </patternFill>
    </fill>
    <fill>
      <patternFill patternType="solid">
        <fgColor rgb="FFD6FFD6"/>
        <bgColor indexed="64"/>
      </patternFill>
    </fill>
    <fill>
      <patternFill patternType="solid">
        <fgColor rgb="FFD6D6FF"/>
        <bgColor indexed="64"/>
      </patternFill>
    </fill>
    <fill>
      <patternFill patternType="solid">
        <fgColor rgb="FFFFFFD6"/>
        <bgColor indexed="64"/>
      </patternFill>
    </fill>
    <fill>
      <patternFill patternType="solid">
        <fgColor rgb="FFE8D5F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F57F17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F2CC"/>
      </patternFill>
    </fill>
    <fill>
      <patternFill patternType="solid">
        <fgColor rgb="FF404040"/>
      </patternFill>
    </fill>
    <fill>
      <patternFill patternType="solid">
        <fgColor rgb="FF92D05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/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/>
    <xf numFmtId="0" fontId="8" fillId="0" borderId="0" xfId="0" applyFont="1"/>
    <xf numFmtId="0" fontId="1" fillId="2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11" fillId="0" borderId="0" xfId="0" applyFont="1"/>
    <xf numFmtId="0" fontId="12" fillId="0" borderId="0" xfId="0" applyFont="1"/>
    <xf numFmtId="0" fontId="10" fillId="0" borderId="0" xfId="0" applyFont="1"/>
    <xf numFmtId="0" fontId="10" fillId="2" borderId="0" xfId="0" applyFont="1" applyFill="1"/>
    <xf numFmtId="164" fontId="0" fillId="0" borderId="0" xfId="0" applyNumberFormat="1"/>
    <xf numFmtId="0" fontId="13" fillId="0" borderId="0" xfId="0" applyFont="1"/>
    <xf numFmtId="0" fontId="10" fillId="3" borderId="0" xfId="0" applyFont="1" applyFill="1"/>
    <xf numFmtId="0" fontId="14" fillId="0" borderId="0" xfId="0" applyFont="1"/>
    <xf numFmtId="0" fontId="10" fillId="4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5" fillId="0" borderId="0" xfId="0" applyFont="1"/>
    <xf numFmtId="0" fontId="16" fillId="9" borderId="0" xfId="0" applyFont="1" applyFill="1"/>
    <xf numFmtId="0" fontId="10" fillId="10" borderId="0" xfId="0" applyFont="1" applyFill="1"/>
    <xf numFmtId="0" fontId="16" fillId="11" borderId="0" xfId="0" applyFont="1" applyFill="1"/>
    <xf numFmtId="0" fontId="10" fillId="12" borderId="0" xfId="0" applyFont="1" applyFill="1"/>
    <xf numFmtId="0" fontId="16" fillId="13" borderId="0" xfId="0" applyFont="1" applyFill="1"/>
    <xf numFmtId="0" fontId="10" fillId="14" borderId="0" xfId="0" applyFont="1" applyFill="1"/>
    <xf numFmtId="0" fontId="16" fillId="15" borderId="0" xfId="0" applyFont="1" applyFill="1"/>
    <xf numFmtId="0" fontId="10" fillId="16" borderId="0" xfId="0" applyFont="1" applyFill="1"/>
    <xf numFmtId="0" fontId="16" fillId="17" borderId="0" xfId="0" applyFont="1" applyFill="1"/>
    <xf numFmtId="0" fontId="10" fillId="18" borderId="0" xfId="0" applyFont="1" applyFill="1"/>
    <xf numFmtId="0" fontId="17" fillId="0" borderId="0" xfId="0" applyFont="1"/>
    <xf numFmtId="0" fontId="18" fillId="19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0" fillId="20" borderId="0" xfId="0" applyFill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0" fillId="20" borderId="2" xfId="0" applyFill="1" applyBorder="1" applyAlignment="1">
      <alignment horizontal="left" vertical="center" wrapText="1"/>
    </xf>
    <xf numFmtId="0" fontId="25" fillId="22" borderId="2" xfId="0" applyFont="1" applyFill="1" applyBorder="1" applyAlignment="1">
      <alignment horizontal="center" vertical="center" wrapText="1"/>
    </xf>
    <xf numFmtId="0" fontId="25" fillId="23" borderId="2" xfId="0" applyFont="1" applyFill="1" applyBorder="1" applyAlignment="1">
      <alignment horizontal="center" vertical="center" wrapText="1"/>
    </xf>
    <xf numFmtId="0" fontId="25" fillId="2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3" fillId="0" borderId="1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0" xfId="0" applyProtection="1">
      <protection locked="0"/>
    </xf>
    <xf numFmtId="0" fontId="0" fillId="20" borderId="2" xfId="0" applyFill="1" applyBorder="1" applyAlignment="1" applyProtection="1">
      <alignment horizontal="left" vertical="center" wrapText="1"/>
      <protection locked="0"/>
    </xf>
    <xf numFmtId="0" fontId="25" fillId="22" borderId="2" xfId="0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left" vertical="center" wrapText="1"/>
      <protection locked="0"/>
    </xf>
    <xf numFmtId="0" fontId="2" fillId="26" borderId="0" xfId="0" applyFont="1" applyFill="1"/>
    <xf numFmtId="0" fontId="25" fillId="23" borderId="0" xfId="0" applyFont="1" applyFill="1" applyAlignment="1">
      <alignment horizontal="center" vertical="center" wrapText="1"/>
    </xf>
    <xf numFmtId="0" fontId="0" fillId="0" borderId="0" xfId="0"/>
    <xf numFmtId="0" fontId="23" fillId="25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25" fillId="24" borderId="0" xfId="0" applyFont="1" applyFill="1" applyAlignment="1">
      <alignment horizontal="center" vertical="center" wrapText="1"/>
    </xf>
    <xf numFmtId="0" fontId="24" fillId="21" borderId="0" xfId="0" applyFont="1" applyFill="1" applyAlignment="1">
      <alignment horizontal="center" vertical="center" wrapText="1"/>
    </xf>
    <xf numFmtId="0" fontId="25" fillId="22" borderId="0" xfId="0" applyFont="1" applyFill="1" applyAlignment="1">
      <alignment horizontal="center" vertical="center" wrapText="1"/>
    </xf>
    <xf numFmtId="0" fontId="2" fillId="0" borderId="0" xfId="0" applyNumberFormat="1" applyFont="1" applyAlignment="1">
      <alignment wrapText="1"/>
    </xf>
  </cellXfs>
  <cellStyles count="1">
    <cellStyle name="Standaard" xfId="0" builtinId="0"/>
  </cellStyles>
  <dxfs count="51"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color rgb="FFC62828"/>
      </font>
      <fill>
        <patternFill patternType="solid">
          <fgColor indexed="64"/>
          <bgColor rgb="FFFFCDD2"/>
        </patternFill>
      </fill>
    </dxf>
    <dxf>
      <font>
        <color rgb="FFF57F17"/>
      </font>
      <fill>
        <patternFill patternType="solid">
          <fgColor indexed="64"/>
          <bgColor rgb="FFFFF9C4"/>
        </patternFill>
      </fill>
    </dxf>
    <dxf>
      <font>
        <color rgb="FF1565C0"/>
      </font>
      <fill>
        <patternFill patternType="solid">
          <fgColor indexed="64"/>
          <bgColor rgb="FFBBDEFB"/>
        </patternFill>
      </fill>
    </dxf>
    <dxf>
      <font>
        <color rgb="FF2E7D32"/>
      </font>
      <fill>
        <patternFill patternType="solid">
          <fgColor indexed="64"/>
          <bgColor rgb="FFC8E6C9"/>
        </patternFill>
      </fill>
    </dxf>
    <dxf>
      <font>
        <color rgb="FF999999"/>
      </font>
      <fill>
        <patternFill patternType="solid">
          <fgColor indexed="64"/>
          <bgColor rgb="FFF0F0F0"/>
        </patternFill>
      </fill>
    </dxf>
    <dxf>
      <font>
        <color rgb="FF0000CC"/>
      </font>
      <fill>
        <patternFill patternType="solid">
          <fgColor indexed="64"/>
          <bgColor rgb="FFE6E6FF"/>
        </patternFill>
      </fill>
    </dxf>
    <dxf>
      <font>
        <color rgb="FF008800"/>
      </font>
      <fill>
        <patternFill patternType="solid">
          <fgColor indexed="64"/>
          <bgColor rgb="FFE6FFE6"/>
        </patternFill>
      </fill>
    </dxf>
    <dxf>
      <font>
        <color rgb="FFCC0066"/>
      </font>
      <fill>
        <patternFill patternType="solid">
          <fgColor indexed="64"/>
          <bgColor rgb="FFFFE6F0"/>
        </patternFill>
      </fill>
    </dxf>
    <dxf>
      <font>
        <color rgb="FFC00000"/>
      </font>
    </dxf>
    <dxf>
      <font>
        <color rgb="FF00B0F0"/>
      </font>
    </dxf>
    <dxf>
      <font>
        <color rgb="FFC00000"/>
      </font>
    </dxf>
    <dxf>
      <font>
        <color rgb="FF375623"/>
      </font>
    </dxf>
    <dxf>
      <font>
        <color rgb="FFC00000"/>
      </font>
    </dxf>
    <dxf>
      <font>
        <color rgb="FF375623"/>
      </font>
    </dxf>
    <dxf>
      <font>
        <color rgb="FFC00000"/>
      </font>
    </dxf>
    <dxf>
      <font>
        <color rgb="FF375623"/>
      </font>
    </dxf>
    <dxf>
      <font>
        <color rgb="FFC00000"/>
      </font>
    </dxf>
    <dxf>
      <font>
        <color rgb="FF375623"/>
      </font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color rgb="FF7B6000"/>
      </font>
      <fill>
        <patternFill patternType="solid">
          <fgColor indexed="64"/>
          <bgColor rgb="FFFFD700"/>
        </patternFill>
      </fill>
    </dxf>
    <dxf>
      <font>
        <color rgb="FFC00000"/>
      </font>
    </dxf>
    <dxf>
      <font>
        <color rgb="FF375623"/>
      </font>
    </dxf>
    <dxf>
      <font>
        <color theme="9" tint="-0.499984740745262"/>
      </font>
    </dxf>
    <dxf>
      <font>
        <color rgb="FFC00000"/>
      </font>
    </dxf>
    <dxf>
      <font>
        <color theme="9" tint="-0.499984740745262"/>
      </font>
    </dxf>
    <dxf>
      <font>
        <color rgb="FFC00000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b/>
        <strike val="0"/>
        <condense val="0"/>
        <extend val="0"/>
        <outline val="0"/>
        <shadow val="0"/>
        <vertAlign val="baseline"/>
        <sz val="13.5"/>
        <color theme="1"/>
        <name val="Arial"/>
        <charset val="1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W250" totalsRowShown="0" headerRowDxfId="50" dataDxfId="49">
  <autoFilter ref="A1:W250" xr:uid="{00000000-0009-0000-0100-000001000000}"/>
  <tableColumns count="23">
    <tableColumn id="1" xr3:uid="{00000000-0010-0000-0000-000001000000}" name="Pokémon" dataDxfId="48"/>
    <tableColumn id="3" xr3:uid="{00000000-0010-0000-0000-000003000000}" name="Lvl." dataDxfId="47"/>
    <tableColumn id="2" xr3:uid="{00000000-0010-0000-0000-000002000000}" name="Type" dataDxfId="46"/>
    <tableColumn id="4" xr3:uid="{00000000-0010-0000-0000-000004000000}" name="Berries" dataDxfId="45">
      <calculatedColumnFormula>IF(C2="","",VLOOKUP(C2,Referentie!$A$2:$B$19,2,0))</calculatedColumnFormula>
    </tableColumn>
    <tableColumn id="5" xr3:uid="{00000000-0010-0000-0000-000005000000}" name="Ingredient Level 1" dataDxfId="44"/>
    <tableColumn id="8" xr3:uid="{00000000-0010-0000-0000-000008000000}" name="Ingredient Level 30" dataDxfId="43"/>
    <tableColumn id="9" xr3:uid="{00000000-0010-0000-0000-000009000000}" name="Ingredient Level 60" dataDxfId="42"/>
    <tableColumn id="10" xr3:uid="{00000000-0010-0000-0000-00000A000000}" name="Skill Level 10" dataDxfId="41"/>
    <tableColumn id="11" xr3:uid="{00000000-0010-0000-0000-00000B000000}" name="Skill Level25" dataDxfId="40"/>
    <tableColumn id="12" xr3:uid="{00000000-0010-0000-0000-00000C000000}" name="Skill Level 50" dataDxfId="39"/>
    <tableColumn id="13" xr3:uid="{00000000-0010-0000-0000-00000D000000}" name="Skill Level 75" dataDxfId="38"/>
    <tableColumn id="14" xr3:uid="{00000000-0010-0000-0000-00000E000000}" name="Skill Level 100" dataDxfId="37"/>
    <tableColumn id="7" xr3:uid="{00000000-0010-0000-0000-000007000000}" name="Nature" dataDxfId="36"/>
    <tableColumn id="15" xr3:uid="{00000000-0010-0000-0000-00000F000000}" name="Nature Positives" dataDxfId="35">
      <calculatedColumnFormula>IF(M2="","",VLOOKUP(M2,Referentie!$G$2:$I$26,2,0))</calculatedColumnFormula>
    </tableColumn>
    <tableColumn id="17" xr3:uid="{00000000-0010-0000-0000-000011000000}" name="Nature Negatives" dataDxfId="34">
      <calculatedColumnFormula>IF(M2="","",VLOOKUP(M2,Referentie!$G$2:$I$26,3,0))</calculatedColumnFormula>
    </tableColumn>
    <tableColumn id="6" xr3:uid="{00000000-0010-0000-0000-000006000000}" name="Berry Score" dataDxfId="33">
      <calculatedColumnFormula>IF(A2="","",  (IF(N2="Speed of Help",2,0)) + (IF(O2="Speed of Help",-2,0)) + (IF(N2="EXP Gains",1,0)) + (IF(O2="EXP Gains",-1,0)) +  (COUNTIF(H2:L2,"Helping Speed S")*1) + (COUNTIF(H2:L2,"Helping Speed M")*2) + (COUNTIF(H2:L2,"Berry Finding S")*2) + (COUNTIF(H2:L2,"Helping Bonus")*1) +  (IF(O2="Ingredient Finding",0,0)) + (IF(O2="Main Skill Chance",0,0))  )</calculatedColumnFormula>
    </tableColumn>
    <tableColumn id="16" xr3:uid="{00000000-0010-0000-0000-000010000000}" name="Ingredient Score" dataDxfId="32">
      <calculatedColumnFormula>IF(A2="","",  (IF(N2="Ingredient Finding",2,0)) + (IF(O2="Ingredient Finding",-2,0)) + (IF(N2="EXP Gains",1,0)) + (IF(O2="EXP Gains",-1,0)) +  (COUNTIF(H2:L2,"Ingredient Finder S")*1) + (COUNTIF(H2:L2,"Ingredient Finder M")*2) + (COUNTIF(H2:L2,"Inventory Up S")*0.5) + (COUNTIF(H2:L2,"Inventory Up M")*1) + (COUNTIF(H2:L2,"Inventory Up L")*1.5) +  (IF(E2=F2,1,0)) + (IF(F2=G2,1,0))  )</calculatedColumnFormula>
    </tableColumn>
    <tableColumn id="18" xr3:uid="{00000000-0010-0000-0000-000012000000}" name="Skill Score" dataDxfId="31">
      <calculatedColumnFormula>IF(A2="","",  (IF(N2="Main Skill Chance",2,0)) + (IF(O2="Main Skill Chance",-2,0)) + (IF(N2="EXP Gains",1,0)) + (IF(O2="EXP Gains",-1,0)) +  (COUNTIF(H2:L2,"Skill Trigger S")*1) + (COUNTIF(H2:L2,"Skill Trigger M")*2) + (COUNTIF(H2:L2,"Skill Level Up S")*1) + (COUNTIF(H2:L2,"Skill Level Up M")*2) + (COUNTIF(H2:L2,"Energy Recovery Bonus")*1.5) + (COUNTIF(H2:L2,"Sleep EXP Bonus")*1) + (COUNTIF(H2:L2,"Research EXP Bonus")*1)  )</calculatedColumnFormula>
    </tableColumn>
    <tableColumn id="19" xr3:uid="{00000000-0010-0000-0000-000013000000}" name="Team" dataDxfId="30">
      <calculatedColumnFormula>IF(A2="","",  IF(AND(P2&lt;=1, Q2&lt;=1, R2&lt;=1), "Bench",  IF(AND(P2&gt;=Q2, P2&gt;=R2), "Berry",  IF(AND(Q2&gt;=P2, Q2&gt;=R2), "Ingredient",  "Skill")))  )</calculatedColumnFormula>
    </tableColumn>
    <tableColumn id="20" xr3:uid="{00000000-0010-0000-0000-000014000000}" name="Totaal Score" dataDxfId="0">
      <calculatedColumnFormula>IF(A2="","", MAX(P2,Q2,R2) + IF(OR(N2="Speed of Help",N2="Ingredient Finding",N2="Main Skill Chance"),1,0) + IF(N2="Neutral",0, IF(O2="Neutral",0.5,0)) + IF(B2&gt;=10,0.5,0) + IF(AND(W2&lt;&gt;"",W2&lt;&gt;"Geen match gevonden"),1.5,0) )</calculatedColumnFormula>
    </tableColumn>
    <tableColumn id="21" xr3:uid="{00000000-0010-0000-0000-000015000000}" name="Advies" dataDxfId="29">
      <calculatedColumnFormula>IF(A2="","", IF(T2&gt;=7, "⭐ Keep", IF(T2&gt;=5, "📈 Level Up", IF(T2&gt;=3, "🤔 Bench", "❌ Transfer")))  )</calculatedColumnFormula>
    </tableColumn>
    <tableColumn id="22" xr3:uid="{00000000-0010-0000-0000-000016000000}" name="Notities" dataDxfId="28">
      <calculatedColumnFormula>IF(A2="","", _xlfn.TEXTJOIN("; ",TRUE, IF(A2="Pikachu","Evolve naar Raichu = snelste berry helper!",""), IF(A2="Pichu","Evolve → Pikachu → Raichu (top berry)",""), IF(A2="Eevee","Sylveon (skill) of Jolteon (berry) = top evoluties",""), IF(A2="Igglybuff","Evolve → Wigglytuff = Energy for Everyone S (top skill!)",""), IF(A2="Squirtle","Kanto starter: 2x ingrediënten + Ingredient Magnet S",""), IF(A2="Charmander","Evolve → Charizard = snelle berry+ingredient verzamelaar",""), IF(A2="Bulbasaur","Kanto starter: 2x ingrediënten + Ingredient Magnet S",""), IF(A2="Growlithe","Evolve → Arcanine = sterke all-rounder",""), IF(A2="Mareep","Evolve → Ampharos = hoge frequentie + waardevolle ingrediënten",""), IF(A2="Spheal","Evolve → Walrein = key voor Snowdrop Tundra (berry+ingr)",""), IF(A2="Riolu","Evolve → Lucario = sterke fighter",""), IF(A2="Togepi","Let op: Togekiss Metronome is onbetrouwbaar",""), IF(A2="Totodile","Evolve → Feraligatr = top berry voor Cyan Beach",""), IF(A2="Magnemite","Evolve → Magnezone = sterke skill helper",""), IF(A2="Ivysaur","Evolve → Venusaur = 2x ingrediënten specialist",""), IF(OR(N2="Neutral",O2="Neutral"),"Neutrale nature = ok maar niet ideaal",""), IF(AND(N2="Speed of Help",OR(S2="Berry",S2="Ingredient")),"Perfecte nature voor "&amp;S2&amp;" team!",""), IF(AND(N2="Ingredient Finding",S2="Ingredient"),"Perfecte nature voor Ingredient team!",""), IF(AND(N2="Main Skill Chance",S2="Skill"),"Perfecte nature voor Skill team!",""), IF(AND(O2="Speed of Help",S2="Berry"),"Let op: Speed of Help NEGATIEF schaadt berry-prestatie",""), IF(AND(O2="Ingredient Finding",S2="Ingredient"),"Let op: Ingredient Finding NEGATIEF schaadt ingredient-prestatie","") ))</calculatedColumnFormula>
    </tableColumn>
    <tableColumn id="23" xr3:uid="{7F87A89E-36D7-4A27-A8A1-4968B66A5E58}" name="Beste Evolutie" dataDxfId="1">
      <calculatedColumnFormula array="1">IF(A2="","", IF(COUNTIF(Referentie!$L$2:$L$21,A2)&lt;=1, "", IFERROR(INDEX(Referentie!$M$2:$M$21, MATCH(1,(Referentie!$L$2:$L$21=A2)*(Referentie!$N$2:$N$21=S2),0)), IF(S2="Bench","", "Geen match gevonden"))) )</calculatedColumnFormula>
    </tableColumn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77953D-C940-437D-AC85-2672D701EAE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ed77876-a8b5-4d9a-9e22-dac76f5a1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0"/>
  <sheetViews>
    <sheetView tabSelected="1" topLeftCell="O22" zoomScale="115" zoomScaleNormal="115" workbookViewId="0">
      <selection activeCell="W54" sqref="W54"/>
    </sheetView>
  </sheetViews>
  <sheetFormatPr defaultRowHeight="15"/>
  <cols>
    <col min="1" max="1" width="17.140625" customWidth="1"/>
    <col min="2" max="2" width="6.7109375" customWidth="1"/>
    <col min="3" max="3" width="11.42578125" customWidth="1"/>
    <col min="4" max="4" width="10.42578125" customWidth="1"/>
    <col min="5" max="5" width="21.85546875" style="6" customWidth="1"/>
    <col min="6" max="7" width="21.85546875" customWidth="1"/>
    <col min="8" max="12" width="21" customWidth="1"/>
    <col min="13" max="13" width="11.42578125" customWidth="1"/>
    <col min="14" max="15" width="20" customWidth="1"/>
    <col min="16" max="16" width="12.42578125" customWidth="1"/>
    <col min="17" max="17" width="15.28515625" customWidth="1"/>
    <col min="18" max="18" width="11.85546875" customWidth="1"/>
    <col min="19" max="20" width="13" customWidth="1"/>
    <col min="21" max="21" width="15.28515625" customWidth="1"/>
    <col min="22" max="22" width="47.5703125" customWidth="1"/>
    <col min="23" max="23" width="27.7109375" customWidth="1"/>
  </cols>
  <sheetData>
    <row r="1" spans="1:23" ht="15" customHeight="1">
      <c r="A1" s="1" t="s">
        <v>27</v>
      </c>
      <c r="B1" s="1" t="s">
        <v>32</v>
      </c>
      <c r="C1" s="1" t="s">
        <v>33</v>
      </c>
      <c r="D1" s="1" t="s">
        <v>34</v>
      </c>
      <c r="E1" s="8" t="s">
        <v>35</v>
      </c>
      <c r="F1" s="3" t="s">
        <v>36</v>
      </c>
      <c r="G1" s="3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0" t="s">
        <v>43</v>
      </c>
      <c r="N1" s="1" t="s">
        <v>44</v>
      </c>
      <c r="O1" s="3" t="s">
        <v>45</v>
      </c>
      <c r="P1" s="12" t="s">
        <v>46</v>
      </c>
      <c r="Q1" s="13" t="s">
        <v>47</v>
      </c>
      <c r="R1" s="14" t="s">
        <v>48</v>
      </c>
      <c r="S1" s="15" t="s">
        <v>49</v>
      </c>
      <c r="T1" s="25" t="s">
        <v>50</v>
      </c>
      <c r="U1" s="26" t="s">
        <v>51</v>
      </c>
      <c r="V1" s="27" t="s">
        <v>52</v>
      </c>
      <c r="W1" s="1" t="s">
        <v>439</v>
      </c>
    </row>
    <row r="2" spans="1:23" ht="15" customHeight="1">
      <c r="A2" s="11" t="s">
        <v>53</v>
      </c>
      <c r="B2" s="2">
        <v>15</v>
      </c>
      <c r="C2" s="2" t="s">
        <v>54</v>
      </c>
      <c r="D2" s="4" t="str">
        <f>IF(C2="","",VLOOKUP(C2,Referentie!$A$2:$B$19,2,0))</f>
        <v>Grepa</v>
      </c>
      <c r="E2" s="4" t="s">
        <v>55</v>
      </c>
      <c r="F2" s="4" t="s">
        <v>56</v>
      </c>
      <c r="G2" s="4" t="s">
        <v>55</v>
      </c>
      <c r="H2" s="4" t="s">
        <v>57</v>
      </c>
      <c r="I2" s="4" t="s">
        <v>58</v>
      </c>
      <c r="J2" s="4" t="s">
        <v>59</v>
      </c>
      <c r="K2" s="4" t="s">
        <v>60</v>
      </c>
      <c r="L2" s="4" t="s">
        <v>61</v>
      </c>
      <c r="M2" s="9" t="s">
        <v>62</v>
      </c>
      <c r="N2" s="4" t="str">
        <f>IF(M2="","",VLOOKUP(M2,Referentie!$G$2:$I$26,2,0))</f>
        <v>Ingredient Finding</v>
      </c>
      <c r="O2" s="4" t="str">
        <f>IF(M2="","",VLOOKUP(M2,Referentie!$G$2:$I$26,3,0))</f>
        <v>Speed of Help</v>
      </c>
      <c r="P2" s="4">
        <f>IF(A2="","",  (IF(N2="Speed of Help",2,0)) + (IF(O2="Speed of Help",-2,0)) + (IF(N2="EXP Gains",1,0)) + (IF(O2="EXP Gains",-1,0)) +  (COUNTIF(H2:L2,"Helping Speed S")*1) + (COUNTIF(H2:L2,"Helping Speed M")*2) + (COUNTIF(H2:L2,"Berry Finding S")*2) + (COUNTIF(H2:L2,"Helping Bonus")*1) +  (IF(O2="Ingredient Finding",0,0)) + (IF(O2="Main Skill Chance",0,0))  )</f>
        <v>-2</v>
      </c>
      <c r="Q2" s="4">
        <f>IF(A2="","",  (IF(N2="Ingredient Finding",2,0)) + (IF(O2="Ingredient Finding",-2,0)) + (IF(N2="EXP Gains",1,0)) + (IF(O2="EXP Gains",-1,0)) +  (COUNTIF(H2:L2,"Ingredient Finder S")*1) + (COUNTIF(H2:L2,"Ingredient Finder M")*2) + (COUNTIF(H2:L2,"Inventory Up S")*0.5) + (COUNTIF(H2:L2,"Inventory Up M")*1) + (COUNTIF(H2:L2,"Inventory Up L")*1.5) +  (IF(E2=F2,1,0)) + (IF(F2=G2,1,0))  )</f>
        <v>6.5</v>
      </c>
      <c r="R2" s="4">
        <f>IF(A2="","",  (IF(N2="Main Skill Chance",2,0)) + (IF(O2="Main Skill Chance",-2,0)) + (IF(N2="EXP Gains",1,0)) + (IF(O2="EXP Gains",-1,0)) +  (COUNTIF(H2:L2,"Skill Trigger S")*1) + (COUNTIF(H2:L2,"Skill Trigger M")*2) + (COUNTIF(H2:L2,"Skill Level Up S")*1) + (COUNTIF(H2:L2,"Skill Level Up M")*2) + (COUNTIF(H2:L2,"Energy Recovery Bonus")*1.5) + (COUNTIF(H2:L2,"Sleep EXP Bonus")*1) + (COUNTIF(H2:L2,"Research EXP Bonus")*1)  )</f>
        <v>1</v>
      </c>
      <c r="S2" s="4" t="str">
        <f>IF(A2="","",  IF(AND(P2&lt;=1, Q2&lt;=1, R2&lt;=1), "Bench",  IF(AND(P2&gt;=Q2, P2&gt;=R2), "Berry",  IF(AND(Q2&gt;=P2, Q2&gt;=R2), "Ingredient",  "Skill")))  )</f>
        <v>Ingredient</v>
      </c>
      <c r="T2" s="4">
        <f t="shared" ref="T2:T65" si="0">IF(A2="","", MAX(P2,Q2,R2) + IF(OR(N2="Speed of Help",N2="Ingredient Finding",N2="Main Skill Chance"),1,0) + IF(N2="Neutral",0, IF(O2="Neutral",0.5,0)) + IF(B2&gt;=10,0.5,0) + IF(AND(W2&lt;&gt;"",W2&lt;&gt;"Geen match gevonden"),1.5,0) )</f>
        <v>8</v>
      </c>
      <c r="U2" s="4" t="str">
        <f>IF(A2="","", IF(T2&gt;=7, "⭐ Keep", IF(T2&gt;=5, "📈 Level Up", IF(T2&gt;=3, "🤔 Bench", "❌ Transfer")))  )</f>
        <v>⭐ Keep</v>
      </c>
      <c r="V2" s="4" t="str">
        <f t="shared" ref="V2:V65" si="1">IF(A2="","", _xlfn.TEXTJOIN("; ",TRUE, IF(A2="Pikachu","Evolve naar Raichu = snelste berry helper!",""), IF(A2="Pichu","Evolve → Pikachu → Raichu (top berry)",""), IF(A2="Eevee","Sylveon (skill) of Jolteon (berry) = top evoluties",""), IF(A2="Igglybuff","Evolve → Wigglytuff = Energy for Everyone S (top skill!)",""), IF(A2="Squirtle","Kanto starter: 2x ingrediënten + Ingredient Magnet S",""), IF(A2="Charmander","Evolve → Charizard = snelle berry+ingredient verzamelaar",""), IF(A2="Bulbasaur","Kanto starter: 2x ingrediënten + Ingredient Magnet S",""), IF(A2="Growlithe","Evolve → Arcanine = sterke all-rounder",""), IF(A2="Mareep","Evolve → Ampharos = hoge frequentie + waardevolle ingrediënten",""), IF(A2="Spheal","Evolve → Walrein = key voor Snowdrop Tundra (berry+ingr)",""), IF(A2="Riolu","Evolve → Lucario = sterke fighter",""), IF(A2="Togepi","Let op: Togekiss Metronome is onbetrouwbaar",""), IF(A2="Totodile","Evolve → Feraligatr = top berry voor Cyan Beach",""), IF(A2="Magnemite","Evolve → Magnezone = sterke skill helper",""), IF(A2="Ivysaur","Evolve → Venusaur = 2x ingrediënten specialist",""), IF(OR(N2="Neutral",O2="Neutral"),"Neutrale nature = ok maar niet ideaal",""), IF(AND(N2="Speed of Help",OR(S2="Berry",S2="Ingredient")),"Perfecte nature voor "&amp;S2&amp;" team!",""), IF(AND(N2="Ingredient Finding",S2="Ingredient"),"Perfecte nature voor Ingredient team!",""), IF(AND(N2="Main Skill Chance",S2="Skill"),"Perfecte nature voor Skill team!",""), IF(AND(O2="Speed of Help",S2="Berry"),"Let op: Speed of Help NEGATIEF schaadt berry-prestatie",""), IF(AND(O2="Ingredient Finding",S2="Ingredient"),"Let op: Ingredient Finding NEGATIEF schaadt ingredient-prestatie","") ))</f>
        <v>Evolve naar Raichu = snelste berry helper!; Perfecte nature voor Ingredient team!</v>
      </c>
      <c r="W2" s="69" t="str" cm="1">
        <f t="array" ref="W2">IF(A2="","", IF(COUNTIF(Referentie!$L$2:$L$21,A2)&lt;=1, "", IFERROR(INDEX(Referentie!$M$2:$M$21, MATCH(1,(Referentie!$L$2:$L$21=A2)*(Referentie!$N$2:$N$21=S2),0)), IF(S2="Bench","", "Geen match gevonden"))) )</f>
        <v/>
      </c>
    </row>
    <row r="3" spans="1:23" ht="15" customHeight="1">
      <c r="A3" s="2" t="s">
        <v>63</v>
      </c>
      <c r="B3" s="2">
        <v>8</v>
      </c>
      <c r="C3" s="2" t="s">
        <v>64</v>
      </c>
      <c r="D3" s="4" t="str">
        <f>IF(C3="","",VLOOKUP(C3,Referentie!$A$2:$B$19,2,0))</f>
        <v>Oran</v>
      </c>
      <c r="E3" s="7" t="s">
        <v>65</v>
      </c>
      <c r="F3" s="4" t="s">
        <v>66</v>
      </c>
      <c r="G3" s="4" t="s">
        <v>66</v>
      </c>
      <c r="H3" s="4" t="s">
        <v>58</v>
      </c>
      <c r="I3" s="4" t="s">
        <v>61</v>
      </c>
      <c r="J3" s="4" t="s">
        <v>67</v>
      </c>
      <c r="K3" s="4" t="s">
        <v>68</v>
      </c>
      <c r="L3" s="4" t="s">
        <v>57</v>
      </c>
      <c r="M3" s="4" t="s">
        <v>69</v>
      </c>
      <c r="N3" s="4" t="str">
        <f>IF(M3="","",VLOOKUP(M3,Referentie!$G$2:$I$26,2,0))</f>
        <v>Neutral</v>
      </c>
      <c r="O3" s="4" t="str">
        <f>IF(M3="","",VLOOKUP(M3,Referentie!$G$2:$I$26,3,0))</f>
        <v>Neutral</v>
      </c>
      <c r="P3" s="4">
        <f t="shared" ref="P3:P6" si="2">IF(A3="","", (IF(N3="Speed of Help",2,0)) + (IF(O3="Speed of Help",-2,0)) + (IF(N3="EXP Gains",1,0)) + (IF(O3="EXP Gains",-1,0)) + (COUNTIF(H3:L3,"Helping Speed S")*1) + (COUNTIF(H3:L3,"Helping Speed M")*2) + (COUNTIF(H3:L3,"Berry Finding S")*2) + (COUNTIF(H3:L3,"Helping Bonus")*1) + (IF(O3="Ingredient Finding",0,0)) + (IF(O3="Main Skill Chance",0,0)) )</f>
        <v>0</v>
      </c>
      <c r="Q3" s="4">
        <f t="shared" ref="Q3:Q6" si="3">IF(A3="","", (IF(N3="Ingredient Finding",2,0)) + (IF(O3="Ingredient Finding",-2,0)) + (IF(N3="EXP Gains",1,0)) + (IF(O3="EXP Gains",-1,0)) + (COUNTIF(H3:L3,"Ingredient Finder S")*1) + (COUNTIF(H3:L3,"Ingredient Finder M")*2) + (COUNTIF(H3:L3,"Inventory Up S")*0.5) + (COUNTIF(H3:L3,"Inventory Up M")*1) + (COUNTIF(H3:L3,"Inventory Up L")*1.5) + (IF(E3=F3,1,0)) + (IF(F3=G3,1,0)) )</f>
        <v>4</v>
      </c>
      <c r="R3" s="4">
        <f t="shared" ref="R3:R6" si="4">IF(A3="","", (IF(N3="Main Skill Chance",2,0)) + (IF(O3="Main Skill Chance",-2,0)) + (IF(N3="EXP Gains",1,0)) + (IF(O3="EXP Gains",-1,0)) + (COUNTIF(H3:L3,"Skill Trigger S")*1) + (COUNTIF(H3:L3,"Skill Trigger M")*2) + (COUNTIF(H3:L3,"Skill Level Up S")*1) + (COUNTIF(H3:L3,"Skill Level Up M")*2) + (COUNTIF(H3:L3,"Energy Recovery Bonus")*1.5) + (COUNTIF(H3:L3,"Sleep EXP Bonus")*1) + (COUNTIF(H3:L3,"Research EXP Bonus")*1) )</f>
        <v>3</v>
      </c>
      <c r="S3" s="4" t="str">
        <f t="shared" ref="S3:S6" si="5">IF(A3="","", IF(AND(P3&lt;=1, Q3&lt;=1, R3&lt;=1), "Bench", IF(AND(P3&gt;=Q3, P3&gt;=R3), "Berry", IF(AND(Q3&gt;=P3, Q3&gt;=R3), "Ingredient", "Skill"))) )</f>
        <v>Ingredient</v>
      </c>
      <c r="T3" s="4">
        <f t="shared" si="0"/>
        <v>4</v>
      </c>
      <c r="U3" s="4" t="str">
        <f t="shared" ref="U3:U6" si="6">IF(A3="","", IF(T3&gt;=7, "⭐ Keep", IF(T3&gt;=5, "📈 Level Up", IF(T3&gt;=3, "🤔 Bench", "❌ Transfer"))) )</f>
        <v>🤔 Bench</v>
      </c>
      <c r="V3" s="4" t="str">
        <f t="shared" si="1"/>
        <v>Kanto starter: 2x ingrediënten + Ingredient Magnet S; Neutrale nature = ok maar niet ideaal</v>
      </c>
      <c r="W3" s="69" t="str" cm="1">
        <f t="array" ref="W3">IF(A3="","", IF(COUNTIF(Referentie!$L$2:$L$21,A3)&lt;=1, "", IFERROR(INDEX(Referentie!$M$2:$M$21, MATCH(1,(Referentie!$L$2:$L$21=A3)*(Referentie!$N$2:$N$21=S3),0)), IF(S3="Bench","", "Geen match gevonden"))) )</f>
        <v/>
      </c>
    </row>
    <row r="4" spans="1:23" ht="15" customHeight="1">
      <c r="A4" s="2" t="s">
        <v>70</v>
      </c>
      <c r="B4" s="2">
        <v>10</v>
      </c>
      <c r="C4" s="2" t="s">
        <v>71</v>
      </c>
      <c r="D4" s="4" t="str">
        <f>IF(C4="","",VLOOKUP(C4,Referentie!$A$2:$B$19,2,0))</f>
        <v>Pecha</v>
      </c>
      <c r="E4" s="7" t="s">
        <v>72</v>
      </c>
      <c r="F4" s="4" t="s">
        <v>72</v>
      </c>
      <c r="G4" s="4" t="s">
        <v>73</v>
      </c>
      <c r="H4" s="4" t="s">
        <v>74</v>
      </c>
      <c r="I4" s="4" t="s">
        <v>60</v>
      </c>
      <c r="J4" s="4" t="s">
        <v>61</v>
      </c>
      <c r="K4" s="4" t="s">
        <v>58</v>
      </c>
      <c r="L4" s="4" t="s">
        <v>57</v>
      </c>
      <c r="M4" s="4" t="s">
        <v>75</v>
      </c>
      <c r="N4" s="4" t="str">
        <f>IF(M4="","",VLOOKUP(M4,Referentie!$G$2:$I$26,2,0))</f>
        <v>EXP Gains</v>
      </c>
      <c r="O4" s="4" t="str">
        <f>IF(M4="","",VLOOKUP(M4,Referentie!$G$2:$I$26,3,0))</f>
        <v>Main Skill Chance</v>
      </c>
      <c r="P4" s="4">
        <f t="shared" si="2"/>
        <v>2</v>
      </c>
      <c r="Q4" s="4">
        <f t="shared" si="3"/>
        <v>5.5</v>
      </c>
      <c r="R4" s="4">
        <f t="shared" si="4"/>
        <v>0</v>
      </c>
      <c r="S4" s="4" t="str">
        <f t="shared" si="5"/>
        <v>Ingredient</v>
      </c>
      <c r="T4" s="4">
        <f t="shared" si="0"/>
        <v>6</v>
      </c>
      <c r="U4" s="4" t="str">
        <f t="shared" si="6"/>
        <v>📈 Level Up</v>
      </c>
      <c r="V4" s="4" t="str">
        <f t="shared" si="1"/>
        <v>Evolve → Wigglytuff = Energy for Everyone S (top skill!)</v>
      </c>
      <c r="W4" s="69" t="str" cm="1">
        <f t="array" ref="W4">IF(A4="","", IF(COUNTIF(Referentie!$L$2:$L$21,A4)&lt;=1, "", IFERROR(INDEX(Referentie!$M$2:$M$21, MATCH(1,(Referentie!$L$2:$L$21=A4)*(Referentie!$N$2:$N$21=S4),0)), IF(S4="Bench","", "Geen match gevonden"))) )</f>
        <v/>
      </c>
    </row>
    <row r="5" spans="1:23" ht="15" customHeight="1">
      <c r="A5" s="2" t="s">
        <v>76</v>
      </c>
      <c r="B5" s="2">
        <v>12</v>
      </c>
      <c r="C5" s="2" t="s">
        <v>64</v>
      </c>
      <c r="D5" s="4" t="str">
        <f>IF(C5="","",VLOOKUP(C5,Referentie!$A$2:$B$19,2,0))</f>
        <v>Oran</v>
      </c>
      <c r="E5" s="7" t="s">
        <v>73</v>
      </c>
      <c r="F5" s="4" t="s">
        <v>77</v>
      </c>
      <c r="G5" s="4" t="s">
        <v>73</v>
      </c>
      <c r="H5" s="4" t="s">
        <v>58</v>
      </c>
      <c r="I5" s="4" t="s">
        <v>74</v>
      </c>
      <c r="J5" s="4" t="s">
        <v>78</v>
      </c>
      <c r="K5" s="4" t="s">
        <v>57</v>
      </c>
      <c r="L5" s="4" t="s">
        <v>60</v>
      </c>
      <c r="M5" s="4" t="s">
        <v>79</v>
      </c>
      <c r="N5" s="4" t="str">
        <f>IF(M5="","",VLOOKUP(M5,Referentie!$G$2:$I$26,2,0))</f>
        <v>Energy Recovery</v>
      </c>
      <c r="O5" s="4" t="str">
        <f>IF(M5="","",VLOOKUP(M5,Referentie!$G$2:$I$26,3,0))</f>
        <v>Speed of Help</v>
      </c>
      <c r="P5" s="4">
        <f t="shared" si="2"/>
        <v>1</v>
      </c>
      <c r="Q5" s="4">
        <f t="shared" si="3"/>
        <v>3.5</v>
      </c>
      <c r="R5" s="4">
        <f t="shared" si="4"/>
        <v>0</v>
      </c>
      <c r="S5" s="4" t="str">
        <f t="shared" si="5"/>
        <v>Ingredient</v>
      </c>
      <c r="T5" s="4">
        <f t="shared" si="0"/>
        <v>4</v>
      </c>
      <c r="U5" s="4" t="str">
        <f t="shared" si="6"/>
        <v>🤔 Bench</v>
      </c>
      <c r="V5" s="4" t="str">
        <f t="shared" si="1"/>
        <v>Evolve → Walrein = key voor Snowdrop Tundra (berry+ingr)</v>
      </c>
      <c r="W5" s="69" t="str" cm="1">
        <f t="array" ref="W5">IF(A5="","", IF(COUNTIF(Referentie!$L$2:$L$21,A5)&lt;=1, "", IFERROR(INDEX(Referentie!$M$2:$M$21, MATCH(1,(Referentie!$L$2:$L$21=A5)*(Referentie!$N$2:$N$21=S5),0)), IF(S5="Bench","", "Geen match gevonden"))) )</f>
        <v/>
      </c>
    </row>
    <row r="6" spans="1:23" ht="15" customHeight="1">
      <c r="A6" s="2" t="s">
        <v>80</v>
      </c>
      <c r="B6" s="2">
        <v>11</v>
      </c>
      <c r="C6" s="2" t="s">
        <v>81</v>
      </c>
      <c r="D6" s="4" t="str">
        <f>IF(C6="","",VLOOKUP(C6,Referentie!$A$2:$B$19,2,0))</f>
        <v>Figy</v>
      </c>
      <c r="E6" s="7" t="s">
        <v>56</v>
      </c>
      <c r="F6" s="4" t="s">
        <v>66</v>
      </c>
      <c r="G6" s="4" t="s">
        <v>56</v>
      </c>
      <c r="H6" s="4" t="s">
        <v>82</v>
      </c>
      <c r="I6" s="4" t="s">
        <v>58</v>
      </c>
      <c r="J6" s="4" t="s">
        <v>68</v>
      </c>
      <c r="K6" s="4" t="s">
        <v>83</v>
      </c>
      <c r="L6" s="4" t="s">
        <v>61</v>
      </c>
      <c r="M6" s="4" t="s">
        <v>84</v>
      </c>
      <c r="N6" s="4" t="str">
        <f>IF(M6="","",VLOOKUP(M6,Referentie!$G$2:$I$26,2,0))</f>
        <v>Speed of Help</v>
      </c>
      <c r="O6" s="4" t="str">
        <f>IF(M6="","",VLOOKUP(M6,Referentie!$G$2:$I$26,3,0))</f>
        <v>Main Skill Chance</v>
      </c>
      <c r="P6" s="4">
        <f t="shared" si="2"/>
        <v>4</v>
      </c>
      <c r="Q6" s="4">
        <f t="shared" si="3"/>
        <v>1</v>
      </c>
      <c r="R6" s="4">
        <f t="shared" si="4"/>
        <v>3</v>
      </c>
      <c r="S6" s="4" t="str">
        <f t="shared" si="5"/>
        <v>Berry</v>
      </c>
      <c r="T6" s="4">
        <f t="shared" si="0"/>
        <v>5.5</v>
      </c>
      <c r="U6" s="4" t="str">
        <f t="shared" si="6"/>
        <v>📈 Level Up</v>
      </c>
      <c r="V6" s="4" t="str">
        <f t="shared" si="1"/>
        <v>Perfecte nature voor Berry team!</v>
      </c>
      <c r="W6" s="69" t="str" cm="1">
        <f t="array" ref="W6">IF(A6="","", IF(COUNTIF(Referentie!$L$2:$L$21,A6)&lt;=1, "", IFERROR(INDEX(Referentie!$M$2:$M$21, MATCH(1,(Referentie!$L$2:$L$21=A6)*(Referentie!$N$2:$N$21=S6),0)), IF(S6="Bench","", "Geen match gevonden"))) )</f>
        <v/>
      </c>
    </row>
    <row r="7" spans="1:23" ht="15" customHeight="1">
      <c r="A7" s="2" t="s">
        <v>91</v>
      </c>
      <c r="B7" s="2">
        <v>14</v>
      </c>
      <c r="C7" s="2" t="s">
        <v>92</v>
      </c>
      <c r="D7" s="4" t="str">
        <f>IF(C7="","",VLOOKUP(C7,Referentie!$A$2:$B$19,2,0))</f>
        <v>Yache</v>
      </c>
      <c r="E7" s="4" t="s">
        <v>55</v>
      </c>
      <c r="F7" s="4" t="s">
        <v>93</v>
      </c>
      <c r="G7" s="4" t="s">
        <v>77</v>
      </c>
      <c r="H7" s="4" t="s">
        <v>57</v>
      </c>
      <c r="I7" s="4" t="s">
        <v>59</v>
      </c>
      <c r="J7" s="4" t="s">
        <v>60</v>
      </c>
      <c r="K7" s="4" t="s">
        <v>61</v>
      </c>
      <c r="L7" s="4" t="s">
        <v>58</v>
      </c>
      <c r="M7" s="4" t="s">
        <v>94</v>
      </c>
      <c r="N7" s="4" t="str">
        <f>IF(M7="","",VLOOKUP(M7,Referentie!$G$2:$I$26,2,0))</f>
        <v>Neutral</v>
      </c>
      <c r="O7" s="4" t="str">
        <f>IF(M7="","",VLOOKUP(M7,Referentie!$G$2:$I$26,3,0))</f>
        <v>Neutral</v>
      </c>
      <c r="P7" s="4">
        <f t="shared" ref="P7:P51" si="7">IF(A7="","", (IF(N7="Speed of Help",2,0)) + (IF(O7="Speed of Help",-2,0)) + (IF(N7="EXP Gains",1,0)) + (IF(O7="EXP Gains",-1,0)) + (COUNTIF(H7:L7,"Helping Speed S")*1) + (COUNTIF(H7:L7,"Helping Speed M")*2) + (COUNTIF(H7:L7,"Berry Finding S")*2) + (COUNTIF(H7:L7,"Helping Bonus")*1) + (IF(O7="Ingredient Finding",0,0)) + (IF(O7="Main Skill Chance",0,0)) )</f>
        <v>0</v>
      </c>
      <c r="Q7" s="4">
        <f t="shared" ref="Q7:Q51" si="8">IF(A7="","", (IF(N7="Ingredient Finding",2,0)) + (IF(O7="Ingredient Finding",-2,0)) + (IF(N7="EXP Gains",1,0)) + (IF(O7="EXP Gains",-1,0)) + (COUNTIF(H7:L7,"Ingredient Finder S")*1) + (COUNTIF(H7:L7,"Ingredient Finder M")*2) + (COUNTIF(H7:L7,"Inventory Up S")*0.5) + (COUNTIF(H7:L7,"Inventory Up M")*1) + (COUNTIF(H7:L7,"Inventory Up L")*1.5) + (IF(E7=F7,1,0)) + (IF(F7=G7,1,0)) )</f>
        <v>4.5</v>
      </c>
      <c r="R7" s="4">
        <f t="shared" ref="R7:R51" si="9">IF(A7="","", (IF(N7="Main Skill Chance",2,0)) + (IF(O7="Main Skill Chance",-2,0)) + (IF(N7="EXP Gains",1,0)) + (IF(O7="EXP Gains",-1,0)) + (COUNTIF(H7:L7,"Skill Trigger S")*1) + (COUNTIF(H7:L7,"Skill Trigger M")*2) + (COUNTIF(H7:L7,"Skill Level Up S")*1) + (COUNTIF(H7:L7,"Skill Level Up M")*2) + (COUNTIF(H7:L7,"Energy Recovery Bonus")*1.5) + (COUNTIF(H7:L7,"Sleep EXP Bonus")*1) + (COUNTIF(H7:L7,"Research EXP Bonus")*1) )</f>
        <v>1</v>
      </c>
      <c r="S7" s="4" t="str">
        <f t="shared" ref="S7:S51" si="10">IF(A7="","", IF(AND(P7&lt;=1, Q7&lt;=1, R7&lt;=1), "Bench", IF(AND(P7&gt;=Q7, P7&gt;=R7), "Berry", IF(AND(Q7&gt;=P7, Q7&gt;=R7), "Ingredient", "Skill"))) )</f>
        <v>Ingredient</v>
      </c>
      <c r="T7" s="4">
        <f t="shared" si="0"/>
        <v>5</v>
      </c>
      <c r="U7" s="4" t="str">
        <f t="shared" ref="U7:U51" si="11">IF(A7="","", IF(T7&gt;=7, "⭐ Keep", IF(T7&gt;=5, "📈 Level Up", IF(T7&gt;=3, "🤔 Bench", "❌ Transfer"))) )</f>
        <v>📈 Level Up</v>
      </c>
      <c r="V7" s="4" t="str">
        <f t="shared" ref="V7:V51" si="12">IF(A7="","", _xlfn.TEXTJOIN("; ",TRUE, IF(A7="Pikachu","Evolve naar Raichu = snelste berry helper!",""), IF(A7="Pichu","Evolve → Pikachu → Raichu (top berry)",""), IF(A7="Eevee","Sylveon (skill) of Jolteon (berry) = top evoluties",""), IF(A7="Igglybuff","Evolve → Wigglytuff = Energy for Everyone S (top skill!)",""), IF(A7="Squirtle","Kanto starter: 2x ingrediënten + Ingredient Magnet S",""), IF(A7="Charmander","Evolve → Charizard = snelle berry+ingredient verzamelaar",""), IF(A7="Bulbasaur","Kanto starter: 2x ingrediënten + Ingredient Magnet S",""), IF(A7="Growlithe","Evolve → Arcanine = sterke all-rounder",""), IF(A7="Mareep","Evolve → Ampharos = hoge frequentie + waardevolle ingrediënten",""), IF(A7="Spheal","Evolve → Walrein = key voor Snowdrop Tundra (berry+ingr)",""), IF(A7="Riolu","Evolve → Lucario = sterke fighter",""), IF(A7="Togepi","Let op: Togekiss Metronome is onbetrouwbaar",""), IF(A7="Totodile","Evolve → Feraligatr = top berry voor Cyan Beach",""), IF(A7="Magnemite","Evolve → Magnezone = sterke skill helper",""), IF(A7="Ivysaur","Evolve → Venusaur = 2x ingrediënten specialist",""), IF(OR(N7="Neutral",O7="Neutral"),"Neutrale nature = ok maar niet ideaal",""), IF(AND(N7="Speed of Help",OR(S7="Berry",S7="Ingredient")),"Perfecte nature voor "&amp;S7&amp;" team!",""), IF(AND(N7="Ingredient Finding",S7="Ingredient"),"Perfecte nature voor Ingredient team!",""), IF(AND(N7="Main Skill Chance",S7="Skill"),"Perfecte nature voor Skill team!",""), IF(AND(O7="Speed of Help",S7="Berry"),"Let op: Speed of Help NEGATIEF schaadt berry-prestatie",""), IF(AND(O7="Ingredient Finding",S7="Ingredient"),"Let op: Ingredient Finding NEGATIEF schaadt ingredient-prestatie","") ))</f>
        <v>Neutrale nature = ok maar niet ideaal</v>
      </c>
      <c r="W7" s="69" t="str" cm="1">
        <f t="array" ref="W7">IF(A7="","", IF(COUNTIF(Referentie!$L$2:$L$21,A7)&lt;=1, "", IFERROR(INDEX(Referentie!$M$2:$M$21, MATCH(1,(Referentie!$L$2:$L$21=A7)*(Referentie!$N$2:$N$21=S7),0)), IF(S7="Bench","", "Geen match gevonden"))) )</f>
        <v/>
      </c>
    </row>
    <row r="8" spans="1:23" ht="15" customHeight="1">
      <c r="A8" s="2" t="s">
        <v>95</v>
      </c>
      <c r="B8" s="2">
        <v>8</v>
      </c>
      <c r="C8" s="2" t="s">
        <v>96</v>
      </c>
      <c r="D8" s="4" t="str">
        <f>IF(C8="","",VLOOKUP(C8,Referentie!$A$2:$B$19,2,0))</f>
        <v>Persim</v>
      </c>
      <c r="E8" s="4" t="s">
        <v>55</v>
      </c>
      <c r="F8" s="4" t="s">
        <v>97</v>
      </c>
      <c r="G8" s="4" t="s">
        <v>55</v>
      </c>
      <c r="H8" s="4" t="s">
        <v>74</v>
      </c>
      <c r="I8" s="4" t="s">
        <v>60</v>
      </c>
      <c r="J8" s="4" t="s">
        <v>98</v>
      </c>
      <c r="K8" s="4" t="s">
        <v>99</v>
      </c>
      <c r="L8" s="4" t="s">
        <v>58</v>
      </c>
      <c r="M8" s="4" t="s">
        <v>100</v>
      </c>
      <c r="N8" s="4" t="str">
        <f>IF(M8="","",VLOOKUP(M8,Referentie!$G$2:$I$26,2,0))</f>
        <v>Ingredient Finding</v>
      </c>
      <c r="O8" s="4" t="str">
        <f>IF(M8="","",VLOOKUP(M8,Referentie!$G$2:$I$26,3,0))</f>
        <v>Energy Recovery</v>
      </c>
      <c r="P8" s="4">
        <f t="shared" si="7"/>
        <v>1</v>
      </c>
      <c r="Q8" s="4">
        <f t="shared" si="8"/>
        <v>5</v>
      </c>
      <c r="R8" s="4">
        <f t="shared" si="9"/>
        <v>2</v>
      </c>
      <c r="S8" s="4" t="str">
        <f t="shared" si="10"/>
        <v>Ingredient</v>
      </c>
      <c r="T8" s="4">
        <f t="shared" si="0"/>
        <v>6</v>
      </c>
      <c r="U8" s="4" t="str">
        <f t="shared" si="11"/>
        <v>📈 Level Up</v>
      </c>
      <c r="V8" s="4" t="str">
        <f t="shared" si="12"/>
        <v>Perfecte nature voor Ingredient team!</v>
      </c>
      <c r="W8" s="69" t="str" cm="1">
        <f t="array" ref="W8">IF(A8="","", IF(COUNTIF(Referentie!$L$2:$L$21,A8)&lt;=1, "", IFERROR(INDEX(Referentie!$M$2:$M$21, MATCH(1,(Referentie!$L$2:$L$21=A8)*(Referentie!$N$2:$N$21=S8),0)), IF(S8="Bench","", "Geen match gevonden"))) )</f>
        <v/>
      </c>
    </row>
    <row r="9" spans="1:23" ht="15" customHeight="1">
      <c r="A9" s="2" t="s">
        <v>101</v>
      </c>
      <c r="B9" s="2">
        <v>10</v>
      </c>
      <c r="C9" s="2" t="s">
        <v>102</v>
      </c>
      <c r="D9" s="4" t="str">
        <f>IF(C9="","",VLOOKUP(C9,Referentie!$A$2:$B$19,2,0))</f>
        <v>Chesto</v>
      </c>
      <c r="E9" s="4" t="s">
        <v>97</v>
      </c>
      <c r="F9" s="4" t="s">
        <v>97</v>
      </c>
      <c r="G9" s="4" t="s">
        <v>103</v>
      </c>
      <c r="H9" s="4" t="s">
        <v>60</v>
      </c>
      <c r="I9" s="4" t="s">
        <v>58</v>
      </c>
      <c r="J9" s="4" t="s">
        <v>57</v>
      </c>
      <c r="K9" s="4" t="s">
        <v>74</v>
      </c>
      <c r="L9" s="4" t="s">
        <v>104</v>
      </c>
      <c r="M9" s="4" t="s">
        <v>105</v>
      </c>
      <c r="N9" s="4" t="str">
        <f>IF(M9="","",VLOOKUP(M9,Referentie!$G$2:$I$26,2,0))</f>
        <v>EXP Gains</v>
      </c>
      <c r="O9" s="4" t="str">
        <f>IF(M9="","",VLOOKUP(M9,Referentie!$G$2:$I$26,3,0))</f>
        <v>Energy Recovery</v>
      </c>
      <c r="P9" s="4">
        <f t="shared" si="7"/>
        <v>2</v>
      </c>
      <c r="Q9" s="4">
        <f t="shared" si="8"/>
        <v>5.5</v>
      </c>
      <c r="R9" s="4">
        <f t="shared" si="9"/>
        <v>1</v>
      </c>
      <c r="S9" s="4" t="str">
        <f t="shared" si="10"/>
        <v>Ingredient</v>
      </c>
      <c r="T9" s="4">
        <f t="shared" si="0"/>
        <v>6</v>
      </c>
      <c r="U9" s="4" t="str">
        <f t="shared" si="11"/>
        <v>📈 Level Up</v>
      </c>
      <c r="V9" s="4" t="str">
        <f t="shared" si="12"/>
        <v/>
      </c>
      <c r="W9" s="69" t="str" cm="1">
        <f t="array" ref="W9">IF(A9="","", IF(COUNTIF(Referentie!$L$2:$L$21,A9)&lt;=1, "", IFERROR(INDEX(Referentie!$M$2:$M$21, MATCH(1,(Referentie!$L$2:$L$21=A9)*(Referentie!$N$2:$N$21=S9),0)), IF(S9="Bench","", "Geen match gevonden"))) )</f>
        <v/>
      </c>
    </row>
    <row r="10" spans="1:23" ht="15" customHeight="1">
      <c r="A10" s="2" t="s">
        <v>106</v>
      </c>
      <c r="B10" s="2">
        <v>7</v>
      </c>
      <c r="C10" s="2" t="s">
        <v>107</v>
      </c>
      <c r="D10" s="4" t="str">
        <f>IF(C10="","",VLOOKUP(C10,Referentie!$A$2:$B$19,2,0))</f>
        <v>Pamtre</v>
      </c>
      <c r="E10" s="4" t="s">
        <v>108</v>
      </c>
      <c r="F10" s="4" t="s">
        <v>97</v>
      </c>
      <c r="G10" s="4" t="s">
        <v>108</v>
      </c>
      <c r="H10" s="4" t="s">
        <v>61</v>
      </c>
      <c r="I10" s="4" t="s">
        <v>57</v>
      </c>
      <c r="J10" s="4" t="s">
        <v>74</v>
      </c>
      <c r="K10" s="4" t="s">
        <v>58</v>
      </c>
      <c r="L10" s="4" t="s">
        <v>78</v>
      </c>
      <c r="M10" s="4" t="s">
        <v>69</v>
      </c>
      <c r="N10" s="4" t="str">
        <f>IF(M10="","",VLOOKUP(M10,Referentie!$G$2:$I$26,2,0))</f>
        <v>Neutral</v>
      </c>
      <c r="O10" s="4" t="str">
        <f>IF(M10="","",VLOOKUP(M10,Referentie!$G$2:$I$26,3,0))</f>
        <v>Neutral</v>
      </c>
      <c r="P10" s="4">
        <f t="shared" si="7"/>
        <v>3</v>
      </c>
      <c r="Q10" s="4">
        <f t="shared" si="8"/>
        <v>1.5</v>
      </c>
      <c r="R10" s="4">
        <f t="shared" si="9"/>
        <v>1</v>
      </c>
      <c r="S10" s="4" t="str">
        <f t="shared" si="10"/>
        <v>Berry</v>
      </c>
      <c r="T10" s="4">
        <f t="shared" si="0"/>
        <v>3</v>
      </c>
      <c r="U10" s="4" t="str">
        <f t="shared" si="11"/>
        <v>🤔 Bench</v>
      </c>
      <c r="V10" s="4" t="str">
        <f t="shared" si="12"/>
        <v>Neutrale nature = ok maar niet ideaal</v>
      </c>
      <c r="W10" s="69" t="str" cm="1">
        <f t="array" ref="W10">IF(A10="","", IF(COUNTIF(Referentie!$L$2:$L$21,A10)&lt;=1, "", IFERROR(INDEX(Referentie!$M$2:$M$21, MATCH(1,(Referentie!$L$2:$L$21=A10)*(Referentie!$N$2:$N$21=S10),0)), IF(S10="Bench","", "Geen match gevonden"))) )</f>
        <v/>
      </c>
    </row>
    <row r="11" spans="1:23" ht="15" customHeight="1">
      <c r="A11" s="2" t="s">
        <v>70</v>
      </c>
      <c r="B11" s="2">
        <v>4</v>
      </c>
      <c r="C11" s="2" t="s">
        <v>71</v>
      </c>
      <c r="D11" s="4" t="str">
        <f>IF(C11="","",VLOOKUP(C11,Referentie!$A$2:$B$19,2,0))</f>
        <v>Pecha</v>
      </c>
      <c r="E11" s="4" t="s">
        <v>72</v>
      </c>
      <c r="F11" s="4" t="s">
        <v>73</v>
      </c>
      <c r="G11" s="4" t="s">
        <v>72</v>
      </c>
      <c r="H11" s="4" t="s">
        <v>60</v>
      </c>
      <c r="I11" s="4" t="s">
        <v>86</v>
      </c>
      <c r="J11" s="4" t="s">
        <v>61</v>
      </c>
      <c r="K11" s="4" t="s">
        <v>57</v>
      </c>
      <c r="L11" s="4" t="s">
        <v>83</v>
      </c>
      <c r="M11" s="4" t="s">
        <v>109</v>
      </c>
      <c r="N11" s="4" t="str">
        <f>IF(M11="","",VLOOKUP(M11,Referentie!$G$2:$I$26,2,0))</f>
        <v>Ingredient Finding</v>
      </c>
      <c r="O11" s="4" t="str">
        <f>IF(M11="","",VLOOKUP(M11,Referentie!$G$2:$I$26,3,0))</f>
        <v>Main Skill Chance</v>
      </c>
      <c r="P11" s="4">
        <f t="shared" si="7"/>
        <v>0</v>
      </c>
      <c r="Q11" s="4">
        <f t="shared" si="8"/>
        <v>4.5</v>
      </c>
      <c r="R11" s="4">
        <f t="shared" si="9"/>
        <v>2</v>
      </c>
      <c r="S11" s="4" t="str">
        <f t="shared" si="10"/>
        <v>Ingredient</v>
      </c>
      <c r="T11" s="4">
        <f t="shared" si="0"/>
        <v>5.5</v>
      </c>
      <c r="U11" s="4" t="str">
        <f t="shared" si="11"/>
        <v>📈 Level Up</v>
      </c>
      <c r="V11" s="4" t="str">
        <f t="shared" si="12"/>
        <v>Evolve → Wigglytuff = Energy for Everyone S (top skill!); Perfecte nature voor Ingredient team!</v>
      </c>
      <c r="W11" s="69" t="str" cm="1">
        <f t="array" ref="W11">IF(A11="","", IF(COUNTIF(Referentie!$L$2:$L$21,A11)&lt;=1, "", IFERROR(INDEX(Referentie!$M$2:$M$21, MATCH(1,(Referentie!$L$2:$L$21=A11)*(Referentie!$N$2:$N$21=S11),0)), IF(S11="Bench","", "Geen match gevonden"))) )</f>
        <v/>
      </c>
    </row>
    <row r="12" spans="1:23" ht="15" customHeight="1">
      <c r="A12" s="2" t="s">
        <v>110</v>
      </c>
      <c r="B12" s="2">
        <v>5</v>
      </c>
      <c r="C12" s="2" t="s">
        <v>111</v>
      </c>
      <c r="D12" s="4" t="str">
        <f>IF(C12="","",VLOOKUP(C12,Referentie!$A$2:$B$19,2,0))</f>
        <v>Durin</v>
      </c>
      <c r="E12" s="4" t="s">
        <v>108</v>
      </c>
      <c r="F12" s="4" t="s">
        <v>108</v>
      </c>
      <c r="G12" s="4" t="s">
        <v>108</v>
      </c>
      <c r="H12" s="4" t="s">
        <v>67</v>
      </c>
      <c r="I12" s="4" t="s">
        <v>58</v>
      </c>
      <c r="J12" s="4" t="s">
        <v>61</v>
      </c>
      <c r="K12" s="4" t="s">
        <v>74</v>
      </c>
      <c r="L12" s="4" t="s">
        <v>57</v>
      </c>
      <c r="M12" s="4" t="s">
        <v>84</v>
      </c>
      <c r="N12" s="4" t="str">
        <f>IF(M12="","",VLOOKUP(M12,Referentie!$G$2:$I$26,2,0))</f>
        <v>Speed of Help</v>
      </c>
      <c r="O12" s="4" t="str">
        <f>IF(M12="","",VLOOKUP(M12,Referentie!$G$2:$I$26,3,0))</f>
        <v>Main Skill Chance</v>
      </c>
      <c r="P12" s="4">
        <f t="shared" si="7"/>
        <v>3</v>
      </c>
      <c r="Q12" s="4">
        <f t="shared" si="8"/>
        <v>5</v>
      </c>
      <c r="R12" s="4">
        <f t="shared" si="9"/>
        <v>-1</v>
      </c>
      <c r="S12" s="4" t="str">
        <f t="shared" si="10"/>
        <v>Ingredient</v>
      </c>
      <c r="T12" s="4">
        <f t="shared" si="0"/>
        <v>6</v>
      </c>
      <c r="U12" s="4" t="str">
        <f t="shared" si="11"/>
        <v>📈 Level Up</v>
      </c>
      <c r="V12" s="4" t="str">
        <f t="shared" si="12"/>
        <v>Perfecte nature voor Ingredient team!</v>
      </c>
      <c r="W12" s="69" t="str" cm="1">
        <f t="array" ref="W12">IF(A12="","", IF(COUNTIF(Referentie!$L$2:$L$21,A12)&lt;=1, "", IFERROR(INDEX(Referentie!$M$2:$M$21, MATCH(1,(Referentie!$L$2:$L$21=A12)*(Referentie!$N$2:$N$21=S12),0)), IF(S12="Bench","", "Geen match gevonden"))) )</f>
        <v/>
      </c>
    </row>
    <row r="13" spans="1:23" ht="15" customHeight="1">
      <c r="A13" s="2" t="s">
        <v>112</v>
      </c>
      <c r="B13" s="2">
        <v>10</v>
      </c>
      <c r="C13" s="2" t="s">
        <v>113</v>
      </c>
      <c r="D13" s="4" t="str">
        <f>IF(C13="","",VLOOKUP(C13,Referentie!$A$2:$B$19,2,0))</f>
        <v>Leppa</v>
      </c>
      <c r="E13" s="4" t="s">
        <v>114</v>
      </c>
      <c r="F13" s="4" t="s">
        <v>77</v>
      </c>
      <c r="G13" s="4" t="s">
        <v>65</v>
      </c>
      <c r="H13" s="4" t="s">
        <v>115</v>
      </c>
      <c r="I13" s="4" t="s">
        <v>60</v>
      </c>
      <c r="J13" s="4" t="s">
        <v>58</v>
      </c>
      <c r="K13" s="4" t="s">
        <v>59</v>
      </c>
      <c r="L13" s="4" t="s">
        <v>86</v>
      </c>
      <c r="M13" s="4" t="s">
        <v>90</v>
      </c>
      <c r="N13" s="4" t="str">
        <f>IF(M13="","",VLOOKUP(M13,Referentie!$G$2:$I$26,2,0))</f>
        <v>EXP Gains</v>
      </c>
      <c r="O13" s="4" t="str">
        <f>IF(M13="","",VLOOKUP(M13,Referentie!$G$2:$I$26,3,0))</f>
        <v>Ingredient Finding</v>
      </c>
      <c r="P13" s="4">
        <f t="shared" si="7"/>
        <v>1</v>
      </c>
      <c r="Q13" s="4">
        <f t="shared" si="8"/>
        <v>3</v>
      </c>
      <c r="R13" s="4">
        <f t="shared" si="9"/>
        <v>3.5</v>
      </c>
      <c r="S13" s="4" t="str">
        <f t="shared" si="10"/>
        <v>Skill</v>
      </c>
      <c r="T13" s="4">
        <f t="shared" si="0"/>
        <v>4</v>
      </c>
      <c r="U13" s="4" t="str">
        <f t="shared" si="11"/>
        <v>🤔 Bench</v>
      </c>
      <c r="V13" s="4" t="str">
        <f t="shared" si="12"/>
        <v>Evolve → Arcanine = sterke all-rounder</v>
      </c>
      <c r="W13" s="69" t="str" cm="1">
        <f t="array" ref="W13">IF(A13="","", IF(COUNTIF(Referentie!$L$2:$L$21,A13)&lt;=1, "", IFERROR(INDEX(Referentie!$M$2:$M$21, MATCH(1,(Referentie!$L$2:$L$21=A13)*(Referentie!$N$2:$N$21=S13),0)), IF(S13="Bench","", "Geen match gevonden"))) )</f>
        <v/>
      </c>
    </row>
    <row r="14" spans="1:23" ht="15" customHeight="1">
      <c r="A14" s="2" t="s">
        <v>116</v>
      </c>
      <c r="B14" s="2">
        <v>6</v>
      </c>
      <c r="C14" s="2" t="s">
        <v>64</v>
      </c>
      <c r="D14" s="4" t="str">
        <f>IF(C14="","",VLOOKUP(C14,Referentie!$A$2:$B$19,2,0))</f>
        <v>Oran</v>
      </c>
      <c r="E14" s="4" t="s">
        <v>66</v>
      </c>
      <c r="F14" s="4" t="s">
        <v>66</v>
      </c>
      <c r="G14" s="4" t="s">
        <v>66</v>
      </c>
      <c r="H14" s="4" t="s">
        <v>59</v>
      </c>
      <c r="I14" s="4" t="s">
        <v>60</v>
      </c>
      <c r="J14" s="4" t="s">
        <v>98</v>
      </c>
      <c r="K14" s="4" t="s">
        <v>57</v>
      </c>
      <c r="L14" s="4" t="s">
        <v>68</v>
      </c>
      <c r="M14" s="4" t="s">
        <v>117</v>
      </c>
      <c r="N14" s="4" t="str">
        <f>IF(M14="","",VLOOKUP(M14,Referentie!$G$2:$I$26,2,0))</f>
        <v>Energy Recovery</v>
      </c>
      <c r="O14" s="4" t="str">
        <f>IF(M14="","",VLOOKUP(M14,Referentie!$G$2:$I$26,3,0))</f>
        <v>EXP Gains</v>
      </c>
      <c r="P14" s="4">
        <f t="shared" si="7"/>
        <v>-1</v>
      </c>
      <c r="Q14" s="4">
        <f t="shared" si="8"/>
        <v>4.5</v>
      </c>
      <c r="R14" s="4">
        <f t="shared" si="9"/>
        <v>2</v>
      </c>
      <c r="S14" s="4" t="str">
        <f t="shared" si="10"/>
        <v>Ingredient</v>
      </c>
      <c r="T14" s="4">
        <f t="shared" si="0"/>
        <v>4.5</v>
      </c>
      <c r="U14" s="4" t="str">
        <f t="shared" si="11"/>
        <v>🤔 Bench</v>
      </c>
      <c r="V14" s="4" t="str">
        <f t="shared" si="12"/>
        <v/>
      </c>
      <c r="W14" s="69" t="str" cm="1">
        <f t="array" ref="W14">IF(A14="","", IF(COUNTIF(Referentie!$L$2:$L$21,A14)&lt;=1, "", IFERROR(INDEX(Referentie!$M$2:$M$21, MATCH(1,(Referentie!$L$2:$L$21=A14)*(Referentie!$N$2:$N$21=S14),0)), IF(S14="Bench","", "Geen match gevonden"))) )</f>
        <v/>
      </c>
    </row>
    <row r="15" spans="1:23" ht="15" customHeight="1">
      <c r="A15" s="2" t="s">
        <v>118</v>
      </c>
      <c r="B15" s="2">
        <v>9</v>
      </c>
      <c r="C15" s="2" t="s">
        <v>119</v>
      </c>
      <c r="D15" s="4" t="str">
        <f>IF(C15="","",VLOOKUP(C15,Referentie!$A$2:$B$19,2,0))</f>
        <v>Cheri</v>
      </c>
      <c r="E15" s="4" t="s">
        <v>73</v>
      </c>
      <c r="F15" s="4" t="s">
        <v>120</v>
      </c>
      <c r="G15" s="4" t="s">
        <v>73</v>
      </c>
      <c r="H15" s="4" t="s">
        <v>82</v>
      </c>
      <c r="I15" s="4" t="s">
        <v>59</v>
      </c>
      <c r="J15" s="4" t="s">
        <v>68</v>
      </c>
      <c r="K15" s="4" t="s">
        <v>121</v>
      </c>
      <c r="L15" s="4" t="s">
        <v>74</v>
      </c>
      <c r="M15" s="4" t="s">
        <v>122</v>
      </c>
      <c r="N15" s="4" t="str">
        <f>IF(M15="","",VLOOKUP(M15,Referentie!$G$2:$I$26,2,0))</f>
        <v>Speed of Help</v>
      </c>
      <c r="O15" s="4" t="str">
        <f>IF(M15="","",VLOOKUP(M15,Referentie!$G$2:$I$26,3,0))</f>
        <v>Ingredient Finding</v>
      </c>
      <c r="P15" s="4">
        <f t="shared" si="7"/>
        <v>6</v>
      </c>
      <c r="Q15" s="4">
        <f t="shared" si="8"/>
        <v>-1</v>
      </c>
      <c r="R15" s="4">
        <f t="shared" si="9"/>
        <v>2</v>
      </c>
      <c r="S15" s="4" t="str">
        <f t="shared" si="10"/>
        <v>Berry</v>
      </c>
      <c r="T15" s="4">
        <f t="shared" si="0"/>
        <v>7</v>
      </c>
      <c r="U15" s="4" t="str">
        <f t="shared" si="11"/>
        <v>⭐ Keep</v>
      </c>
      <c r="V15" s="4" t="str">
        <f t="shared" si="12"/>
        <v>Evolve → Lucario = sterke fighter; Perfecte nature voor Berry team!</v>
      </c>
      <c r="W15" s="69" t="str" cm="1">
        <f t="array" ref="W15">IF(A15="","", IF(COUNTIF(Referentie!$L$2:$L$21,A15)&lt;=1, "", IFERROR(INDEX(Referentie!$M$2:$M$21, MATCH(1,(Referentie!$L$2:$L$21=A15)*(Referentie!$N$2:$N$21=S15),0)), IF(S15="Bench","", "Geen match gevonden"))) )</f>
        <v/>
      </c>
    </row>
    <row r="16" spans="1:23" ht="15" customHeight="1">
      <c r="A16" s="2" t="s">
        <v>110</v>
      </c>
      <c r="B16" s="2">
        <v>8</v>
      </c>
      <c r="C16" s="2" t="s">
        <v>111</v>
      </c>
      <c r="D16" s="4" t="str">
        <f>IF(C16="","",VLOOKUP(C16,Referentie!$A$2:$B$19,2,0))</f>
        <v>Durin</v>
      </c>
      <c r="E16" s="4" t="s">
        <v>108</v>
      </c>
      <c r="F16" s="4" t="s">
        <v>108</v>
      </c>
      <c r="G16" s="4" t="s">
        <v>123</v>
      </c>
      <c r="H16" s="4" t="s">
        <v>74</v>
      </c>
      <c r="I16" s="4" t="s">
        <v>61</v>
      </c>
      <c r="J16" s="4" t="s">
        <v>58</v>
      </c>
      <c r="K16" s="4" t="s">
        <v>82</v>
      </c>
      <c r="L16" s="4" t="s">
        <v>121</v>
      </c>
      <c r="M16" s="4" t="s">
        <v>124</v>
      </c>
      <c r="N16" s="4" t="str">
        <f>IF(M16="","",VLOOKUP(M16,Referentie!$G$2:$I$26,2,0))</f>
        <v>Ingredient Finding</v>
      </c>
      <c r="O16" s="4" t="str">
        <f>IF(M16="","",VLOOKUP(M16,Referentie!$G$2:$I$26,3,0))</f>
        <v>EXP Gains</v>
      </c>
      <c r="P16" s="4">
        <f t="shared" si="7"/>
        <v>3</v>
      </c>
      <c r="Q16" s="4">
        <f t="shared" si="8"/>
        <v>3</v>
      </c>
      <c r="R16" s="4">
        <f t="shared" si="9"/>
        <v>0</v>
      </c>
      <c r="S16" s="4" t="str">
        <f t="shared" si="10"/>
        <v>Berry</v>
      </c>
      <c r="T16" s="4">
        <f t="shared" si="0"/>
        <v>4</v>
      </c>
      <c r="U16" s="4" t="str">
        <f t="shared" si="11"/>
        <v>🤔 Bench</v>
      </c>
      <c r="V16" s="4" t="str">
        <f t="shared" si="12"/>
        <v/>
      </c>
      <c r="W16" s="69" t="str" cm="1">
        <f t="array" ref="W16">IF(A16="","", IF(COUNTIF(Referentie!$L$2:$L$21,A16)&lt;=1, "", IFERROR(INDEX(Referentie!$M$2:$M$21, MATCH(1,(Referentie!$L$2:$L$21=A16)*(Referentie!$N$2:$N$21=S16),0)), IF(S16="Bench","", "Geen match gevonden"))) )</f>
        <v/>
      </c>
    </row>
    <row r="17" spans="1:23" ht="15" customHeight="1">
      <c r="A17" s="2" t="s">
        <v>106</v>
      </c>
      <c r="B17" s="2">
        <v>5</v>
      </c>
      <c r="C17" s="2" t="s">
        <v>107</v>
      </c>
      <c r="D17" s="4" t="str">
        <f>IF(C17="","",VLOOKUP(C17,Referentie!$A$2:$B$19,2,0))</f>
        <v>Pamtre</v>
      </c>
      <c r="E17" s="4" t="s">
        <v>108</v>
      </c>
      <c r="F17" s="4" t="s">
        <v>97</v>
      </c>
      <c r="G17" s="4" t="s">
        <v>97</v>
      </c>
      <c r="H17" s="4" t="s">
        <v>61</v>
      </c>
      <c r="I17" s="4" t="s">
        <v>86</v>
      </c>
      <c r="J17" s="4" t="s">
        <v>58</v>
      </c>
      <c r="K17" s="4" t="s">
        <v>57</v>
      </c>
      <c r="L17" s="4" t="s">
        <v>74</v>
      </c>
      <c r="M17" s="4" t="s">
        <v>125</v>
      </c>
      <c r="N17" s="4" t="str">
        <f>IF(M17="","",VLOOKUP(M17,Referentie!$G$2:$I$26,2,0))</f>
        <v>EXP Gains</v>
      </c>
      <c r="O17" s="4" t="str">
        <f>IF(M17="","",VLOOKUP(M17,Referentie!$G$2:$I$26,3,0))</f>
        <v>Speed of Help</v>
      </c>
      <c r="P17" s="4">
        <f t="shared" si="7"/>
        <v>0</v>
      </c>
      <c r="Q17" s="4">
        <f t="shared" si="8"/>
        <v>3.5</v>
      </c>
      <c r="R17" s="4">
        <f t="shared" si="9"/>
        <v>3</v>
      </c>
      <c r="S17" s="4" t="str">
        <f t="shared" si="10"/>
        <v>Ingredient</v>
      </c>
      <c r="T17" s="4">
        <f t="shared" si="0"/>
        <v>3.5</v>
      </c>
      <c r="U17" s="4" t="str">
        <f t="shared" si="11"/>
        <v>🤔 Bench</v>
      </c>
      <c r="V17" s="4" t="str">
        <f t="shared" si="12"/>
        <v/>
      </c>
      <c r="W17" s="69" t="str" cm="1">
        <f t="array" ref="W17">IF(A17="","", IF(COUNTIF(Referentie!$L$2:$L$21,A17)&lt;=1, "", IFERROR(INDEX(Referentie!$M$2:$M$21, MATCH(1,(Referentie!$L$2:$L$21=A17)*(Referentie!$N$2:$N$21=S17),0)), IF(S17="Bench","", "Geen match gevonden"))) )</f>
        <v/>
      </c>
    </row>
    <row r="18" spans="1:23" ht="15" customHeight="1">
      <c r="A18" s="60" t="s">
        <v>126</v>
      </c>
      <c r="B18" s="2">
        <v>6</v>
      </c>
      <c r="C18" s="2" t="s">
        <v>127</v>
      </c>
      <c r="D18" s="4" t="str">
        <f>IF(C18="","",VLOOKUP(C18,Referentie!$A$2:$B$19,2,0))</f>
        <v>Bluk</v>
      </c>
      <c r="E18" s="4" t="s">
        <v>128</v>
      </c>
      <c r="F18" s="4" t="s">
        <v>73</v>
      </c>
      <c r="G18" s="4" t="s">
        <v>73</v>
      </c>
      <c r="H18" s="4" t="s">
        <v>58</v>
      </c>
      <c r="I18" s="4" t="s">
        <v>68</v>
      </c>
      <c r="J18" s="4" t="s">
        <v>57</v>
      </c>
      <c r="K18" s="4" t="s">
        <v>74</v>
      </c>
      <c r="L18" s="4" t="s">
        <v>59</v>
      </c>
      <c r="M18" s="4" t="s">
        <v>122</v>
      </c>
      <c r="N18" s="4" t="str">
        <f>IF(M18="","",VLOOKUP(M18,Referentie!$G$2:$I$26,2,0))</f>
        <v>Speed of Help</v>
      </c>
      <c r="O18" s="4" t="str">
        <f>IF(M18="","",VLOOKUP(M18,Referentie!$G$2:$I$26,3,0))</f>
        <v>Ingredient Finding</v>
      </c>
      <c r="P18" s="4">
        <f t="shared" si="7"/>
        <v>3</v>
      </c>
      <c r="Q18" s="4">
        <f t="shared" si="8"/>
        <v>1.5</v>
      </c>
      <c r="R18" s="4">
        <f t="shared" si="9"/>
        <v>2</v>
      </c>
      <c r="S18" s="4" t="str">
        <f t="shared" si="10"/>
        <v>Berry</v>
      </c>
      <c r="T18" s="4">
        <f t="shared" si="0"/>
        <v>4</v>
      </c>
      <c r="U18" s="4" t="str">
        <f t="shared" si="11"/>
        <v>🤔 Bench</v>
      </c>
      <c r="V18" s="4" t="str">
        <f t="shared" si="12"/>
        <v>Perfecte nature voor Berry team!</v>
      </c>
      <c r="W18" s="69" t="str" cm="1">
        <f t="array" ref="W18">IF(A18="","", IF(COUNTIF(Referentie!$L$2:$L$21,A18)&lt;=1, "", IFERROR(INDEX(Referentie!$M$2:$M$21, MATCH(1,(Referentie!$L$2:$L$21=A18)*(Referentie!$N$2:$N$21=S18),0)), IF(S18="Bench","", "Geen match gevonden"))) )</f>
        <v/>
      </c>
    </row>
    <row r="19" spans="1:23" ht="15" customHeight="1">
      <c r="A19" s="2" t="s">
        <v>129</v>
      </c>
      <c r="B19" s="2">
        <v>12</v>
      </c>
      <c r="C19" s="2" t="s">
        <v>54</v>
      </c>
      <c r="D19" s="4" t="str">
        <f>IF(C19="","",VLOOKUP(C19,Referentie!$A$2:$B$19,2,0))</f>
        <v>Grepa</v>
      </c>
      <c r="E19" s="4" t="s">
        <v>114</v>
      </c>
      <c r="F19" s="4" t="s">
        <v>114</v>
      </c>
      <c r="G19" s="4" t="s">
        <v>114</v>
      </c>
      <c r="H19" s="4" t="s">
        <v>74</v>
      </c>
      <c r="I19" s="4" t="s">
        <v>58</v>
      </c>
      <c r="J19" s="4" t="s">
        <v>61</v>
      </c>
      <c r="K19" s="4" t="s">
        <v>57</v>
      </c>
      <c r="L19" s="4" t="s">
        <v>78</v>
      </c>
      <c r="M19" s="4" t="s">
        <v>75</v>
      </c>
      <c r="N19" s="4" t="str">
        <f>IF(M19="","",VLOOKUP(M19,Referentie!$G$2:$I$26,2,0))</f>
        <v>EXP Gains</v>
      </c>
      <c r="O19" s="4" t="str">
        <f>IF(M19="","",VLOOKUP(M19,Referentie!$G$2:$I$26,3,0))</f>
        <v>Main Skill Chance</v>
      </c>
      <c r="P19" s="4">
        <f t="shared" si="7"/>
        <v>4</v>
      </c>
      <c r="Q19" s="4">
        <f t="shared" si="8"/>
        <v>4.5</v>
      </c>
      <c r="R19" s="4">
        <f t="shared" si="9"/>
        <v>0</v>
      </c>
      <c r="S19" s="4" t="str">
        <f t="shared" si="10"/>
        <v>Ingredient</v>
      </c>
      <c r="T19" s="4">
        <f t="shared" si="0"/>
        <v>5</v>
      </c>
      <c r="U19" s="4" t="str">
        <f t="shared" si="11"/>
        <v>📈 Level Up</v>
      </c>
      <c r="V19" s="4" t="str">
        <f t="shared" si="12"/>
        <v>Evolve → Ampharos = hoge frequentie + waardevolle ingrediënten</v>
      </c>
      <c r="W19" s="69" t="str" cm="1">
        <f t="array" ref="W19">IF(A19="","", IF(COUNTIF(Referentie!$L$2:$L$21,A19)&lt;=1, "", IFERROR(INDEX(Referentie!$M$2:$M$21, MATCH(1,(Referentie!$L$2:$L$21=A19)*(Referentie!$N$2:$N$21=S19),0)), IF(S19="Bench","", "Geen match gevonden"))) )</f>
        <v/>
      </c>
    </row>
    <row r="20" spans="1:23" ht="15" customHeight="1">
      <c r="A20" s="2" t="s">
        <v>70</v>
      </c>
      <c r="B20" s="2">
        <v>4</v>
      </c>
      <c r="C20" s="2" t="s">
        <v>71</v>
      </c>
      <c r="D20" s="4" t="str">
        <f>IF(C20="","",VLOOKUP(C20,Referentie!$A$2:$B$19,2,0))</f>
        <v>Pecha</v>
      </c>
      <c r="E20" s="4" t="s">
        <v>72</v>
      </c>
      <c r="F20" s="4" t="s">
        <v>73</v>
      </c>
      <c r="G20" s="4" t="s">
        <v>72</v>
      </c>
      <c r="H20" s="4" t="s">
        <v>58</v>
      </c>
      <c r="I20" s="4" t="s">
        <v>74</v>
      </c>
      <c r="J20" s="4" t="s">
        <v>57</v>
      </c>
      <c r="K20" s="4" t="s">
        <v>67</v>
      </c>
      <c r="L20" s="4" t="s">
        <v>82</v>
      </c>
      <c r="M20" s="4" t="s">
        <v>122</v>
      </c>
      <c r="N20" s="4" t="str">
        <f>IF(M20="","",VLOOKUP(M20,Referentie!$G$2:$I$26,2,0))</f>
        <v>Speed of Help</v>
      </c>
      <c r="O20" s="4" t="str">
        <f>IF(M20="","",VLOOKUP(M20,Referentie!$G$2:$I$26,3,0))</f>
        <v>Ingredient Finding</v>
      </c>
      <c r="P20" s="4">
        <f t="shared" si="7"/>
        <v>5</v>
      </c>
      <c r="Q20" s="4">
        <f t="shared" si="8"/>
        <v>1</v>
      </c>
      <c r="R20" s="4">
        <f t="shared" si="9"/>
        <v>0</v>
      </c>
      <c r="S20" s="4" t="str">
        <f t="shared" si="10"/>
        <v>Berry</v>
      </c>
      <c r="T20" s="4">
        <f t="shared" si="0"/>
        <v>6</v>
      </c>
      <c r="U20" s="4" t="str">
        <f t="shared" si="11"/>
        <v>📈 Level Up</v>
      </c>
      <c r="V20" s="4" t="str">
        <f t="shared" si="12"/>
        <v>Evolve → Wigglytuff = Energy for Everyone S (top skill!); Perfecte nature voor Berry team!</v>
      </c>
      <c r="W20" s="69" t="str" cm="1">
        <f t="array" ref="W20">IF(A20="","", IF(COUNTIF(Referentie!$L$2:$L$21,A20)&lt;=1, "", IFERROR(INDEX(Referentie!$M$2:$M$21, MATCH(1,(Referentie!$L$2:$L$21=A20)*(Referentie!$N$2:$N$21=S20),0)), IF(S20="Bench","", "Geen match gevonden"))) )</f>
        <v/>
      </c>
    </row>
    <row r="21" spans="1:23" ht="15" customHeight="1">
      <c r="A21" s="2" t="s">
        <v>130</v>
      </c>
      <c r="B21" s="2">
        <v>9</v>
      </c>
      <c r="C21" s="2" t="s">
        <v>131</v>
      </c>
      <c r="D21" s="4" t="str">
        <f>IF(C21="","",VLOOKUP(C21,Referentie!$A$2:$B$19,2,0))</f>
        <v>Mago</v>
      </c>
      <c r="E21" s="4" t="s">
        <v>55</v>
      </c>
      <c r="F21" s="4" t="s">
        <v>103</v>
      </c>
      <c r="G21" s="4" t="s">
        <v>73</v>
      </c>
      <c r="H21" s="4" t="s">
        <v>82</v>
      </c>
      <c r="I21" s="4" t="s">
        <v>61</v>
      </c>
      <c r="J21" s="4" t="s">
        <v>57</v>
      </c>
      <c r="K21" s="4" t="s">
        <v>59</v>
      </c>
      <c r="L21" s="4" t="s">
        <v>74</v>
      </c>
      <c r="M21" s="4" t="s">
        <v>90</v>
      </c>
      <c r="N21" s="4" t="str">
        <f>IF(M21="","",VLOOKUP(M21,Referentie!$G$2:$I$26,2,0))</f>
        <v>EXP Gains</v>
      </c>
      <c r="O21" s="4" t="str">
        <f>IF(M21="","",VLOOKUP(M21,Referentie!$G$2:$I$26,3,0))</f>
        <v>Ingredient Finding</v>
      </c>
      <c r="P21" s="4">
        <f t="shared" si="7"/>
        <v>4</v>
      </c>
      <c r="Q21" s="4">
        <f t="shared" si="8"/>
        <v>0.5</v>
      </c>
      <c r="R21" s="4">
        <f t="shared" si="9"/>
        <v>2</v>
      </c>
      <c r="S21" s="4" t="str">
        <f t="shared" si="10"/>
        <v>Berry</v>
      </c>
      <c r="T21" s="4">
        <f t="shared" si="0"/>
        <v>4</v>
      </c>
      <c r="U21" s="4" t="str">
        <f t="shared" si="11"/>
        <v>🤔 Bench</v>
      </c>
      <c r="V21" s="4" t="str">
        <f t="shared" si="12"/>
        <v/>
      </c>
      <c r="W21" s="69" t="str" cm="1">
        <f t="array" ref="W21">IF(A21="","", IF(COUNTIF(Referentie!$L$2:$L$21,A21)&lt;=1, "", IFERROR(INDEX(Referentie!$M$2:$M$21, MATCH(1,(Referentie!$L$2:$L$21=A21)*(Referentie!$N$2:$N$21=S21),0)), IF(S21="Bench","", "Geen match gevonden"))) )</f>
        <v/>
      </c>
    </row>
    <row r="22" spans="1:23" ht="15" customHeight="1">
      <c r="A22" s="2" t="s">
        <v>85</v>
      </c>
      <c r="B22" s="2">
        <v>6</v>
      </c>
      <c r="C22" s="2" t="s">
        <v>54</v>
      </c>
      <c r="D22" s="4" t="str">
        <f>IF(C22="","",VLOOKUP(C22,Referentie!$A$2:$B$19,2,0))</f>
        <v>Grepa</v>
      </c>
      <c r="E22" s="4" t="s">
        <v>55</v>
      </c>
      <c r="F22" s="4" t="s">
        <v>56</v>
      </c>
      <c r="G22" s="4" t="s">
        <v>108</v>
      </c>
      <c r="H22" s="4" t="s">
        <v>60</v>
      </c>
      <c r="I22" s="4" t="s">
        <v>57</v>
      </c>
      <c r="J22" s="4" t="s">
        <v>86</v>
      </c>
      <c r="K22" s="4" t="s">
        <v>59</v>
      </c>
      <c r="L22" s="4" t="s">
        <v>61</v>
      </c>
      <c r="M22" s="4" t="s">
        <v>79</v>
      </c>
      <c r="N22" s="4" t="str">
        <f>IF(M22="","",VLOOKUP(M22,Referentie!$G$2:$I$26,2,0))</f>
        <v>Energy Recovery</v>
      </c>
      <c r="O22" s="4" t="str">
        <f>IF(M22="","",VLOOKUP(M22,Referentie!$G$2:$I$26,3,0))</f>
        <v>Speed of Help</v>
      </c>
      <c r="P22" s="4">
        <f t="shared" si="7"/>
        <v>-2</v>
      </c>
      <c r="Q22" s="4">
        <f t="shared" si="8"/>
        <v>3.5</v>
      </c>
      <c r="R22" s="4">
        <f t="shared" si="9"/>
        <v>2</v>
      </c>
      <c r="S22" s="4" t="str">
        <f t="shared" si="10"/>
        <v>Ingredient</v>
      </c>
      <c r="T22" s="4">
        <f t="shared" si="0"/>
        <v>3.5</v>
      </c>
      <c r="U22" s="4" t="str">
        <f t="shared" si="11"/>
        <v>🤔 Bench</v>
      </c>
      <c r="V22" s="4" t="str">
        <f t="shared" si="12"/>
        <v>Evolve → Pikachu → Raichu (top berry)</v>
      </c>
      <c r="W22" s="69" t="str" cm="1">
        <f t="array" ref="W22">IF(A22="","", IF(COUNTIF(Referentie!$L$2:$L$21,A22)&lt;=1, "", IFERROR(INDEX(Referentie!$M$2:$M$21, MATCH(1,(Referentie!$L$2:$L$21=A22)*(Referentie!$N$2:$N$21=S22),0)), IF(S22="Bench","", "Geen match gevonden"))) )</f>
        <v/>
      </c>
    </row>
    <row r="23" spans="1:23" ht="15" customHeight="1">
      <c r="A23" s="2" t="s">
        <v>132</v>
      </c>
      <c r="B23" s="2">
        <v>7</v>
      </c>
      <c r="C23" s="2" t="s">
        <v>133</v>
      </c>
      <c r="D23" s="4" t="str">
        <f>IF(C23="","",VLOOKUP(C23,Referentie!$A$2:$B$19,2,0))</f>
        <v>Sitrus</v>
      </c>
      <c r="E23" s="4" t="s">
        <v>56</v>
      </c>
      <c r="F23" s="4" t="s">
        <v>97</v>
      </c>
      <c r="G23" s="4" t="s">
        <v>97</v>
      </c>
      <c r="H23" s="4" t="s">
        <v>74</v>
      </c>
      <c r="I23" s="4" t="s">
        <v>58</v>
      </c>
      <c r="J23" s="4" t="s">
        <v>78</v>
      </c>
      <c r="K23" s="4" t="s">
        <v>57</v>
      </c>
      <c r="L23" s="4" t="s">
        <v>68</v>
      </c>
      <c r="M23" s="4" t="s">
        <v>134</v>
      </c>
      <c r="N23" s="4" t="str">
        <f>IF(M23="","",VLOOKUP(M23,Referentie!$G$2:$I$26,2,0))</f>
        <v>Neutral</v>
      </c>
      <c r="O23" s="4" t="str">
        <f>IF(M23="","",VLOOKUP(M23,Referentie!$G$2:$I$26,3,0))</f>
        <v>Neutral</v>
      </c>
      <c r="P23" s="4">
        <f t="shared" si="7"/>
        <v>3</v>
      </c>
      <c r="Q23" s="4">
        <f t="shared" si="8"/>
        <v>2.5</v>
      </c>
      <c r="R23" s="4">
        <f t="shared" si="9"/>
        <v>2</v>
      </c>
      <c r="S23" s="4" t="str">
        <f t="shared" si="10"/>
        <v>Berry</v>
      </c>
      <c r="T23" s="4">
        <f t="shared" si="0"/>
        <v>3</v>
      </c>
      <c r="U23" s="4" t="str">
        <f t="shared" si="11"/>
        <v>🤔 Bench</v>
      </c>
      <c r="V23" s="4" t="str">
        <f t="shared" si="12"/>
        <v>Neutrale nature = ok maar niet ideaal</v>
      </c>
      <c r="W23" s="69" t="str" cm="1">
        <f t="array" ref="W23">IF(A23="","", IF(COUNTIF(Referentie!$L$2:$L$21,A23)&lt;=1, "", IFERROR(INDEX(Referentie!$M$2:$M$21, MATCH(1,(Referentie!$L$2:$L$21=A23)*(Referentie!$N$2:$N$21=S23),0)), IF(S23="Bench","", "Geen match gevonden"))) )</f>
        <v/>
      </c>
    </row>
    <row r="24" spans="1:23" ht="15" customHeight="1">
      <c r="A24" s="2" t="s">
        <v>135</v>
      </c>
      <c r="B24" s="2">
        <v>6</v>
      </c>
      <c r="C24" s="2" t="s">
        <v>111</v>
      </c>
      <c r="D24" s="4" t="str">
        <f>IF(C24="","",VLOOKUP(C24,Referentie!$A$2:$B$19,2,0))</f>
        <v>Durin</v>
      </c>
      <c r="E24" s="4" t="s">
        <v>72</v>
      </c>
      <c r="F24" s="4" t="s">
        <v>72</v>
      </c>
      <c r="G24" s="4" t="s">
        <v>72</v>
      </c>
      <c r="H24" s="4" t="s">
        <v>82</v>
      </c>
      <c r="I24" s="4" t="s">
        <v>57</v>
      </c>
      <c r="J24" s="4" t="s">
        <v>58</v>
      </c>
      <c r="K24" s="4" t="s">
        <v>68</v>
      </c>
      <c r="L24" s="4" t="s">
        <v>74</v>
      </c>
      <c r="M24" s="4" t="s">
        <v>87</v>
      </c>
      <c r="N24" s="4" t="str">
        <f>IF(M24="","",VLOOKUP(M24,Referentie!$G$2:$I$26,2,0))</f>
        <v>Energy Recovery</v>
      </c>
      <c r="O24" s="4" t="str">
        <f>IF(M24="","",VLOOKUP(M24,Referentie!$G$2:$I$26,3,0))</f>
        <v>Ingredient Finding</v>
      </c>
      <c r="P24" s="4">
        <f t="shared" si="7"/>
        <v>3</v>
      </c>
      <c r="Q24" s="4">
        <f t="shared" si="8"/>
        <v>1.5</v>
      </c>
      <c r="R24" s="4">
        <f t="shared" si="9"/>
        <v>2</v>
      </c>
      <c r="S24" s="4" t="str">
        <f t="shared" si="10"/>
        <v>Berry</v>
      </c>
      <c r="T24" s="4">
        <f t="shared" si="0"/>
        <v>3</v>
      </c>
      <c r="U24" s="4" t="str">
        <f t="shared" si="11"/>
        <v>🤔 Bench</v>
      </c>
      <c r="V24" s="4" t="str">
        <f t="shared" si="12"/>
        <v>Kanto starter: 2x ingrediënten + Ingredient Magnet S</v>
      </c>
      <c r="W24" s="69" t="str" cm="1">
        <f t="array" ref="W24">IF(A24="","", IF(COUNTIF(Referentie!$L$2:$L$21,A24)&lt;=1, "", IFERROR(INDEX(Referentie!$M$2:$M$21, MATCH(1,(Referentie!$L$2:$L$21=A24)*(Referentie!$N$2:$N$21=S24),0)), IF(S24="Bench","", "Geen match gevonden"))) )</f>
        <v/>
      </c>
    </row>
    <row r="25" spans="1:23" ht="15" customHeight="1">
      <c r="A25" s="2" t="s">
        <v>95</v>
      </c>
      <c r="B25" s="2">
        <v>6</v>
      </c>
      <c r="C25" s="2" t="s">
        <v>96</v>
      </c>
      <c r="D25" s="4" t="str">
        <f>IF(C25="","",VLOOKUP(C25,Referentie!$A$2:$B$19,2,0))</f>
        <v>Persim</v>
      </c>
      <c r="E25" s="4" t="s">
        <v>55</v>
      </c>
      <c r="F25" s="4" t="s">
        <v>55</v>
      </c>
      <c r="G25" s="4" t="s">
        <v>97</v>
      </c>
      <c r="H25" s="4" t="s">
        <v>86</v>
      </c>
      <c r="I25" s="4" t="s">
        <v>61</v>
      </c>
      <c r="J25" s="4" t="s">
        <v>67</v>
      </c>
      <c r="K25" s="4" t="s">
        <v>60</v>
      </c>
      <c r="L25" s="4" t="s">
        <v>58</v>
      </c>
      <c r="M25" s="4" t="s">
        <v>75</v>
      </c>
      <c r="N25" s="4" t="str">
        <f>IF(M25="","",VLOOKUP(M25,Referentie!$G$2:$I$26,2,0))</f>
        <v>EXP Gains</v>
      </c>
      <c r="O25" s="4" t="str">
        <f>IF(M25="","",VLOOKUP(M25,Referentie!$G$2:$I$26,3,0))</f>
        <v>Main Skill Chance</v>
      </c>
      <c r="P25" s="4">
        <f t="shared" si="7"/>
        <v>1</v>
      </c>
      <c r="Q25" s="4">
        <f t="shared" si="8"/>
        <v>6.5</v>
      </c>
      <c r="R25" s="4">
        <f t="shared" si="9"/>
        <v>1</v>
      </c>
      <c r="S25" s="4" t="str">
        <f t="shared" si="10"/>
        <v>Ingredient</v>
      </c>
      <c r="T25" s="4">
        <f t="shared" si="0"/>
        <v>6.5</v>
      </c>
      <c r="U25" s="4" t="str">
        <f t="shared" si="11"/>
        <v>📈 Level Up</v>
      </c>
      <c r="V25" s="4" t="str">
        <f t="shared" si="12"/>
        <v/>
      </c>
      <c r="W25" s="69" t="str" cm="1">
        <f t="array" ref="W25">IF(A25="","", IF(COUNTIF(Referentie!$L$2:$L$21,A25)&lt;=1, "", IFERROR(INDEX(Referentie!$M$2:$M$21, MATCH(1,(Referentie!$L$2:$L$21=A25)*(Referentie!$N$2:$N$21=S25),0)), IF(S25="Bench","", "Geen match gevonden"))) )</f>
        <v/>
      </c>
    </row>
    <row r="26" spans="1:23" ht="15" customHeight="1">
      <c r="A26" s="2" t="s">
        <v>136</v>
      </c>
      <c r="B26" s="2">
        <v>6</v>
      </c>
      <c r="C26" s="2" t="s">
        <v>64</v>
      </c>
      <c r="D26" s="4" t="str">
        <f>IF(C26="","",VLOOKUP(C26,Referentie!$A$2:$B$19,2,0))</f>
        <v>Oran</v>
      </c>
      <c r="E26" s="4" t="s">
        <v>128</v>
      </c>
      <c r="F26" s="4" t="s">
        <v>65</v>
      </c>
      <c r="G26" s="4" t="s">
        <v>128</v>
      </c>
      <c r="H26" s="4" t="s">
        <v>58</v>
      </c>
      <c r="I26" s="4" t="s">
        <v>61</v>
      </c>
      <c r="J26" s="4" t="s">
        <v>82</v>
      </c>
      <c r="K26" s="4" t="s">
        <v>57</v>
      </c>
      <c r="L26" s="4" t="s">
        <v>86</v>
      </c>
      <c r="M26" s="4" t="s">
        <v>105</v>
      </c>
      <c r="N26" s="4" t="str">
        <f>IF(M26="","",VLOOKUP(M26,Referentie!$G$2:$I$26,2,0))</f>
        <v>EXP Gains</v>
      </c>
      <c r="O26" s="4" t="str">
        <f>IF(M26="","",VLOOKUP(M26,Referentie!$G$2:$I$26,3,0))</f>
        <v>Energy Recovery</v>
      </c>
      <c r="P26" s="4">
        <f t="shared" si="7"/>
        <v>3</v>
      </c>
      <c r="Q26" s="4">
        <f t="shared" si="8"/>
        <v>2.5</v>
      </c>
      <c r="R26" s="4">
        <f t="shared" si="9"/>
        <v>3</v>
      </c>
      <c r="S26" s="4" t="str">
        <f t="shared" si="10"/>
        <v>Berry</v>
      </c>
      <c r="T26" s="4">
        <f t="shared" si="0"/>
        <v>3</v>
      </c>
      <c r="U26" s="4" t="str">
        <f t="shared" si="11"/>
        <v>🤔 Bench</v>
      </c>
      <c r="V26" s="4" t="str">
        <f t="shared" si="12"/>
        <v/>
      </c>
      <c r="W26" s="69" t="str" cm="1">
        <f t="array" ref="W26">IF(A26="","", IF(COUNTIF(Referentie!$L$2:$L$21,A26)&lt;=1, "", IFERROR(INDEX(Referentie!$M$2:$M$21, MATCH(1,(Referentie!$L$2:$L$21=A26)*(Referentie!$N$2:$N$21=S26),0)), IF(S26="Bench","", "Geen match gevonden"))) )</f>
        <v/>
      </c>
    </row>
    <row r="27" spans="1:23" ht="15" customHeight="1">
      <c r="A27" s="2" t="s">
        <v>80</v>
      </c>
      <c r="B27" s="2">
        <v>5</v>
      </c>
      <c r="C27" s="2" t="s">
        <v>81</v>
      </c>
      <c r="D27" s="4" t="str">
        <f>IF(C27="","",VLOOKUP(C27,Referentie!$A$2:$B$19,2,0))</f>
        <v>Figy</v>
      </c>
      <c r="E27" s="4" t="s">
        <v>56</v>
      </c>
      <c r="F27" s="4" t="s">
        <v>66</v>
      </c>
      <c r="G27" s="4" t="s">
        <v>56</v>
      </c>
      <c r="H27" s="4" t="s">
        <v>83</v>
      </c>
      <c r="I27" s="4" t="s">
        <v>74</v>
      </c>
      <c r="J27" s="4" t="s">
        <v>121</v>
      </c>
      <c r="K27" s="4" t="s">
        <v>99</v>
      </c>
      <c r="L27" s="4" t="s">
        <v>68</v>
      </c>
      <c r="M27" s="4" t="s">
        <v>87</v>
      </c>
      <c r="N27" s="4" t="str">
        <f>IF(M27="","",VLOOKUP(M27,Referentie!$G$2:$I$26,2,0))</f>
        <v>Energy Recovery</v>
      </c>
      <c r="O27" s="4" t="str">
        <f>IF(M27="","",VLOOKUP(M27,Referentie!$G$2:$I$26,3,0))</f>
        <v>Ingredient Finding</v>
      </c>
      <c r="P27" s="4">
        <f t="shared" si="7"/>
        <v>2</v>
      </c>
      <c r="Q27" s="4">
        <f t="shared" si="8"/>
        <v>-2</v>
      </c>
      <c r="R27" s="4">
        <f t="shared" si="9"/>
        <v>5</v>
      </c>
      <c r="S27" s="4" t="str">
        <f t="shared" si="10"/>
        <v>Skill</v>
      </c>
      <c r="T27" s="4">
        <f t="shared" si="0"/>
        <v>5</v>
      </c>
      <c r="U27" s="4" t="str">
        <f t="shared" si="11"/>
        <v>📈 Level Up</v>
      </c>
      <c r="V27" s="4" t="str">
        <f t="shared" si="12"/>
        <v/>
      </c>
      <c r="W27" s="69" t="str" cm="1">
        <f t="array" ref="W27">IF(A27="","", IF(COUNTIF(Referentie!$L$2:$L$21,A27)&lt;=1, "", IFERROR(INDEX(Referentie!$M$2:$M$21, MATCH(1,(Referentie!$L$2:$L$21=A27)*(Referentie!$N$2:$N$21=S27),0)), IF(S27="Bench","", "Geen match gevonden"))) )</f>
        <v/>
      </c>
    </row>
    <row r="28" spans="1:23" ht="15" customHeight="1">
      <c r="A28" s="2" t="s">
        <v>137</v>
      </c>
      <c r="B28" s="2">
        <v>8</v>
      </c>
      <c r="C28" s="2" t="s">
        <v>71</v>
      </c>
      <c r="D28" s="4" t="str">
        <f>IF(C28="","",VLOOKUP(C28,Referentie!$A$2:$B$19,2,0))</f>
        <v>Pecha</v>
      </c>
      <c r="E28" s="4" t="s">
        <v>108</v>
      </c>
      <c r="F28" s="4" t="s">
        <v>56</v>
      </c>
      <c r="G28" s="4" t="s">
        <v>56</v>
      </c>
      <c r="H28" s="4" t="s">
        <v>67</v>
      </c>
      <c r="I28" s="4" t="s">
        <v>58</v>
      </c>
      <c r="J28" s="4" t="s">
        <v>74</v>
      </c>
      <c r="K28" s="4" t="s">
        <v>78</v>
      </c>
      <c r="L28" s="4" t="s">
        <v>59</v>
      </c>
      <c r="M28" s="4" t="s">
        <v>122</v>
      </c>
      <c r="N28" s="4" t="str">
        <f>IF(M28="","",VLOOKUP(M28,Referentie!$G$2:$I$26,2,0))</f>
        <v>Speed of Help</v>
      </c>
      <c r="O28" s="4" t="str">
        <f>IF(M28="","",VLOOKUP(M28,Referentie!$G$2:$I$26,3,0))</f>
        <v>Ingredient Finding</v>
      </c>
      <c r="P28" s="4">
        <f t="shared" si="7"/>
        <v>5</v>
      </c>
      <c r="Q28" s="4">
        <f t="shared" si="8"/>
        <v>2.5</v>
      </c>
      <c r="R28" s="4">
        <f t="shared" si="9"/>
        <v>0</v>
      </c>
      <c r="S28" s="4" t="str">
        <f t="shared" si="10"/>
        <v>Berry</v>
      </c>
      <c r="T28" s="4">
        <f t="shared" si="0"/>
        <v>6</v>
      </c>
      <c r="U28" s="4" t="str">
        <f t="shared" si="11"/>
        <v>📈 Level Up</v>
      </c>
      <c r="V28" s="4" t="str">
        <f t="shared" si="12"/>
        <v>Let op: Togekiss Metronome is onbetrouwbaar; Perfecte nature voor Berry team!</v>
      </c>
      <c r="W28" s="69" t="str" cm="1">
        <f t="array" ref="W28">IF(A28="","", IF(COUNTIF(Referentie!$L$2:$L$21,A28)&lt;=1, "", IFERROR(INDEX(Referentie!$M$2:$M$21, MATCH(1,(Referentie!$L$2:$L$21=A28)*(Referentie!$N$2:$N$21=S28),0)), IF(S28="Bench","", "Geen match gevonden"))) )</f>
        <v/>
      </c>
    </row>
    <row r="29" spans="1:23" ht="15" customHeight="1">
      <c r="A29" s="2" t="s">
        <v>139</v>
      </c>
      <c r="B29" s="2">
        <v>8</v>
      </c>
      <c r="C29" s="2" t="s">
        <v>64</v>
      </c>
      <c r="D29" s="4" t="str">
        <f>IF(C29="","",VLOOKUP(C29,Referentie!$A$2:$B$19,2,0))</f>
        <v>Oran</v>
      </c>
      <c r="E29" s="4" t="s">
        <v>77</v>
      </c>
      <c r="F29" s="4" t="s">
        <v>73</v>
      </c>
      <c r="G29" s="4" t="s">
        <v>73</v>
      </c>
      <c r="H29" s="4" t="s">
        <v>61</v>
      </c>
      <c r="I29" s="4" t="s">
        <v>59</v>
      </c>
      <c r="J29" s="4" t="s">
        <v>58</v>
      </c>
      <c r="K29" s="4" t="s">
        <v>57</v>
      </c>
      <c r="L29" s="4" t="s">
        <v>74</v>
      </c>
      <c r="M29" s="4" t="s">
        <v>100</v>
      </c>
      <c r="N29" s="4" t="str">
        <f>IF(M29="","",VLOOKUP(M29,Referentie!$G$2:$I$26,2,0))</f>
        <v>Ingredient Finding</v>
      </c>
      <c r="O29" s="4" t="str">
        <f>IF(M29="","",VLOOKUP(M29,Referentie!$G$2:$I$26,3,0))</f>
        <v>Energy Recovery</v>
      </c>
      <c r="P29" s="4">
        <f t="shared" si="7"/>
        <v>1</v>
      </c>
      <c r="Q29" s="4">
        <f t="shared" si="8"/>
        <v>5.5</v>
      </c>
      <c r="R29" s="4">
        <f t="shared" si="9"/>
        <v>1</v>
      </c>
      <c r="S29" s="4" t="str">
        <f t="shared" si="10"/>
        <v>Ingredient</v>
      </c>
      <c r="T29" s="4">
        <f t="shared" si="0"/>
        <v>6.5</v>
      </c>
      <c r="U29" s="4" t="str">
        <f t="shared" si="11"/>
        <v>📈 Level Up</v>
      </c>
      <c r="V29" s="4" t="str">
        <f t="shared" si="12"/>
        <v>Evolve → Feraligatr = top berry voor Cyan Beach; Perfecte nature voor Ingredient team!</v>
      </c>
      <c r="W29" s="69" t="str" cm="1">
        <f t="array" ref="W29">IF(A29="","", IF(COUNTIF(Referentie!$L$2:$L$21,A29)&lt;=1, "", IFERROR(INDEX(Referentie!$M$2:$M$21, MATCH(1,(Referentie!$L$2:$L$21=A29)*(Referentie!$N$2:$N$21=S29),0)), IF(S29="Bench","", "Geen match gevonden"))) )</f>
        <v/>
      </c>
    </row>
    <row r="30" spans="1:23" ht="15" customHeight="1">
      <c r="A30" s="2" t="s">
        <v>140</v>
      </c>
      <c r="B30" s="2">
        <v>4</v>
      </c>
      <c r="C30" s="2" t="s">
        <v>141</v>
      </c>
      <c r="D30" s="4" t="str">
        <f>IF(C30="","",VLOOKUP(C30,Referentie!$A$2:$B$19,2,0))</f>
        <v>Wiki</v>
      </c>
      <c r="E30" s="4" t="s">
        <v>114</v>
      </c>
      <c r="F30" s="4" t="s">
        <v>114</v>
      </c>
      <c r="G30" s="4" t="s">
        <v>56</v>
      </c>
      <c r="H30" s="4" t="s">
        <v>68</v>
      </c>
      <c r="I30" s="4" t="s">
        <v>57</v>
      </c>
      <c r="J30" s="4" t="s">
        <v>58</v>
      </c>
      <c r="K30" s="4" t="s">
        <v>74</v>
      </c>
      <c r="L30" s="4" t="s">
        <v>121</v>
      </c>
      <c r="M30" s="4" t="s">
        <v>125</v>
      </c>
      <c r="N30" s="4" t="str">
        <f>IF(M30="","",VLOOKUP(M30,Referentie!$G$2:$I$26,2,0))</f>
        <v>EXP Gains</v>
      </c>
      <c r="O30" s="4" t="str">
        <f>IF(M30="","",VLOOKUP(M30,Referentie!$G$2:$I$26,3,0))</f>
        <v>Speed of Help</v>
      </c>
      <c r="P30" s="4">
        <f t="shared" si="7"/>
        <v>1</v>
      </c>
      <c r="Q30" s="4">
        <f t="shared" si="8"/>
        <v>3.5</v>
      </c>
      <c r="R30" s="4">
        <f t="shared" si="9"/>
        <v>3</v>
      </c>
      <c r="S30" s="4" t="str">
        <f t="shared" si="10"/>
        <v>Ingredient</v>
      </c>
      <c r="T30" s="4">
        <f t="shared" si="0"/>
        <v>3.5</v>
      </c>
      <c r="U30" s="4" t="str">
        <f t="shared" si="11"/>
        <v>🤔 Bench</v>
      </c>
      <c r="V30" s="4" t="str">
        <f t="shared" si="12"/>
        <v/>
      </c>
      <c r="W30" s="69" t="str" cm="1">
        <f t="array" ref="W30">IF(A30="","", IF(COUNTIF(Referentie!$L$2:$L$21,A30)&lt;=1, "", IFERROR(INDEX(Referentie!$M$2:$M$21, MATCH(1,(Referentie!$L$2:$L$21=A30)*(Referentie!$N$2:$N$21=S30),0)), IF(S30="Bench","", "Geen match gevonden"))) )</f>
        <v/>
      </c>
    </row>
    <row r="31" spans="1:23" ht="15" customHeight="1">
      <c r="A31" s="2" t="s">
        <v>118</v>
      </c>
      <c r="B31" s="2">
        <v>5</v>
      </c>
      <c r="C31" s="2" t="s">
        <v>119</v>
      </c>
      <c r="D31" s="4" t="str">
        <f>IF(C31="","",VLOOKUP(C31,Referentie!$A$2:$B$19,2,0))</f>
        <v>Cheri</v>
      </c>
      <c r="E31" s="4" t="s">
        <v>73</v>
      </c>
      <c r="F31" s="4" t="s">
        <v>120</v>
      </c>
      <c r="G31" s="4" t="s">
        <v>120</v>
      </c>
      <c r="H31" s="4" t="s">
        <v>67</v>
      </c>
      <c r="I31" s="4" t="s">
        <v>86</v>
      </c>
      <c r="J31" s="4" t="s">
        <v>59</v>
      </c>
      <c r="K31" s="4" t="s">
        <v>68</v>
      </c>
      <c r="L31" s="4" t="s">
        <v>58</v>
      </c>
      <c r="M31" s="4" t="s">
        <v>142</v>
      </c>
      <c r="N31" s="4" t="str">
        <f>IF(M31="","",VLOOKUP(M31,Referentie!$G$2:$I$26,2,0))</f>
        <v>Main Skill Chance</v>
      </c>
      <c r="O31" s="4" t="str">
        <f>IF(M31="","",VLOOKUP(M31,Referentie!$G$2:$I$26,3,0))</f>
        <v>EXP Gains</v>
      </c>
      <c r="P31" s="4">
        <f t="shared" si="7"/>
        <v>-1</v>
      </c>
      <c r="Q31" s="4">
        <f t="shared" si="8"/>
        <v>3.5</v>
      </c>
      <c r="R31" s="4">
        <f t="shared" si="9"/>
        <v>4</v>
      </c>
      <c r="S31" s="4" t="str">
        <f t="shared" si="10"/>
        <v>Skill</v>
      </c>
      <c r="T31" s="4">
        <f t="shared" si="0"/>
        <v>5</v>
      </c>
      <c r="U31" s="4" t="str">
        <f t="shared" si="11"/>
        <v>📈 Level Up</v>
      </c>
      <c r="V31" s="4" t="str">
        <f t="shared" si="12"/>
        <v>Evolve → Lucario = sterke fighter; Perfecte nature voor Skill team!</v>
      </c>
      <c r="W31" s="69" t="str" cm="1">
        <f t="array" ref="W31">IF(A31="","", IF(COUNTIF(Referentie!$L$2:$L$21,A31)&lt;=1, "", IFERROR(INDEX(Referentie!$M$2:$M$21, MATCH(1,(Referentie!$L$2:$L$21=A31)*(Referentie!$N$2:$N$21=S31),0)), IF(S31="Bench","", "Geen match gevonden"))) )</f>
        <v/>
      </c>
    </row>
    <row r="32" spans="1:23" ht="15" customHeight="1">
      <c r="A32" s="2" t="s">
        <v>143</v>
      </c>
      <c r="B32" s="2">
        <v>4</v>
      </c>
      <c r="C32" s="2" t="s">
        <v>81</v>
      </c>
      <c r="D32" s="4" t="str">
        <f>IF(C32="","",VLOOKUP(C32,Referentie!$A$2:$B$19,2,0))</f>
        <v>Figy</v>
      </c>
      <c r="E32" s="4" t="s">
        <v>144</v>
      </c>
      <c r="F32" s="4" t="s">
        <v>144</v>
      </c>
      <c r="G32" s="4" t="s">
        <v>93</v>
      </c>
      <c r="H32" s="4" t="s">
        <v>60</v>
      </c>
      <c r="I32" s="4" t="s">
        <v>61</v>
      </c>
      <c r="J32" s="4" t="s">
        <v>57</v>
      </c>
      <c r="K32" s="4" t="s">
        <v>74</v>
      </c>
      <c r="L32" s="4" t="s">
        <v>58</v>
      </c>
      <c r="M32" s="4" t="s">
        <v>90</v>
      </c>
      <c r="N32" s="4" t="str">
        <f>IF(M32="","",VLOOKUP(M32,Referentie!$G$2:$I$26,2,0))</f>
        <v>EXP Gains</v>
      </c>
      <c r="O32" s="4" t="str">
        <f>IF(M32="","",VLOOKUP(M32,Referentie!$G$2:$I$26,3,0))</f>
        <v>Ingredient Finding</v>
      </c>
      <c r="P32" s="4">
        <f t="shared" si="7"/>
        <v>2</v>
      </c>
      <c r="Q32" s="4">
        <f t="shared" si="8"/>
        <v>3.5</v>
      </c>
      <c r="R32" s="4">
        <f t="shared" si="9"/>
        <v>2</v>
      </c>
      <c r="S32" s="4" t="str">
        <f t="shared" si="10"/>
        <v>Ingredient</v>
      </c>
      <c r="T32" s="4">
        <f t="shared" si="0"/>
        <v>3.5</v>
      </c>
      <c r="U32" s="4" t="str">
        <f t="shared" si="11"/>
        <v>🤔 Bench</v>
      </c>
      <c r="V32" s="4" t="str">
        <f t="shared" si="12"/>
        <v>Let op: Ingredient Finding NEGATIEF schaadt ingredient-prestatie</v>
      </c>
      <c r="W32" s="69" t="str" cm="1">
        <f t="array" ref="W32">IF(A32="","", IF(COUNTIF(Referentie!$L$2:$L$21,A32)&lt;=1, "", IFERROR(INDEX(Referentie!$M$2:$M$21, MATCH(1,(Referentie!$L$2:$L$21=A32)*(Referentie!$N$2:$N$21=S32),0)), IF(S32="Bench","", "Geen match gevonden"))) )</f>
        <v/>
      </c>
    </row>
    <row r="33" spans="1:23" ht="15" customHeight="1">
      <c r="A33" s="2" t="s">
        <v>116</v>
      </c>
      <c r="B33" s="2">
        <v>8</v>
      </c>
      <c r="C33" s="2" t="s">
        <v>64</v>
      </c>
      <c r="D33" s="4" t="str">
        <f>IF(C33="","",VLOOKUP(C33,Referentie!$A$2:$B$19,2,0))</f>
        <v>Oran</v>
      </c>
      <c r="E33" s="4" t="s">
        <v>66</v>
      </c>
      <c r="F33" s="4" t="s">
        <v>66</v>
      </c>
      <c r="G33" s="4" t="s">
        <v>55</v>
      </c>
      <c r="H33" s="4" t="s">
        <v>115</v>
      </c>
      <c r="I33" s="4" t="s">
        <v>67</v>
      </c>
      <c r="J33" s="4" t="s">
        <v>59</v>
      </c>
      <c r="K33" s="4" t="s">
        <v>82</v>
      </c>
      <c r="L33" s="4" t="s">
        <v>60</v>
      </c>
      <c r="M33" s="4" t="s">
        <v>75</v>
      </c>
      <c r="N33" s="4" t="str">
        <f>IF(M33="","",VLOOKUP(M33,Referentie!$G$2:$I$26,2,0))</f>
        <v>EXP Gains</v>
      </c>
      <c r="O33" s="4" t="str">
        <f>IF(M33="","",VLOOKUP(M33,Referentie!$G$2:$I$26,3,0))</f>
        <v>Main Skill Chance</v>
      </c>
      <c r="P33" s="4">
        <f t="shared" si="7"/>
        <v>3</v>
      </c>
      <c r="Q33" s="4">
        <f t="shared" si="8"/>
        <v>6.5</v>
      </c>
      <c r="R33" s="4">
        <f t="shared" si="9"/>
        <v>0.5</v>
      </c>
      <c r="S33" s="4" t="str">
        <f t="shared" si="10"/>
        <v>Ingredient</v>
      </c>
      <c r="T33" s="4">
        <f t="shared" si="0"/>
        <v>6.5</v>
      </c>
      <c r="U33" s="4" t="str">
        <f t="shared" si="11"/>
        <v>📈 Level Up</v>
      </c>
      <c r="V33" s="4" t="str">
        <f t="shared" si="12"/>
        <v/>
      </c>
      <c r="W33" s="69" t="str" cm="1">
        <f t="array" ref="W33">IF(A33="","", IF(COUNTIF(Referentie!$L$2:$L$21,A33)&lt;=1, "", IFERROR(INDEX(Referentie!$M$2:$M$21, MATCH(1,(Referentie!$L$2:$L$21=A33)*(Referentie!$N$2:$N$21=S33),0)), IF(S33="Bench","", "Geen match gevonden"))) )</f>
        <v/>
      </c>
    </row>
    <row r="34" spans="1:23" ht="15" customHeight="1">
      <c r="A34" s="2" t="s">
        <v>145</v>
      </c>
      <c r="B34" s="2">
        <v>15</v>
      </c>
      <c r="C34" s="2" t="s">
        <v>111</v>
      </c>
      <c r="D34" s="4" t="str">
        <f>IF(C34="","",VLOOKUP(C34,Referentie!$A$2:$B$19,2,0))</f>
        <v>Durin</v>
      </c>
      <c r="E34" s="4" t="s">
        <v>72</v>
      </c>
      <c r="F34" s="4" t="s">
        <v>144</v>
      </c>
      <c r="G34" s="4" t="s">
        <v>120</v>
      </c>
      <c r="H34" s="4" t="s">
        <v>86</v>
      </c>
      <c r="I34" s="4" t="s">
        <v>74</v>
      </c>
      <c r="J34" s="4" t="s">
        <v>98</v>
      </c>
      <c r="K34" s="4" t="s">
        <v>61</v>
      </c>
      <c r="L34" s="4" t="s">
        <v>59</v>
      </c>
      <c r="M34" s="4" t="s">
        <v>142</v>
      </c>
      <c r="N34" s="4" t="str">
        <f>IF(M34="","",VLOOKUP(M34,Referentie!$G$2:$I$26,2,0))</f>
        <v>Main Skill Chance</v>
      </c>
      <c r="O34" s="4" t="str">
        <f>IF(M34="","",VLOOKUP(M34,Referentie!$G$2:$I$26,3,0))</f>
        <v>EXP Gains</v>
      </c>
      <c r="P34" s="4">
        <f t="shared" si="7"/>
        <v>0</v>
      </c>
      <c r="Q34" s="4">
        <f t="shared" si="8"/>
        <v>0</v>
      </c>
      <c r="R34" s="4">
        <f t="shared" si="9"/>
        <v>4</v>
      </c>
      <c r="S34" s="4" t="str">
        <f t="shared" si="10"/>
        <v>Skill</v>
      </c>
      <c r="T34" s="4">
        <f t="shared" si="0"/>
        <v>5.5</v>
      </c>
      <c r="U34" s="4" t="str">
        <f t="shared" si="11"/>
        <v>📈 Level Up</v>
      </c>
      <c r="V34" s="4" t="str">
        <f t="shared" si="12"/>
        <v>Evolve → Venusaur = 2x ingrediënten specialist; Perfecte nature voor Skill team!</v>
      </c>
      <c r="W34" s="69" t="str" cm="1">
        <f t="array" ref="W34">IF(A34="","", IF(COUNTIF(Referentie!$L$2:$L$21,A34)&lt;=1, "", IFERROR(INDEX(Referentie!$M$2:$M$21, MATCH(1,(Referentie!$L$2:$L$21=A34)*(Referentie!$N$2:$N$21=S34),0)), IF(S34="Bench","", "Geen match gevonden"))) )</f>
        <v/>
      </c>
    </row>
    <row r="35" spans="1:23" ht="15" customHeight="1">
      <c r="A35" s="2" t="s">
        <v>146</v>
      </c>
      <c r="B35" s="2">
        <v>12</v>
      </c>
      <c r="C35" s="2" t="s">
        <v>81</v>
      </c>
      <c r="D35" s="4" t="str">
        <f>IF(C35="","",VLOOKUP(C35,Referentie!$A$2:$B$19,2,0))</f>
        <v>Figy</v>
      </c>
      <c r="E35" s="4" t="s">
        <v>128</v>
      </c>
      <c r="F35" s="4" t="s">
        <v>65</v>
      </c>
      <c r="G35" s="4" t="s">
        <v>65</v>
      </c>
      <c r="H35" s="4" t="s">
        <v>68</v>
      </c>
      <c r="I35" s="4" t="s">
        <v>58</v>
      </c>
      <c r="J35" s="4" t="s">
        <v>59</v>
      </c>
      <c r="K35" s="4" t="s">
        <v>104</v>
      </c>
      <c r="L35" s="4" t="s">
        <v>60</v>
      </c>
      <c r="M35" s="4" t="s">
        <v>84</v>
      </c>
      <c r="N35" s="4" t="str">
        <f>IF(M35="","",VLOOKUP(M35,Referentie!$G$2:$I$26,2,0))</f>
        <v>Speed of Help</v>
      </c>
      <c r="O35" s="4" t="str">
        <f>IF(M35="","",VLOOKUP(M35,Referentie!$G$2:$I$26,3,0))</f>
        <v>Main Skill Chance</v>
      </c>
      <c r="P35" s="4">
        <f t="shared" si="7"/>
        <v>2</v>
      </c>
      <c r="Q35" s="4">
        <f t="shared" si="8"/>
        <v>5</v>
      </c>
      <c r="R35" s="4">
        <f t="shared" si="9"/>
        <v>0</v>
      </c>
      <c r="S35" s="4" t="str">
        <f t="shared" si="10"/>
        <v>Ingredient</v>
      </c>
      <c r="T35" s="4">
        <f t="shared" si="0"/>
        <v>6.5</v>
      </c>
      <c r="U35" s="4" t="str">
        <f t="shared" si="11"/>
        <v>📈 Level Up</v>
      </c>
      <c r="V35" s="4" t="str">
        <f t="shared" si="12"/>
        <v>Perfecte nature voor Ingredient team!</v>
      </c>
      <c r="W35" s="69" t="str" cm="1">
        <f t="array" ref="W35">IF(A35="","", IF(COUNTIF(Referentie!$L$2:$L$21,A35)&lt;=1, "", IFERROR(INDEX(Referentie!$M$2:$M$21, MATCH(1,(Referentie!$L$2:$L$21=A35)*(Referentie!$N$2:$N$21=S35),0)), IF(S35="Bench","", "Geen match gevonden"))) )</f>
        <v/>
      </c>
    </row>
    <row r="36" spans="1:23" ht="15" customHeight="1">
      <c r="A36" s="2" t="s">
        <v>147</v>
      </c>
      <c r="B36" s="2">
        <v>13</v>
      </c>
      <c r="C36" s="2" t="s">
        <v>54</v>
      </c>
      <c r="D36" s="4" t="str">
        <f>IF(C36="","",VLOOKUP(C36,Referentie!$A$2:$B$19,2,0))</f>
        <v>Grepa</v>
      </c>
      <c r="E36" s="4" t="s">
        <v>73</v>
      </c>
      <c r="F36" s="4" t="s">
        <v>114</v>
      </c>
      <c r="G36" s="4" t="s">
        <v>73</v>
      </c>
      <c r="H36" s="4" t="s">
        <v>67</v>
      </c>
      <c r="I36" s="4" t="s">
        <v>83</v>
      </c>
      <c r="J36" s="4" t="s">
        <v>68</v>
      </c>
      <c r="K36" s="4" t="s">
        <v>60</v>
      </c>
      <c r="L36" s="4" t="s">
        <v>58</v>
      </c>
      <c r="M36" s="4" t="s">
        <v>69</v>
      </c>
      <c r="N36" s="4" t="str">
        <f>IF(M36="","",VLOOKUP(M36,Referentie!$G$2:$I$26,2,0))</f>
        <v>Neutral</v>
      </c>
      <c r="O36" s="4" t="str">
        <f>IF(M36="","",VLOOKUP(M36,Referentie!$G$2:$I$26,3,0))</f>
        <v>Neutral</v>
      </c>
      <c r="P36" s="4">
        <f t="shared" si="7"/>
        <v>0</v>
      </c>
      <c r="Q36" s="4">
        <f t="shared" si="8"/>
        <v>4.5</v>
      </c>
      <c r="R36" s="4">
        <f t="shared" si="9"/>
        <v>4</v>
      </c>
      <c r="S36" s="4" t="str">
        <f t="shared" si="10"/>
        <v>Ingredient</v>
      </c>
      <c r="T36" s="4">
        <f t="shared" si="0"/>
        <v>5</v>
      </c>
      <c r="U36" s="4" t="str">
        <f t="shared" si="11"/>
        <v>📈 Level Up</v>
      </c>
      <c r="V36" s="4" t="str">
        <f t="shared" si="12"/>
        <v>Evolve → Magnezone = sterke skill helper; Neutrale nature = ok maar niet ideaal</v>
      </c>
      <c r="W36" s="69" t="str" cm="1">
        <f t="array" ref="W36">IF(A36="","", IF(COUNTIF(Referentie!$L$2:$L$21,A36)&lt;=1, "", IFERROR(INDEX(Referentie!$M$2:$M$21, MATCH(1,(Referentie!$L$2:$L$21=A36)*(Referentie!$N$2:$N$21=S36),0)), IF(S36="Bench","", "Geen match gevonden"))) )</f>
        <v/>
      </c>
    </row>
    <row r="37" spans="1:23" ht="15" customHeight="1">
      <c r="A37" s="2" t="s">
        <v>116</v>
      </c>
      <c r="B37" s="2">
        <v>5</v>
      </c>
      <c r="C37" s="2" t="s">
        <v>64</v>
      </c>
      <c r="D37" s="4" t="str">
        <f>IF(C37="","",VLOOKUP(C37,Referentie!$A$2:$B$19,2,0))</f>
        <v>Oran</v>
      </c>
      <c r="E37" s="4" t="s">
        <v>66</v>
      </c>
      <c r="F37" s="4" t="s">
        <v>55</v>
      </c>
      <c r="G37" s="4" t="s">
        <v>77</v>
      </c>
      <c r="H37" s="4" t="s">
        <v>58</v>
      </c>
      <c r="I37" s="4" t="s">
        <v>82</v>
      </c>
      <c r="J37" s="4" t="s">
        <v>68</v>
      </c>
      <c r="K37" s="4" t="s">
        <v>86</v>
      </c>
      <c r="L37" s="4" t="s">
        <v>57</v>
      </c>
      <c r="M37" s="4" t="s">
        <v>84</v>
      </c>
      <c r="N37" s="4" t="str">
        <f>IF(M37="","",VLOOKUP(M37,Referentie!$G$2:$I$26,2,0))</f>
        <v>Speed of Help</v>
      </c>
      <c r="O37" s="4" t="str">
        <f>IF(M37="","",VLOOKUP(M37,Referentie!$G$2:$I$26,3,0))</f>
        <v>Main Skill Chance</v>
      </c>
      <c r="P37" s="4">
        <f t="shared" si="7"/>
        <v>4</v>
      </c>
      <c r="Q37" s="4">
        <f t="shared" si="8"/>
        <v>1.5</v>
      </c>
      <c r="R37" s="4">
        <f t="shared" si="9"/>
        <v>1</v>
      </c>
      <c r="S37" s="4" t="str">
        <f t="shared" si="10"/>
        <v>Berry</v>
      </c>
      <c r="T37" s="4">
        <f t="shared" si="0"/>
        <v>5</v>
      </c>
      <c r="U37" s="4" t="str">
        <f t="shared" si="11"/>
        <v>📈 Level Up</v>
      </c>
      <c r="V37" s="4" t="str">
        <f t="shared" si="12"/>
        <v>Perfecte nature voor Berry team!</v>
      </c>
      <c r="W37" s="69" t="str" cm="1">
        <f t="array" ref="W37">IF(A37="","", IF(COUNTIF(Referentie!$L$2:$L$21,A37)&lt;=1, "", IFERROR(INDEX(Referentie!$M$2:$M$21, MATCH(1,(Referentie!$L$2:$L$21=A37)*(Referentie!$N$2:$N$21=S37),0)), IF(S37="Bench","", "Geen match gevonden"))) )</f>
        <v/>
      </c>
    </row>
    <row r="38" spans="1:23" ht="15" customHeight="1">
      <c r="A38" s="2" t="s">
        <v>130</v>
      </c>
      <c r="B38" s="2">
        <v>5</v>
      </c>
      <c r="C38" s="2" t="s">
        <v>131</v>
      </c>
      <c r="D38" s="4" t="str">
        <f>IF(C38="","",VLOOKUP(C38,Referentie!$A$2:$B$19,2,0))</f>
        <v>Mago</v>
      </c>
      <c r="E38" s="4" t="s">
        <v>55</v>
      </c>
      <c r="F38" s="4" t="s">
        <v>103</v>
      </c>
      <c r="G38" s="4" t="s">
        <v>73</v>
      </c>
      <c r="H38" s="4" t="s">
        <v>57</v>
      </c>
      <c r="I38" s="4" t="s">
        <v>82</v>
      </c>
      <c r="J38" s="4" t="s">
        <v>58</v>
      </c>
      <c r="K38" s="4" t="s">
        <v>60</v>
      </c>
      <c r="L38" s="4" t="s">
        <v>61</v>
      </c>
      <c r="M38" s="4" t="s">
        <v>79</v>
      </c>
      <c r="N38" s="4" t="str">
        <f>IF(M38="","",VLOOKUP(M38,Referentie!$G$2:$I$26,2,0))</f>
        <v>Energy Recovery</v>
      </c>
      <c r="O38" s="4" t="str">
        <f>IF(M38="","",VLOOKUP(M38,Referentie!$G$2:$I$26,3,0))</f>
        <v>Speed of Help</v>
      </c>
      <c r="P38" s="4">
        <f t="shared" si="7"/>
        <v>0</v>
      </c>
      <c r="Q38" s="4">
        <f t="shared" si="8"/>
        <v>3.5</v>
      </c>
      <c r="R38" s="4">
        <f t="shared" si="9"/>
        <v>1</v>
      </c>
      <c r="S38" s="4" t="str">
        <f t="shared" si="10"/>
        <v>Ingredient</v>
      </c>
      <c r="T38" s="4">
        <f t="shared" si="0"/>
        <v>3.5</v>
      </c>
      <c r="U38" s="4" t="str">
        <f t="shared" si="11"/>
        <v>🤔 Bench</v>
      </c>
      <c r="V38" s="4" t="str">
        <f t="shared" si="12"/>
        <v/>
      </c>
      <c r="W38" s="69" t="str" cm="1">
        <f t="array" ref="W38">IF(A38="","", IF(COUNTIF(Referentie!$L$2:$L$21,A38)&lt;=1, "", IFERROR(INDEX(Referentie!$M$2:$M$21, MATCH(1,(Referentie!$L$2:$L$21=A38)*(Referentie!$N$2:$N$21=S38),0)), IF(S38="Bench","", "Geen match gevonden"))) )</f>
        <v/>
      </c>
    </row>
    <row r="39" spans="1:23" ht="15" customHeight="1">
      <c r="A39" s="2" t="s">
        <v>148</v>
      </c>
      <c r="B39" s="2">
        <v>7</v>
      </c>
      <c r="C39" s="2" t="s">
        <v>113</v>
      </c>
      <c r="D39" s="4" t="str">
        <f>IF(C39="","",VLOOKUP(C39,Referentie!$A$2:$B$19,2,0))</f>
        <v>Leppa</v>
      </c>
      <c r="E39" s="4" t="s">
        <v>77</v>
      </c>
      <c r="F39" s="4" t="s">
        <v>56</v>
      </c>
      <c r="G39" s="4" t="s">
        <v>56</v>
      </c>
      <c r="H39" s="4" t="s">
        <v>74</v>
      </c>
      <c r="I39" s="4" t="s">
        <v>61</v>
      </c>
      <c r="J39" s="4" t="s">
        <v>82</v>
      </c>
      <c r="K39" s="4" t="s">
        <v>58</v>
      </c>
      <c r="L39" s="4" t="s">
        <v>68</v>
      </c>
      <c r="M39" s="4" t="s">
        <v>125</v>
      </c>
      <c r="N39" s="4" t="str">
        <f>IF(M39="","",VLOOKUP(M39,Referentie!$G$2:$I$26,2,0))</f>
        <v>EXP Gains</v>
      </c>
      <c r="O39" s="4" t="str">
        <f>IF(M39="","",VLOOKUP(M39,Referentie!$G$2:$I$26,3,0))</f>
        <v>Speed of Help</v>
      </c>
      <c r="P39" s="4">
        <f t="shared" si="7"/>
        <v>2</v>
      </c>
      <c r="Q39" s="4">
        <f t="shared" si="8"/>
        <v>3</v>
      </c>
      <c r="R39" s="4">
        <f t="shared" si="9"/>
        <v>4</v>
      </c>
      <c r="S39" s="4" t="str">
        <f t="shared" si="10"/>
        <v>Skill</v>
      </c>
      <c r="T39" s="4">
        <f t="shared" si="0"/>
        <v>4</v>
      </c>
      <c r="U39" s="4" t="str">
        <f t="shared" si="11"/>
        <v>🤔 Bench</v>
      </c>
      <c r="V39" s="4" t="str">
        <f t="shared" si="12"/>
        <v>Evolve → Charizard = snelle berry+ingredient verzamelaar</v>
      </c>
      <c r="W39" s="69" t="str" cm="1">
        <f t="array" ref="W39">IF(A39="","", IF(COUNTIF(Referentie!$L$2:$L$21,A39)&lt;=1, "", IFERROR(INDEX(Referentie!$M$2:$M$21, MATCH(1,(Referentie!$L$2:$L$21=A39)*(Referentie!$N$2:$N$21=S39),0)), IF(S39="Bench","", "Geen match gevonden"))) )</f>
        <v/>
      </c>
    </row>
    <row r="40" spans="1:23" ht="15" customHeight="1">
      <c r="A40" s="2" t="s">
        <v>149</v>
      </c>
      <c r="B40" s="2">
        <v>8</v>
      </c>
      <c r="C40" s="2" t="s">
        <v>96</v>
      </c>
      <c r="D40" s="4" t="str">
        <f>IF(C40="","",VLOOKUP(C40,Referentie!$A$2:$B$19,2,0))</f>
        <v>Persim</v>
      </c>
      <c r="E40" s="4" t="s">
        <v>65</v>
      </c>
      <c r="F40" s="4" t="s">
        <v>66</v>
      </c>
      <c r="G40" s="4" t="s">
        <v>66</v>
      </c>
      <c r="H40" s="4" t="s">
        <v>58</v>
      </c>
      <c r="I40" s="4" t="s">
        <v>61</v>
      </c>
      <c r="J40" s="4" t="s">
        <v>78</v>
      </c>
      <c r="K40" s="4" t="s">
        <v>99</v>
      </c>
      <c r="L40" s="4" t="s">
        <v>74</v>
      </c>
      <c r="M40" s="4" t="s">
        <v>150</v>
      </c>
      <c r="N40" s="4" t="str">
        <f>IF(M40="","",VLOOKUP(M40,Referentie!$G$2:$I$26,2,0))</f>
        <v>Neutral</v>
      </c>
      <c r="O40" s="4" t="str">
        <f>IF(M40="","",VLOOKUP(M40,Referentie!$G$2:$I$26,3,0))</f>
        <v>Neutral</v>
      </c>
      <c r="P40" s="4">
        <f t="shared" si="7"/>
        <v>3</v>
      </c>
      <c r="Q40" s="4">
        <f t="shared" si="8"/>
        <v>2</v>
      </c>
      <c r="R40" s="4">
        <f t="shared" si="9"/>
        <v>2</v>
      </c>
      <c r="S40" s="4" t="str">
        <f t="shared" si="10"/>
        <v>Berry</v>
      </c>
      <c r="T40" s="4">
        <f t="shared" si="0"/>
        <v>4.5</v>
      </c>
      <c r="U40" s="4" t="str">
        <f t="shared" si="11"/>
        <v>🤔 Bench</v>
      </c>
      <c r="V40" s="4" t="str">
        <f t="shared" si="12"/>
        <v>Sylveon (skill) of Jolteon (berry) = top evoluties; Neutrale nature = ok maar niet ideaal</v>
      </c>
      <c r="W40" s="69" t="str" cm="1">
        <f t="array" ref="W40">IF(A40="","", IF(COUNTIF(Referentie!$L$2:$L$21,A40)&lt;=1, "", IFERROR(INDEX(Referentie!$M$2:$M$21, MATCH(1,(Referentie!$L$2:$L$21=A40)*(Referentie!$N$2:$N$21=S40),0)), IF(S40="Bench","", "Geen match gevonden"))) )</f>
        <v>Jolteon</v>
      </c>
    </row>
    <row r="41" spans="1:23" ht="15" customHeight="1">
      <c r="A41" s="2" t="s">
        <v>70</v>
      </c>
      <c r="B41" s="2">
        <v>11</v>
      </c>
      <c r="C41" s="2" t="s">
        <v>71</v>
      </c>
      <c r="D41" s="4" t="str">
        <f>IF(C41="","",VLOOKUP(C41,Referentie!$A$2:$B$19,2,0))</f>
        <v>Pecha</v>
      </c>
      <c r="E41" s="4" t="s">
        <v>72</v>
      </c>
      <c r="F41" s="4" t="s">
        <v>73</v>
      </c>
      <c r="G41" s="4" t="s">
        <v>72</v>
      </c>
      <c r="H41" s="4" t="s">
        <v>59</v>
      </c>
      <c r="I41" s="4" t="s">
        <v>57</v>
      </c>
      <c r="J41" s="4" t="s">
        <v>58</v>
      </c>
      <c r="K41" s="4" t="s">
        <v>82</v>
      </c>
      <c r="L41" s="4" t="s">
        <v>67</v>
      </c>
      <c r="M41" s="4" t="s">
        <v>151</v>
      </c>
      <c r="N41" s="4" t="str">
        <f>IF(M41="","",VLOOKUP(M41,Referentie!$G$2:$I$26,2,0))</f>
        <v>Speed of Help</v>
      </c>
      <c r="O41" s="4" t="str">
        <f>IF(M41="","",VLOOKUP(M41,Referentie!$G$2:$I$26,3,0))</f>
        <v>EXP Gains</v>
      </c>
      <c r="P41" s="4">
        <f t="shared" si="7"/>
        <v>3</v>
      </c>
      <c r="Q41" s="4">
        <f t="shared" si="8"/>
        <v>3</v>
      </c>
      <c r="R41" s="4">
        <f t="shared" si="9"/>
        <v>-1</v>
      </c>
      <c r="S41" s="4" t="str">
        <f t="shared" si="10"/>
        <v>Berry</v>
      </c>
      <c r="T41" s="4">
        <f t="shared" si="0"/>
        <v>4.5</v>
      </c>
      <c r="U41" s="4" t="str">
        <f t="shared" si="11"/>
        <v>🤔 Bench</v>
      </c>
      <c r="V41" s="4" t="str">
        <f t="shared" si="12"/>
        <v>Evolve → Wigglytuff = Energy for Everyone S (top skill!); Perfecte nature voor Berry team!</v>
      </c>
      <c r="W41" s="69" t="str" cm="1">
        <f t="array" ref="W41">IF(A41="","", IF(COUNTIF(Referentie!$L$2:$L$21,A41)&lt;=1, "", IFERROR(INDEX(Referentie!$M$2:$M$21, MATCH(1,(Referentie!$L$2:$L$21=A41)*(Referentie!$N$2:$N$21=S41),0)), IF(S41="Bench","", "Geen match gevonden"))) )</f>
        <v/>
      </c>
    </row>
    <row r="42" spans="1:23" ht="15" customHeight="1">
      <c r="A42" s="2" t="s">
        <v>152</v>
      </c>
      <c r="B42" s="2">
        <v>7</v>
      </c>
      <c r="C42" s="2" t="s">
        <v>133</v>
      </c>
      <c r="D42" s="4" t="str">
        <f>IF(C42="","",VLOOKUP(C42,Referentie!$A$2:$B$19,2,0))</f>
        <v>Sitrus</v>
      </c>
      <c r="E42" s="4" t="s">
        <v>144</v>
      </c>
      <c r="F42" s="4" t="s">
        <v>97</v>
      </c>
      <c r="G42" s="4" t="s">
        <v>97</v>
      </c>
      <c r="H42" s="4" t="s">
        <v>74</v>
      </c>
      <c r="I42" s="4" t="s">
        <v>58</v>
      </c>
      <c r="J42" s="4" t="s">
        <v>59</v>
      </c>
      <c r="K42" s="4" t="s">
        <v>68</v>
      </c>
      <c r="L42" s="4" t="s">
        <v>83</v>
      </c>
      <c r="M42" s="4" t="s">
        <v>122</v>
      </c>
      <c r="N42" s="4" t="str">
        <f>IF(M42="","",VLOOKUP(M42,Referentie!$G$2:$I$26,2,0))</f>
        <v>Speed of Help</v>
      </c>
      <c r="O42" s="4" t="str">
        <f>IF(M42="","",VLOOKUP(M42,Referentie!$G$2:$I$26,3,0))</f>
        <v>Ingredient Finding</v>
      </c>
      <c r="P42" s="4">
        <f t="shared" si="7"/>
        <v>3</v>
      </c>
      <c r="Q42" s="4">
        <f t="shared" si="8"/>
        <v>1</v>
      </c>
      <c r="R42" s="4">
        <f t="shared" si="9"/>
        <v>4</v>
      </c>
      <c r="S42" s="4" t="str">
        <f t="shared" si="10"/>
        <v>Skill</v>
      </c>
      <c r="T42" s="4">
        <f t="shared" si="0"/>
        <v>5</v>
      </c>
      <c r="U42" s="4" t="str">
        <f t="shared" si="11"/>
        <v>📈 Level Up</v>
      </c>
      <c r="V42" s="4" t="str">
        <f t="shared" si="12"/>
        <v/>
      </c>
      <c r="W42" s="69" t="str" cm="1">
        <f t="array" ref="W42">IF(A42="","", IF(COUNTIF(Referentie!$L$2:$L$21,A42)&lt;=1, "", IFERROR(INDEX(Referentie!$M$2:$M$21, MATCH(1,(Referentie!$L$2:$L$21=A42)*(Referentie!$N$2:$N$21=S42),0)), IF(S42="Bench","", "Geen match gevonden"))) )</f>
        <v/>
      </c>
    </row>
    <row r="43" spans="1:23" ht="15" customHeight="1">
      <c r="A43" s="2" t="s">
        <v>129</v>
      </c>
      <c r="B43" s="2">
        <v>6</v>
      </c>
      <c r="C43" s="2" t="s">
        <v>54</v>
      </c>
      <c r="D43" s="4" t="str">
        <f>IF(C43="","",VLOOKUP(C43,Referentie!$A$2:$B$19,2,0))</f>
        <v>Grepa</v>
      </c>
      <c r="E43" s="4" t="s">
        <v>114</v>
      </c>
      <c r="F43" s="4" t="s">
        <v>108</v>
      </c>
      <c r="G43" s="4" t="s">
        <v>108</v>
      </c>
      <c r="H43" s="4" t="s">
        <v>68</v>
      </c>
      <c r="I43" s="4" t="s">
        <v>57</v>
      </c>
      <c r="J43" s="4" t="s">
        <v>61</v>
      </c>
      <c r="K43" s="4" t="s">
        <v>59</v>
      </c>
      <c r="L43" s="4" t="s">
        <v>74</v>
      </c>
      <c r="M43" s="4" t="s">
        <v>153</v>
      </c>
      <c r="N43" s="4" t="str">
        <f>IF(M43="","",VLOOKUP(M43,Referentie!$G$2:$I$26,2,0))</f>
        <v>Speed of Help</v>
      </c>
      <c r="O43" s="4" t="str">
        <f>IF(M43="","",VLOOKUP(M43,Referentie!$G$2:$I$26,3,0))</f>
        <v>Energy Recovery</v>
      </c>
      <c r="P43" s="4">
        <f t="shared" si="7"/>
        <v>3</v>
      </c>
      <c r="Q43" s="4">
        <f t="shared" si="8"/>
        <v>2.5</v>
      </c>
      <c r="R43" s="4">
        <f t="shared" si="9"/>
        <v>3</v>
      </c>
      <c r="S43" s="4" t="str">
        <f t="shared" si="10"/>
        <v>Berry</v>
      </c>
      <c r="T43" s="4">
        <f t="shared" si="0"/>
        <v>4</v>
      </c>
      <c r="U43" s="4" t="str">
        <f t="shared" si="11"/>
        <v>🤔 Bench</v>
      </c>
      <c r="V43" s="4" t="str">
        <f t="shared" si="12"/>
        <v>Evolve → Ampharos = hoge frequentie + waardevolle ingrediënten; Perfecte nature voor Berry team!</v>
      </c>
      <c r="W43" s="69" t="str" cm="1">
        <f t="array" ref="W43">IF(A43="","", IF(COUNTIF(Referentie!$L$2:$L$21,A43)&lt;=1, "", IFERROR(INDEX(Referentie!$M$2:$M$21, MATCH(1,(Referentie!$L$2:$L$21=A43)*(Referentie!$N$2:$N$21=S43),0)), IF(S43="Bench","", "Geen match gevonden"))) )</f>
        <v/>
      </c>
    </row>
    <row r="44" spans="1:23" ht="15" customHeight="1">
      <c r="A44" s="2" t="s">
        <v>154</v>
      </c>
      <c r="B44" s="2">
        <v>18</v>
      </c>
      <c r="C44" s="2" t="s">
        <v>92</v>
      </c>
      <c r="D44" s="4" t="str">
        <f>IF(C44="","",VLOOKUP(C44,Referentie!$A$2:$B$19,2,0))</f>
        <v>Yache</v>
      </c>
      <c r="E44" s="4" t="s">
        <v>144</v>
      </c>
      <c r="F44" s="4" t="s">
        <v>155</v>
      </c>
      <c r="G44" s="4" t="s">
        <v>155</v>
      </c>
      <c r="H44" s="4" t="s">
        <v>99</v>
      </c>
      <c r="I44" s="4" t="s">
        <v>86</v>
      </c>
      <c r="J44" s="4" t="s">
        <v>67</v>
      </c>
      <c r="K44" s="4" t="s">
        <v>74</v>
      </c>
      <c r="L44" s="4" t="s">
        <v>61</v>
      </c>
      <c r="M44" s="4" t="s">
        <v>156</v>
      </c>
      <c r="N44" s="4" t="str">
        <f>IF(M44="","",VLOOKUP(M44,Referentie!$G$2:$I$26,2,0))</f>
        <v>Neutral</v>
      </c>
      <c r="O44" s="4" t="str">
        <f>IF(M44="","",VLOOKUP(M44,Referentie!$G$2:$I$26,3,0))</f>
        <v>Neutral</v>
      </c>
      <c r="P44" s="4">
        <f t="shared" si="7"/>
        <v>1</v>
      </c>
      <c r="Q44" s="4">
        <f t="shared" si="8"/>
        <v>2.5</v>
      </c>
      <c r="R44" s="4">
        <f t="shared" si="9"/>
        <v>3</v>
      </c>
      <c r="S44" s="4" t="str">
        <f t="shared" si="10"/>
        <v>Skill</v>
      </c>
      <c r="T44" s="4">
        <f t="shared" si="0"/>
        <v>3.5</v>
      </c>
      <c r="U44" s="4" t="str">
        <f t="shared" si="11"/>
        <v>🤔 Bench</v>
      </c>
      <c r="V44" s="4" t="str">
        <f t="shared" si="12"/>
        <v>Neutrale nature = ok maar niet ideaal</v>
      </c>
      <c r="W44" s="69" t="str" cm="1">
        <f t="array" ref="W44">IF(A44="","", IF(COUNTIF(Referentie!$L$2:$L$21,A44)&lt;=1, "", IFERROR(INDEX(Referentie!$M$2:$M$21, MATCH(1,(Referentie!$L$2:$L$21=A44)*(Referentie!$N$2:$N$21=S44),0)), IF(S44="Bench","", "Geen match gevonden"))) )</f>
        <v/>
      </c>
    </row>
    <row r="45" spans="1:23" ht="15" customHeight="1">
      <c r="A45" s="2" t="s">
        <v>154</v>
      </c>
      <c r="B45" s="2">
        <v>26</v>
      </c>
      <c r="C45" s="2" t="s">
        <v>92</v>
      </c>
      <c r="D45" s="4" t="str">
        <f>IF(C45="","",VLOOKUP(C45,Referentie!$A$2:$B$19,2,0))</f>
        <v>Yache</v>
      </c>
      <c r="E45" s="4" t="s">
        <v>144</v>
      </c>
      <c r="F45" s="4" t="s">
        <v>155</v>
      </c>
      <c r="G45" s="4" t="s">
        <v>155</v>
      </c>
      <c r="H45" s="4" t="s">
        <v>99</v>
      </c>
      <c r="I45" s="4" t="s">
        <v>60</v>
      </c>
      <c r="J45" s="4" t="s">
        <v>98</v>
      </c>
      <c r="K45" s="4" t="s">
        <v>58</v>
      </c>
      <c r="L45" s="4" t="s">
        <v>115</v>
      </c>
      <c r="M45" s="4" t="s">
        <v>84</v>
      </c>
      <c r="N45" s="4" t="str">
        <f>IF(M45="","",VLOOKUP(M45,Referentie!$G$2:$I$26,2,0))</f>
        <v>Speed of Help</v>
      </c>
      <c r="O45" s="4" t="str">
        <f>IF(M45="","",VLOOKUP(M45,Referentie!$G$2:$I$26,3,0))</f>
        <v>Main Skill Chance</v>
      </c>
      <c r="P45" s="4">
        <f t="shared" si="7"/>
        <v>2</v>
      </c>
      <c r="Q45" s="4">
        <f t="shared" si="8"/>
        <v>4</v>
      </c>
      <c r="R45" s="4">
        <f t="shared" si="9"/>
        <v>1.5</v>
      </c>
      <c r="S45" s="4" t="str">
        <f t="shared" si="10"/>
        <v>Ingredient</v>
      </c>
      <c r="T45" s="4">
        <f t="shared" si="0"/>
        <v>5.5</v>
      </c>
      <c r="U45" s="4" t="str">
        <f t="shared" si="11"/>
        <v>📈 Level Up</v>
      </c>
      <c r="V45" s="4" t="str">
        <f t="shared" si="12"/>
        <v>Perfecte nature voor Ingredient team!</v>
      </c>
      <c r="W45" s="69" t="str" cm="1">
        <f t="array" ref="W45">IF(A45="","", IF(COUNTIF(Referentie!$L$2:$L$21,A45)&lt;=1, "", IFERROR(INDEX(Referentie!$M$2:$M$21, MATCH(1,(Referentie!$L$2:$L$21=A45)*(Referentie!$N$2:$N$21=S45),0)), IF(S45="Bench","", "Geen match gevonden"))) )</f>
        <v/>
      </c>
    </row>
    <row r="46" spans="1:23" ht="15" customHeight="1">
      <c r="A46" s="2" t="s">
        <v>145</v>
      </c>
      <c r="B46" s="2">
        <v>24</v>
      </c>
      <c r="C46" s="2" t="s">
        <v>111</v>
      </c>
      <c r="D46" s="4" t="str">
        <f>IF(C46="","",VLOOKUP(C46,Referentie!$A$2:$B$19,2,0))</f>
        <v>Durin</v>
      </c>
      <c r="E46" s="4" t="s">
        <v>72</v>
      </c>
      <c r="F46" s="4" t="s">
        <v>72</v>
      </c>
      <c r="G46" s="4" t="s">
        <v>144</v>
      </c>
      <c r="H46" s="4" t="s">
        <v>74</v>
      </c>
      <c r="I46" s="4" t="s">
        <v>82</v>
      </c>
      <c r="J46" s="4" t="s">
        <v>104</v>
      </c>
      <c r="K46" s="4" t="s">
        <v>67</v>
      </c>
      <c r="L46" s="4" t="s">
        <v>57</v>
      </c>
      <c r="M46" s="4" t="s">
        <v>100</v>
      </c>
      <c r="N46" s="4" t="str">
        <f>IF(M46="","",VLOOKUP(M46,Referentie!$G$2:$I$26,2,0))</f>
        <v>Ingredient Finding</v>
      </c>
      <c r="O46" s="4" t="str">
        <f>IF(M46="","",VLOOKUP(M46,Referentie!$G$2:$I$26,3,0))</f>
        <v>Energy Recovery</v>
      </c>
      <c r="P46" s="4">
        <f t="shared" si="7"/>
        <v>3</v>
      </c>
      <c r="Q46" s="4">
        <f t="shared" si="8"/>
        <v>5</v>
      </c>
      <c r="R46" s="4">
        <f t="shared" si="9"/>
        <v>0</v>
      </c>
      <c r="S46" s="4" t="str">
        <f t="shared" si="10"/>
        <v>Ingredient</v>
      </c>
      <c r="T46" s="4">
        <f t="shared" si="0"/>
        <v>6.5</v>
      </c>
      <c r="U46" s="4" t="str">
        <f t="shared" si="11"/>
        <v>📈 Level Up</v>
      </c>
      <c r="V46" s="4" t="str">
        <f t="shared" si="12"/>
        <v>Evolve → Venusaur = 2x ingrediënten specialist; Perfecte nature voor Ingredient team!</v>
      </c>
      <c r="W46" s="69" t="str" cm="1">
        <f t="array" ref="W46">IF(A46="","", IF(COUNTIF(Referentie!$L$2:$L$21,A46)&lt;=1, "", IFERROR(INDEX(Referentie!$M$2:$M$21, MATCH(1,(Referentie!$L$2:$L$21=A46)*(Referentie!$N$2:$N$21=S46),0)), IF(S46="Bench","", "Geen match gevonden"))) )</f>
        <v/>
      </c>
    </row>
    <row r="47" spans="1:23" ht="15" customHeight="1">
      <c r="A47" s="2" t="s">
        <v>273</v>
      </c>
      <c r="B47" s="2">
        <v>10</v>
      </c>
      <c r="C47" s="2" t="s">
        <v>131</v>
      </c>
      <c r="D47" s="4" t="str">
        <f>IF(C47="","",VLOOKUP(C47,Referentie!$A$2:$B$19,2,0))</f>
        <v>Mago</v>
      </c>
      <c r="E47" s="4" t="s">
        <v>55</v>
      </c>
      <c r="F47" s="4" t="s">
        <v>55</v>
      </c>
      <c r="G47" s="4" t="s">
        <v>73</v>
      </c>
      <c r="H47" s="4" t="s">
        <v>61</v>
      </c>
      <c r="I47" s="4" t="s">
        <v>74</v>
      </c>
      <c r="J47" s="4" t="s">
        <v>58</v>
      </c>
      <c r="K47" s="4" t="s">
        <v>57</v>
      </c>
      <c r="L47" s="4" t="s">
        <v>83</v>
      </c>
      <c r="M47" s="4" t="s">
        <v>134</v>
      </c>
      <c r="N47" s="4" t="str">
        <f>IF(M47="","",VLOOKUP(M47,Referentie!$G$2:$I$26,2,0))</f>
        <v>Neutral</v>
      </c>
      <c r="O47" s="4" t="str">
        <f>IF(M47="","",VLOOKUP(M47,Referentie!$G$2:$I$26,3,0))</f>
        <v>Neutral</v>
      </c>
      <c r="P47" s="4">
        <f t="shared" si="7"/>
        <v>1</v>
      </c>
      <c r="Q47" s="4">
        <f t="shared" si="8"/>
        <v>2.5</v>
      </c>
      <c r="R47" s="4">
        <f t="shared" si="9"/>
        <v>3</v>
      </c>
      <c r="S47" s="4" t="str">
        <f t="shared" si="10"/>
        <v>Skill</v>
      </c>
      <c r="T47" s="4">
        <f t="shared" si="0"/>
        <v>3.5</v>
      </c>
      <c r="U47" s="4" t="str">
        <f t="shared" si="11"/>
        <v>🤔 Bench</v>
      </c>
      <c r="V47" s="4" t="str">
        <f t="shared" si="12"/>
        <v>Neutrale nature = ok maar niet ideaal</v>
      </c>
      <c r="W47" s="69" t="str" cm="1">
        <f t="array" ref="W47">IF(A47="","", IF(COUNTIF(Referentie!$L$2:$L$21,A47)&lt;=1, "", IFERROR(INDEX(Referentie!$M$2:$M$21, MATCH(1,(Referentie!$L$2:$L$21=A47)*(Referentie!$N$2:$N$21=S47),0)), IF(S47="Bench","", "Geen match gevonden"))) )</f>
        <v/>
      </c>
    </row>
    <row r="48" spans="1:23" ht="15" customHeight="1">
      <c r="A48" s="60" t="s">
        <v>95</v>
      </c>
      <c r="B48" s="2">
        <v>11</v>
      </c>
      <c r="C48" s="2" t="s">
        <v>96</v>
      </c>
      <c r="D48" s="4" t="str">
        <f>IF(C48="","",VLOOKUP(C48,Referentie!$A$2:$B$19,2,0))</f>
        <v>Persim</v>
      </c>
      <c r="E48" s="4" t="s">
        <v>55</v>
      </c>
      <c r="F48" s="4" t="s">
        <v>55</v>
      </c>
      <c r="G48" s="4" t="s">
        <v>55</v>
      </c>
      <c r="H48" s="4" t="s">
        <v>82</v>
      </c>
      <c r="I48" s="4" t="s">
        <v>74</v>
      </c>
      <c r="J48" s="4" t="s">
        <v>60</v>
      </c>
      <c r="K48" s="4" t="s">
        <v>67</v>
      </c>
      <c r="L48" s="4" t="s">
        <v>59</v>
      </c>
      <c r="M48" s="4" t="s">
        <v>75</v>
      </c>
      <c r="N48" s="4" t="str">
        <f>IF(M48="","",VLOOKUP(M48,Referentie!$G$2:$I$26,2,0))</f>
        <v>EXP Gains</v>
      </c>
      <c r="O48" s="4" t="str">
        <f>IF(M48="","",VLOOKUP(M48,Referentie!$G$2:$I$26,3,0))</f>
        <v>Main Skill Chance</v>
      </c>
      <c r="P48" s="4">
        <f t="shared" si="7"/>
        <v>4</v>
      </c>
      <c r="Q48" s="4">
        <f t="shared" si="8"/>
        <v>7.5</v>
      </c>
      <c r="R48" s="4">
        <f t="shared" si="9"/>
        <v>-1</v>
      </c>
      <c r="S48" s="4" t="str">
        <f t="shared" si="10"/>
        <v>Ingredient</v>
      </c>
      <c r="T48" s="4">
        <f t="shared" si="0"/>
        <v>8</v>
      </c>
      <c r="U48" s="4" t="str">
        <f t="shared" si="11"/>
        <v>⭐ Keep</v>
      </c>
      <c r="V48" s="4" t="str">
        <f t="shared" si="12"/>
        <v/>
      </c>
      <c r="W48" s="69" t="str" cm="1">
        <f t="array" ref="W48">IF(A48="","", IF(COUNTIF(Referentie!$L$2:$L$21,A48)&lt;=1, "", IFERROR(INDEX(Referentie!$M$2:$M$21, MATCH(1,(Referentie!$L$2:$L$21=A48)*(Referentie!$N$2:$N$21=S48),0)), IF(S48="Bench","", "Geen match gevonden"))) )</f>
        <v/>
      </c>
    </row>
    <row r="49" spans="1:23" ht="15" customHeight="1">
      <c r="A49" s="2" t="s">
        <v>110</v>
      </c>
      <c r="B49" s="2">
        <v>9</v>
      </c>
      <c r="C49" s="2" t="s">
        <v>111</v>
      </c>
      <c r="D49" s="4" t="str">
        <f>IF(C49="","",VLOOKUP(C49,Referentie!$A$2:$B$19,2,0))</f>
        <v>Durin</v>
      </c>
      <c r="E49" s="4" t="s">
        <v>108</v>
      </c>
      <c r="F49" s="4" t="s">
        <v>123</v>
      </c>
      <c r="G49" s="4" t="s">
        <v>93</v>
      </c>
      <c r="H49" s="4" t="s">
        <v>61</v>
      </c>
      <c r="I49" s="4" t="s">
        <v>98</v>
      </c>
      <c r="J49" s="4" t="s">
        <v>57</v>
      </c>
      <c r="K49" s="4" t="s">
        <v>68</v>
      </c>
      <c r="L49" s="4" t="s">
        <v>58</v>
      </c>
      <c r="M49" s="4" t="s">
        <v>109</v>
      </c>
      <c r="N49" s="4" t="str">
        <f>IF(M49="","",VLOOKUP(M49,Referentie!$G$2:$I$26,2,0))</f>
        <v>Ingredient Finding</v>
      </c>
      <c r="O49" s="4" t="str">
        <f>IF(M49="","",VLOOKUP(M49,Referentie!$G$2:$I$26,3,0))</f>
        <v>Main Skill Chance</v>
      </c>
      <c r="P49" s="4">
        <f t="shared" si="7"/>
        <v>0</v>
      </c>
      <c r="Q49" s="4">
        <f t="shared" si="8"/>
        <v>3.5</v>
      </c>
      <c r="R49" s="4">
        <f t="shared" si="9"/>
        <v>2</v>
      </c>
      <c r="S49" s="4" t="str">
        <f t="shared" si="10"/>
        <v>Ingredient</v>
      </c>
      <c r="T49" s="4">
        <f t="shared" si="0"/>
        <v>4.5</v>
      </c>
      <c r="U49" s="4" t="str">
        <f t="shared" si="11"/>
        <v>🤔 Bench</v>
      </c>
      <c r="V49" s="4" t="str">
        <f t="shared" si="12"/>
        <v>Perfecte nature voor Ingredient team!</v>
      </c>
      <c r="W49" s="69" t="str" cm="1">
        <f t="array" ref="W49">IF(A49="","", IF(COUNTIF(Referentie!$L$2:$L$21,A49)&lt;=1, "", IFERROR(INDEX(Referentie!$M$2:$M$21, MATCH(1,(Referentie!$L$2:$L$21=A49)*(Referentie!$N$2:$N$21=S49),0)), IF(S49="Bench","", "Geen match gevonden"))) )</f>
        <v/>
      </c>
    </row>
    <row r="50" spans="1:23" ht="15" customHeight="1">
      <c r="A50" s="2" t="s">
        <v>130</v>
      </c>
      <c r="B50" s="2">
        <v>8</v>
      </c>
      <c r="C50" s="2" t="s">
        <v>131</v>
      </c>
      <c r="D50" s="4" t="str">
        <f>IF(C50="","",VLOOKUP(C50,Referentie!$A$2:$B$19,2,0))</f>
        <v>Mago</v>
      </c>
      <c r="E50" s="4" t="s">
        <v>55</v>
      </c>
      <c r="F50" s="4" t="s">
        <v>103</v>
      </c>
      <c r="G50" s="4" t="s">
        <v>73</v>
      </c>
      <c r="H50" s="4" t="s">
        <v>67</v>
      </c>
      <c r="I50" s="4" t="s">
        <v>78</v>
      </c>
      <c r="J50" s="4" t="s">
        <v>57</v>
      </c>
      <c r="K50" s="4" t="s">
        <v>58</v>
      </c>
      <c r="L50" s="4" t="s">
        <v>61</v>
      </c>
      <c r="M50" s="4" t="s">
        <v>142</v>
      </c>
      <c r="N50" s="4" t="str">
        <f>IF(M50="","",VLOOKUP(M50,Referentie!$G$2:$I$26,2,0))</f>
        <v>Main Skill Chance</v>
      </c>
      <c r="O50" s="4" t="str">
        <f>IF(M50="","",VLOOKUP(M50,Referentie!$G$2:$I$26,3,0))</f>
        <v>EXP Gains</v>
      </c>
      <c r="P50" s="4">
        <f t="shared" si="7"/>
        <v>1</v>
      </c>
      <c r="Q50" s="4">
        <f t="shared" si="8"/>
        <v>2</v>
      </c>
      <c r="R50" s="4">
        <f t="shared" si="9"/>
        <v>2</v>
      </c>
      <c r="S50" s="4" t="str">
        <f t="shared" si="10"/>
        <v>Ingredient</v>
      </c>
      <c r="T50" s="4">
        <f t="shared" si="0"/>
        <v>3</v>
      </c>
      <c r="U50" s="4" t="str">
        <f t="shared" si="11"/>
        <v>🤔 Bench</v>
      </c>
      <c r="V50" s="4" t="str">
        <f t="shared" si="12"/>
        <v/>
      </c>
      <c r="W50" s="69" t="str" cm="1">
        <f t="array" ref="W50">IF(A50="","", IF(COUNTIF(Referentie!$L$2:$L$21,A50)&lt;=1, "", IFERROR(INDEX(Referentie!$M$2:$M$21, MATCH(1,(Referentie!$L$2:$L$21=A50)*(Referentie!$N$2:$N$21=S50),0)), IF(S50="Bench","", "Geen match gevonden"))) )</f>
        <v/>
      </c>
    </row>
    <row r="51" spans="1:23" ht="15" customHeight="1">
      <c r="A51" s="2" t="s">
        <v>364</v>
      </c>
      <c r="B51" s="2">
        <v>10</v>
      </c>
      <c r="C51" s="2" t="s">
        <v>111</v>
      </c>
      <c r="D51" s="4" t="str">
        <f>IF(C51="","",VLOOKUP(C51,Referentie!$A$2:$B$19,2,0))</f>
        <v>Durin</v>
      </c>
      <c r="E51" s="4" t="s">
        <v>120</v>
      </c>
      <c r="F51" s="4" t="s">
        <v>65</v>
      </c>
      <c r="G51" s="4" t="s">
        <v>65</v>
      </c>
      <c r="H51" s="4" t="s">
        <v>115</v>
      </c>
      <c r="I51" s="4" t="s">
        <v>57</v>
      </c>
      <c r="J51" s="4" t="s">
        <v>58</v>
      </c>
      <c r="K51" s="4" t="s">
        <v>61</v>
      </c>
      <c r="L51" s="4" t="s">
        <v>74</v>
      </c>
      <c r="M51" s="4" t="s">
        <v>125</v>
      </c>
      <c r="N51" s="4" t="str">
        <f>IF(M51="","",VLOOKUP(M51,Referentie!$G$2:$I$26,2,0))</f>
        <v>EXP Gains</v>
      </c>
      <c r="O51" s="4" t="str">
        <f>IF(M51="","",VLOOKUP(M51,Referentie!$G$2:$I$26,3,0))</f>
        <v>Speed of Help</v>
      </c>
      <c r="P51" s="4">
        <f t="shared" si="7"/>
        <v>0</v>
      </c>
      <c r="Q51" s="4">
        <f t="shared" si="8"/>
        <v>3.5</v>
      </c>
      <c r="R51" s="4">
        <f t="shared" si="9"/>
        <v>3.5</v>
      </c>
      <c r="S51" s="4" t="str">
        <f t="shared" si="10"/>
        <v>Ingredient</v>
      </c>
      <c r="T51" s="4">
        <f t="shared" si="0"/>
        <v>4</v>
      </c>
      <c r="U51" s="4" t="str">
        <f t="shared" si="11"/>
        <v>🤔 Bench</v>
      </c>
      <c r="V51" s="4" t="str">
        <f t="shared" si="12"/>
        <v/>
      </c>
      <c r="W51" s="69" t="str" cm="1">
        <f t="array" ref="W51">IF(A51="","", IF(COUNTIF(Referentie!$L$2:$L$21,A51)&lt;=1, "", IFERROR(INDEX(Referentie!$M$2:$M$21, MATCH(1,(Referentie!$L$2:$L$21=A51)*(Referentie!$N$2:$N$21=S51),0)), IF(S51="Bench","", "Geen match gevonden"))) )</f>
        <v/>
      </c>
    </row>
    <row r="52" spans="1:23" ht="15" customHeight="1">
      <c r="A52" s="2" t="s">
        <v>251</v>
      </c>
      <c r="B52" s="2">
        <v>10</v>
      </c>
      <c r="C52" s="2" t="s">
        <v>111</v>
      </c>
      <c r="D52" s="4" t="str">
        <f>IF(C52="","",VLOOKUP(C52,Referentie!$A$2:$B$19,2,0))</f>
        <v>Durin</v>
      </c>
      <c r="E52" s="4" t="s">
        <v>66</v>
      </c>
      <c r="F52" s="4" t="s">
        <v>72</v>
      </c>
      <c r="G52" s="4" t="s">
        <v>72</v>
      </c>
      <c r="H52" s="4" t="s">
        <v>74</v>
      </c>
      <c r="I52" s="4" t="s">
        <v>61</v>
      </c>
      <c r="J52" s="4" t="s">
        <v>86</v>
      </c>
      <c r="K52" s="4" t="s">
        <v>82</v>
      </c>
      <c r="L52" s="4" t="s">
        <v>59</v>
      </c>
      <c r="M52" s="4" t="s">
        <v>150</v>
      </c>
      <c r="N52" s="4" t="str">
        <f>IF(M52="","",VLOOKUP(M52,Referentie!$G$2:$I$26,2,0))</f>
        <v>Neutral</v>
      </c>
      <c r="O52" s="4" t="str">
        <f>IF(M52="","",VLOOKUP(M52,Referentie!$G$2:$I$26,3,0))</f>
        <v>Neutral</v>
      </c>
      <c r="P52" s="4">
        <f>IF(A52="","", (IF(N52="Speed of Help",2,0)) + (IF(O52="Speed of Help",-2,0)) + (IF(N52="EXP Gains",1,0)) + (IF(O52="EXP Gains",-1,0)) + (COUNTIF(H52:L52,"Helping Speed S")*1) + (COUNTIF(H52:L52,"Helping Speed M")*2) + (COUNTIF(H52:L52,"Berry Finding S")*2) + (COUNTIF(H52:L52,"Helping Bonus")*1) + (IF(O52="Ingredient Finding",0,0)) + (IF(O52="Main Skill Chance",0,0)) )</f>
        <v>3</v>
      </c>
      <c r="Q52" s="4">
        <f>IF(A52="","", (IF(N52="Ingredient Finding",2,0)) + (IF(O52="Ingredient Finding",-2,0)) + (IF(N52="EXP Gains",1,0)) + (IF(O52="EXP Gains",-1,0)) + (COUNTIF(H52:L52,"Ingredient Finder S")*1) + (COUNTIF(H52:L52,"Ingredient Finder M")*2) + (COUNTIF(H52:L52,"Inventory Up S")*0.5) + (COUNTIF(H52:L52,"Inventory Up M")*1) + (COUNTIF(H52:L52,"Inventory Up L")*1.5) + (IF(E52=F52,1,0)) + (IF(F52=G52,1,0)) )</f>
        <v>2</v>
      </c>
      <c r="R52" s="4">
        <f>IF(A52="","", (IF(N52="Main Skill Chance",2,0)) + (IF(O52="Main Skill Chance",-2,0)) + (IF(N52="EXP Gains",1,0)) + (IF(O52="EXP Gains",-1,0)) + (COUNTIF(H52:L52,"Skill Trigger S")*1) + (COUNTIF(H52:L52,"Skill Trigger M")*2) + (COUNTIF(H52:L52,"Skill Level Up S")*1) + (COUNTIF(H52:L52,"Skill Level Up M")*2) + (COUNTIF(H52:L52,"Energy Recovery Bonus")*1.5) + (COUNTIF(H52:L52,"Sleep EXP Bonus")*1) + (COUNTIF(H52:L52,"Research EXP Bonus")*1) )</f>
        <v>2</v>
      </c>
      <c r="S52" s="4" t="str">
        <f>IF(A52="","", IF(AND(P52&lt;=1, Q52&lt;=1, R52&lt;=1), "Bench", IF(AND(P52&gt;=Q52, P52&gt;=R52), "Berry", IF(AND(Q52&gt;=P52, Q52&gt;=R52), "Ingredient", "Skill"))) )</f>
        <v>Berry</v>
      </c>
      <c r="T52" s="4">
        <f t="shared" si="0"/>
        <v>3.5</v>
      </c>
      <c r="U52" s="4" t="str">
        <f>IF(A52="","", IF(T52&gt;=7, "⭐ Keep", IF(T52&gt;=5, "📈 Level Up", IF(T52&gt;=3, "🤔 Bench", "❌ Transfer"))) )</f>
        <v>🤔 Bench</v>
      </c>
      <c r="V52" s="4" t="str">
        <f>IF(A52="","", _xlfn.TEXTJOIN("; ",TRUE, IF(A52="Pikachu","Evolve naar Raichu = snelste berry helper!",""), IF(A52="Pichu","Evolve → Pikachu → Raichu (top berry)",""), IF(A52="Eevee","Sylveon (skill) of Jolteon (berry) = top evoluties",""), IF(A52="Igglybuff","Evolve → Wigglytuff = Energy for Everyone S (top skill!)",""), IF(A52="Squirtle","Kanto starter: 2x ingrediënten + Ingredient Magnet S",""), IF(A52="Charmander","Evolve → Charizard = snelle berry+ingredient verzamelaar",""), IF(A52="Bulbasaur","Kanto starter: 2x ingrediënten + Ingredient Magnet S",""), IF(A52="Growlithe","Evolve → Arcanine = sterke all-rounder",""), IF(A52="Mareep","Evolve → Ampharos = hoge frequentie + waardevolle ingrediënten",""), IF(A52="Spheal","Evolve → Walrein = key voor Snowdrop Tundra (berry+ingr)",""), IF(A52="Riolu","Evolve → Lucario = sterke fighter",""), IF(A52="Togepi","Let op: Togekiss Metronome is onbetrouwbaar",""), IF(A52="Totodile","Evolve → Feraligatr = top berry voor Cyan Beach",""), IF(A52="Magnemite","Evolve → Magnezone = sterke skill helper",""), IF(A52="Ivysaur","Evolve → Venusaur = 2x ingrediënten specialist",""), IF(OR(N52="Neutral",O52="Neutral"),"Neutrale nature = ok maar niet ideaal",""), IF(AND(N52="Speed of Help",OR(S52="Berry",S52="Ingredient")),"Perfecte nature voor "&amp;S52&amp;" team!",""), IF(AND(N52="Ingredient Finding",S52="Ingredient"),"Perfecte nature voor Ingredient team!",""), IF(AND(N52="Main Skill Chance",S52="Skill"),"Perfecte nature voor Skill team!",""), IF(AND(O52="Speed of Help",S52="Berry"),"Let op: Speed of Help NEGATIEF schaadt berry-prestatie",""), IF(AND(O52="Ingredient Finding",S52="Ingredient"),"Let op: Ingredient Finding NEGATIEF schaadt ingredient-prestatie","") ))</f>
        <v>Neutrale nature = ok maar niet ideaal</v>
      </c>
      <c r="W52" s="69" t="str" cm="1">
        <f t="array" ref="W52">IF(A52="","", IF(COUNTIF(Referentie!$L$2:$L$21,A52)&lt;=1, "", IFERROR(INDEX(Referentie!$M$2:$M$21, MATCH(1,(Referentie!$L$2:$L$21=A52)*(Referentie!$N$2:$N$21=S52),0)), IF(S52="Bench","", "Geen match gevonden"))) )</f>
        <v/>
      </c>
    </row>
    <row r="53" spans="1:23" ht="15" customHeight="1">
      <c r="A53" s="2" t="s">
        <v>149</v>
      </c>
      <c r="B53" s="2">
        <v>9</v>
      </c>
      <c r="C53" s="2" t="s">
        <v>96</v>
      </c>
      <c r="D53" s="4" t="str">
        <f>IF(C53="","",VLOOKUP(C53,Referentie!$A$2:$B$19,2,0))</f>
        <v>Persim</v>
      </c>
      <c r="E53" s="4" t="s">
        <v>72</v>
      </c>
      <c r="F53" s="4" t="s">
        <v>72</v>
      </c>
      <c r="G53" s="4" t="s">
        <v>66</v>
      </c>
      <c r="H53" s="4" t="s">
        <v>82</v>
      </c>
      <c r="I53" s="4" t="s">
        <v>86</v>
      </c>
      <c r="J53" s="4" t="s">
        <v>74</v>
      </c>
      <c r="K53" s="4" t="s">
        <v>58</v>
      </c>
      <c r="L53" s="4" t="s">
        <v>61</v>
      </c>
      <c r="M53" s="4" t="s">
        <v>176</v>
      </c>
      <c r="N53" s="4" t="str">
        <f>IF(M53="","",VLOOKUP(M53,Referentie!$G$2:$I$26,2,0))</f>
        <v>Main Skill Chance</v>
      </c>
      <c r="O53" s="4" t="str">
        <f>IF(M53="","",VLOOKUP(M53,Referentie!$G$2:$I$26,3,0))</f>
        <v>Ingredient Finding</v>
      </c>
      <c r="P53" s="4">
        <f t="shared" ref="P53:P56" si="13">IF(A53="","", (IF(N53="Speed of Help",2,0)) + (IF(O53="Speed of Help",-2,0)) + (IF(N53="EXP Gains",1,0)) + (IF(O53="EXP Gains",-1,0)) + (COUNTIF(H53:L53,"Helping Speed S")*1) + (COUNTIF(H53:L53,"Helping Speed M")*2) + (COUNTIF(H53:L53,"Berry Finding S")*2) + (COUNTIF(H53:L53,"Helping Bonus")*1) + (IF(O53="Ingredient Finding",0,0)) + (IF(O53="Main Skill Chance",0,0)) )</f>
        <v>3</v>
      </c>
      <c r="Q53" s="4">
        <f t="shared" ref="Q53:Q56" si="14">IF(A53="","", (IF(N53="Ingredient Finding",2,0)) + (IF(O53="Ingredient Finding",-2,0)) + (IF(N53="EXP Gains",1,0)) + (IF(O53="EXP Gains",-1,0)) + (COUNTIF(H53:L53,"Ingredient Finder S")*1) + (COUNTIF(H53:L53,"Ingredient Finder M")*2) + (COUNTIF(H53:L53,"Inventory Up S")*0.5) + (COUNTIF(H53:L53,"Inventory Up M")*1) + (COUNTIF(H53:L53,"Inventory Up L")*1.5) + (IF(E53=F53,1,0)) + (IF(F53=G53,1,0)) )</f>
        <v>0</v>
      </c>
      <c r="R53" s="4">
        <f t="shared" ref="R53:R56" si="15">IF(A53="","", (IF(N53="Main Skill Chance",2,0)) + (IF(O53="Main Skill Chance",-2,0)) + (IF(N53="EXP Gains",1,0)) + (IF(O53="EXP Gains",-1,0)) + (COUNTIF(H53:L53,"Skill Trigger S")*1) + (COUNTIF(H53:L53,"Skill Trigger M")*2) + (COUNTIF(H53:L53,"Skill Level Up S")*1) + (COUNTIF(H53:L53,"Skill Level Up M")*2) + (COUNTIF(H53:L53,"Energy Recovery Bonus")*1.5) + (COUNTIF(H53:L53,"Sleep EXP Bonus")*1) + (COUNTIF(H53:L53,"Research EXP Bonus")*1) )</f>
        <v>4</v>
      </c>
      <c r="S53" s="4" t="str">
        <f t="shared" ref="S53:S56" si="16">IF(A53="","", IF(AND(P53&lt;=1, Q53&lt;=1, R53&lt;=1), "Bench", IF(AND(P53&gt;=Q53, P53&gt;=R53), "Berry", IF(AND(Q53&gt;=P53, Q53&gt;=R53), "Ingredient", "Skill"))) )</f>
        <v>Skill</v>
      </c>
      <c r="T53" s="4">
        <f t="shared" si="0"/>
        <v>6.5</v>
      </c>
      <c r="U53" s="4" t="str">
        <f t="shared" ref="U53:U56" si="17">IF(A53="","", IF(T53&gt;=7, "⭐ Keep", IF(T53&gt;=5, "📈 Level Up", IF(T53&gt;=3, "🤔 Bench", "❌ Transfer"))) )</f>
        <v>📈 Level Up</v>
      </c>
      <c r="V53" s="4" t="str">
        <f t="shared" ref="V53:V56" si="18">IF(A53="","", _xlfn.TEXTJOIN("; ",TRUE, IF(A53="Pikachu","Evolve naar Raichu = snelste berry helper!",""), IF(A53="Pichu","Evolve → Pikachu → Raichu (top berry)",""), IF(A53="Eevee","Sylveon (skill) of Jolteon (berry) = top evoluties",""), IF(A53="Igglybuff","Evolve → Wigglytuff = Energy for Everyone S (top skill!)",""), IF(A53="Squirtle","Kanto starter: 2x ingrediënten + Ingredient Magnet S",""), IF(A53="Charmander","Evolve → Charizard = snelle berry+ingredient verzamelaar",""), IF(A53="Bulbasaur","Kanto starter: 2x ingrediënten + Ingredient Magnet S",""), IF(A53="Growlithe","Evolve → Arcanine = sterke all-rounder",""), IF(A53="Mareep","Evolve → Ampharos = hoge frequentie + waardevolle ingrediënten",""), IF(A53="Spheal","Evolve → Walrein = key voor Snowdrop Tundra (berry+ingr)",""), IF(A53="Riolu","Evolve → Lucario = sterke fighter",""), IF(A53="Togepi","Let op: Togekiss Metronome is onbetrouwbaar",""), IF(A53="Totodile","Evolve → Feraligatr = top berry voor Cyan Beach",""), IF(A53="Magnemite","Evolve → Magnezone = sterke skill helper",""), IF(A53="Ivysaur","Evolve → Venusaur = 2x ingrediënten specialist",""), IF(OR(N53="Neutral",O53="Neutral"),"Neutrale nature = ok maar niet ideaal",""), IF(AND(N53="Speed of Help",OR(S53="Berry",S53="Ingredient")),"Perfecte nature voor "&amp;S53&amp;" team!",""), IF(AND(N53="Ingredient Finding",S53="Ingredient"),"Perfecte nature voor Ingredient team!",""), IF(AND(N53="Main Skill Chance",S53="Skill"),"Perfecte nature voor Skill team!",""), IF(AND(O53="Speed of Help",S53="Berry"),"Let op: Speed of Help NEGATIEF schaadt berry-prestatie",""), IF(AND(O53="Ingredient Finding",S53="Ingredient"),"Let op: Ingredient Finding NEGATIEF schaadt ingredient-prestatie","") ))</f>
        <v>Sylveon (skill) of Jolteon (berry) = top evoluties; Perfecte nature voor Skill team!</v>
      </c>
      <c r="W53" s="69" t="str" cm="1">
        <f t="array" ref="W53">IF(A53="","", IF(COUNTIF(Referentie!$L$2:$L$21,A53)&lt;=1, "", IFERROR(INDEX(Referentie!$M$2:$M$21, MATCH(1,(Referentie!$L$2:$L$21=A53)*(Referentie!$N$2:$N$21=S53),0)), IF(S53="Bench","", "Geen match gevonden"))) )</f>
        <v>Espeon</v>
      </c>
    </row>
    <row r="54" spans="1:23" ht="15" customHeight="1">
      <c r="A54" s="2" t="s">
        <v>88</v>
      </c>
      <c r="B54" s="2">
        <v>10</v>
      </c>
      <c r="C54" s="2" t="s">
        <v>64</v>
      </c>
      <c r="D54" s="4" t="str">
        <f>IF(C54="","",VLOOKUP(C54,Referentie!$A$2:$B$19,2,0))</f>
        <v>Oran</v>
      </c>
      <c r="E54" s="7" t="s">
        <v>66</v>
      </c>
      <c r="F54" s="4" t="s">
        <v>89</v>
      </c>
      <c r="G54" s="4" t="s">
        <v>66</v>
      </c>
      <c r="H54" s="4" t="s">
        <v>58</v>
      </c>
      <c r="I54" s="4" t="s">
        <v>78</v>
      </c>
      <c r="J54" s="4" t="s">
        <v>82</v>
      </c>
      <c r="K54" s="4" t="s">
        <v>121</v>
      </c>
      <c r="L54" s="4" t="s">
        <v>68</v>
      </c>
      <c r="M54" s="4" t="s">
        <v>79</v>
      </c>
      <c r="N54" s="4" t="str">
        <f>IF(M54="","",VLOOKUP(M54,Referentie!$G$2:$I$26,2,0))</f>
        <v>Energy Recovery</v>
      </c>
      <c r="O54" s="4" t="str">
        <f>IF(M54="","",VLOOKUP(M54,Referentie!$G$2:$I$26,3,0))</f>
        <v>Speed of Help</v>
      </c>
      <c r="P54" s="4">
        <f t="shared" si="13"/>
        <v>3</v>
      </c>
      <c r="Q54" s="4">
        <f t="shared" si="14"/>
        <v>1</v>
      </c>
      <c r="R54" s="4">
        <f t="shared" si="15"/>
        <v>2</v>
      </c>
      <c r="S54" s="4" t="str">
        <f t="shared" si="16"/>
        <v>Berry</v>
      </c>
      <c r="T54" s="4">
        <f t="shared" si="0"/>
        <v>3.5</v>
      </c>
      <c r="U54" s="4" t="str">
        <f t="shared" si="17"/>
        <v>🤔 Bench</v>
      </c>
      <c r="V54" s="4" t="str">
        <f t="shared" si="18"/>
        <v>Let op: Speed of Help NEGATIEF schaadt berry-prestatie</v>
      </c>
      <c r="W54" s="69" t="str" cm="1">
        <f t="array" ref="W54">IF(A54="","", IF(COUNTIF(Referentie!$L$2:$L$21,A54)&lt;=1, "", IFERROR(INDEX(Referentie!$M$2:$M$21, MATCH(1,(Referentie!$L$2:$L$21=A54)*(Referentie!$N$2:$N$21=S54),0)), IF(S54="Bench","", "Geen match gevonden"))) )</f>
        <v>Geen match gevonden</v>
      </c>
    </row>
    <row r="55" spans="1:23" ht="15" customHeight="1">
      <c r="A55" s="2"/>
      <c r="B55" s="2"/>
      <c r="C55" s="2"/>
      <c r="D55" s="4" t="str">
        <f>IF(C55="","",VLOOKUP(C55,Referentie!$A$2:$B$19,2,0))</f>
        <v/>
      </c>
      <c r="E55" s="4"/>
      <c r="F55" s="4"/>
      <c r="G55" s="4"/>
      <c r="H55" s="4"/>
      <c r="I55" s="4"/>
      <c r="J55" s="4"/>
      <c r="K55" s="4"/>
      <c r="L55" s="4"/>
      <c r="M55" s="4"/>
      <c r="N55" s="4" t="str">
        <f>IF(M55="","",VLOOKUP(M55,Referentie!$G$2:$I$26,2,0))</f>
        <v/>
      </c>
      <c r="O55" s="4" t="str">
        <f>IF(M55="","",VLOOKUP(M55,Referentie!$G$2:$I$26,3,0))</f>
        <v/>
      </c>
      <c r="P55" s="4" t="str">
        <f t="shared" si="13"/>
        <v/>
      </c>
      <c r="Q55" s="4" t="str">
        <f t="shared" si="14"/>
        <v/>
      </c>
      <c r="R55" s="4" t="str">
        <f t="shared" si="15"/>
        <v/>
      </c>
      <c r="S55" s="4" t="str">
        <f t="shared" si="16"/>
        <v/>
      </c>
      <c r="T55" s="4" t="str">
        <f t="shared" si="0"/>
        <v/>
      </c>
      <c r="U55" s="4" t="str">
        <f t="shared" si="17"/>
        <v/>
      </c>
      <c r="V55" s="4" t="str">
        <f t="shared" si="18"/>
        <v/>
      </c>
      <c r="W55" s="69" t="str" cm="1">
        <f t="array" ref="W55">IF(A55="","", IF(COUNTIF(Referentie!$L$2:$L$21,A55)&lt;=1, "", IFERROR(INDEX(Referentie!$M$2:$M$21, MATCH(1,(Referentie!$L$2:$L$21=A55)*(Referentie!$N$2:$N$21=S55),0)), IF(S55="Bench","", "Geen match gevonden"))) )</f>
        <v/>
      </c>
    </row>
    <row r="56" spans="1:23" ht="15" customHeight="1">
      <c r="A56" s="2"/>
      <c r="B56" s="2"/>
      <c r="C56" s="2"/>
      <c r="D56" s="4" t="str">
        <f>IF(C56="","",VLOOKUP(C56,Referentie!$A$2:$B$19,2,0))</f>
        <v/>
      </c>
      <c r="E56" s="4"/>
      <c r="F56" s="4"/>
      <c r="G56" s="4"/>
      <c r="H56" s="4"/>
      <c r="I56" s="4"/>
      <c r="J56" s="4"/>
      <c r="K56" s="4"/>
      <c r="L56" s="4"/>
      <c r="M56" s="4"/>
      <c r="N56" s="4" t="str">
        <f>IF(M56="","",VLOOKUP(M56,Referentie!$G$2:$I$26,2,0))</f>
        <v/>
      </c>
      <c r="O56" s="4" t="str">
        <f>IF(M56="","",VLOOKUP(M56,Referentie!$G$2:$I$26,3,0))</f>
        <v/>
      </c>
      <c r="P56" s="4" t="str">
        <f t="shared" si="13"/>
        <v/>
      </c>
      <c r="Q56" s="4" t="str">
        <f t="shared" si="14"/>
        <v/>
      </c>
      <c r="R56" s="4" t="str">
        <f t="shared" si="15"/>
        <v/>
      </c>
      <c r="S56" s="4" t="str">
        <f t="shared" si="16"/>
        <v/>
      </c>
      <c r="T56" s="4" t="str">
        <f t="shared" si="0"/>
        <v/>
      </c>
      <c r="U56" s="4" t="str">
        <f t="shared" si="17"/>
        <v/>
      </c>
      <c r="V56" s="4" t="str">
        <f t="shared" si="18"/>
        <v/>
      </c>
      <c r="W56" s="69" t="str" cm="1">
        <f t="array" ref="W56">IF(A56="","", IF(COUNTIF(Referentie!$L$2:$L$21,A56)&lt;=1, "", IFERROR(INDEX(Referentie!$M$2:$M$21, MATCH(1,(Referentie!$L$2:$L$21=A56)*(Referentie!$N$2:$N$21=S56),0)), IF(S56="Bench","", "Geen match gevonden"))) )</f>
        <v/>
      </c>
    </row>
    <row r="57" spans="1:23" ht="15" customHeight="1">
      <c r="A57" s="2"/>
      <c r="B57" s="2"/>
      <c r="C57" s="2"/>
      <c r="D57" s="4" t="str">
        <f>IF(C57="","",VLOOKUP(C57,Referentie!$A$2:$B$19,2,0))</f>
        <v/>
      </c>
      <c r="E57" s="7"/>
      <c r="F57" s="4"/>
      <c r="G57" s="4"/>
      <c r="H57" s="4"/>
      <c r="I57" s="4"/>
      <c r="J57" s="4"/>
      <c r="K57" s="4"/>
      <c r="L57" s="4"/>
      <c r="M57" s="4"/>
      <c r="N57" s="4" t="str">
        <f>IF(M57="","",VLOOKUP(M57,Referentie!$G$2:$I$26,2,0))</f>
        <v/>
      </c>
      <c r="O57" s="4" t="str">
        <f>IF(M57="","",VLOOKUP(M57,Referentie!$G$2:$I$26,3,0))</f>
        <v/>
      </c>
      <c r="P57" s="4" t="str">
        <f t="shared" ref="P57:P65" si="19">IF(A57="","", (IF(N57="Speed of Help",2,0)) + (IF(O57="Speed of Help",-2,0)) + (IF(N57="EXP Gains",1,0)) + (IF(O57="EXP Gains",-1,0)) + (COUNTIF(H57:L57,"Helping Speed S")*1) + (COUNTIF(H57:L57,"Helping Speed M")*2) + (COUNTIF(H57:L57,"Berry Finding S")*2) + (COUNTIF(H57:L57,"Helping Bonus")*1) + (IF(O57="Ingredient Finding",0,0)) + (IF(O57="Main Skill Chance",0,0)) )</f>
        <v/>
      </c>
      <c r="Q57" s="4" t="str">
        <f t="shared" ref="Q57:Q65" si="20">IF(A57="","", (IF(N57="Ingredient Finding",2,0)) + (IF(O57="Ingredient Finding",-2,0)) + (IF(N57="EXP Gains",1,0)) + (IF(O57="EXP Gains",-1,0)) + (COUNTIF(H57:L57,"Ingredient Finder S")*1) + (COUNTIF(H57:L57,"Ingredient Finder M")*2) + (COUNTIF(H57:L57,"Inventory Up S")*0.5) + (COUNTIF(H57:L57,"Inventory Up M")*1) + (COUNTIF(H57:L57,"Inventory Up L")*1.5) + (IF(E57=F57,1,0)) + (IF(F57=G57,1,0)) )</f>
        <v/>
      </c>
      <c r="R57" s="4" t="str">
        <f t="shared" ref="R57:R65" si="21">IF(A57="","", (IF(N57="Main Skill Chance",2,0)) + (IF(O57="Main Skill Chance",-2,0)) + (IF(N57="EXP Gains",1,0)) + (IF(O57="EXP Gains",-1,0)) + (COUNTIF(H57:L57,"Skill Trigger S")*1) + (COUNTIF(H57:L57,"Skill Trigger M")*2) + (COUNTIF(H57:L57,"Skill Level Up S")*1) + (COUNTIF(H57:L57,"Skill Level Up M")*2) + (COUNTIF(H57:L57,"Energy Recovery Bonus")*1.5) + (COUNTIF(H57:L57,"Sleep EXP Bonus")*1) + (COUNTIF(H57:L57,"Research EXP Bonus")*1) )</f>
        <v/>
      </c>
      <c r="S57" s="4" t="str">
        <f t="shared" ref="S57:S65" si="22">IF(A57="","", IF(AND(P57&lt;=1, Q57&lt;=1, R57&lt;=1), "Bench", IF(AND(P57&gt;=Q57, P57&gt;=R57), "Berry", IF(AND(Q57&gt;=P57, Q57&gt;=R57), "Ingredient", "Skill"))) )</f>
        <v/>
      </c>
      <c r="T57" s="4" t="str">
        <f t="shared" si="0"/>
        <v/>
      </c>
      <c r="U57" s="4" t="str">
        <f t="shared" ref="U57:U65" si="23">IF(A57="","", IF(T57&gt;=7, "⭐ Keep", IF(T57&gt;=5, "📈 Level Up", IF(T57&gt;=3, "🤔 Bench", "❌ Transfer"))) )</f>
        <v/>
      </c>
      <c r="V57" s="4" t="str">
        <f t="shared" si="1"/>
        <v/>
      </c>
      <c r="W57" s="69" t="str" cm="1">
        <f t="array" ref="W57">IF(A57="","", IF(COUNTIF(Referentie!$L$2:$L$21,A57)&lt;=1, "", IFERROR(INDEX(Referentie!$M$2:$M$21, MATCH(1,(Referentie!$L$2:$L$21=A57)*(Referentie!$N$2:$N$21=S57),0)), IF(S57="Bench","", "Geen match gevonden"))) )</f>
        <v/>
      </c>
    </row>
    <row r="58" spans="1:23" ht="15" customHeight="1">
      <c r="A58" s="2"/>
      <c r="B58" s="2"/>
      <c r="C58" s="2"/>
      <c r="D58" s="4" t="str">
        <f>IF(C58="","",VLOOKUP(C58,Referentie!$A$2:$B$19,2,0))</f>
        <v/>
      </c>
      <c r="E58" s="7"/>
      <c r="F58" s="4"/>
      <c r="G58" s="4"/>
      <c r="H58" s="4"/>
      <c r="I58" s="4"/>
      <c r="J58" s="4"/>
      <c r="K58" s="4"/>
      <c r="L58" s="4"/>
      <c r="M58" s="4"/>
      <c r="N58" s="4" t="str">
        <f>IF(M58="","",VLOOKUP(M58,Referentie!$G$2:$I$26,2,0))</f>
        <v/>
      </c>
      <c r="O58" s="4" t="str">
        <f>IF(M58="","",VLOOKUP(M58,Referentie!$G$2:$I$26,3,0))</f>
        <v/>
      </c>
      <c r="P58" s="4" t="str">
        <f t="shared" si="19"/>
        <v/>
      </c>
      <c r="Q58" s="4" t="str">
        <f t="shared" si="20"/>
        <v/>
      </c>
      <c r="R58" s="4" t="str">
        <f t="shared" si="21"/>
        <v/>
      </c>
      <c r="S58" s="4" t="str">
        <f t="shared" si="22"/>
        <v/>
      </c>
      <c r="T58" s="4" t="str">
        <f t="shared" si="0"/>
        <v/>
      </c>
      <c r="U58" s="4" t="str">
        <f t="shared" si="23"/>
        <v/>
      </c>
      <c r="V58" s="4" t="str">
        <f t="shared" si="1"/>
        <v/>
      </c>
      <c r="W58" s="69" t="str" cm="1">
        <f t="array" ref="W58">IF(A58="","", IF(COUNTIF(Referentie!$L$2:$L$21,A58)&lt;=1, "", IFERROR(INDEX(Referentie!$M$2:$M$21, MATCH(1,(Referentie!$L$2:$L$21=A58)*(Referentie!$N$2:$N$21=S58),0)), IF(S58="Bench","", "Geen match gevonden"))) )</f>
        <v/>
      </c>
    </row>
    <row r="59" spans="1:23" ht="15" customHeight="1">
      <c r="A59" s="2"/>
      <c r="B59" s="2"/>
      <c r="C59" s="2"/>
      <c r="D59" s="4" t="str">
        <f>IF(C59="","",VLOOKUP(C59,Referentie!$A$2:$B$19,2,0))</f>
        <v/>
      </c>
      <c r="E59" s="7"/>
      <c r="F59" s="4"/>
      <c r="G59" s="4"/>
      <c r="H59" s="4"/>
      <c r="I59" s="4"/>
      <c r="J59" s="4"/>
      <c r="K59" s="4"/>
      <c r="L59" s="4"/>
      <c r="M59" s="4"/>
      <c r="N59" s="4" t="str">
        <f>IF(M59="","",VLOOKUP(M59,Referentie!$G$2:$I$26,2,0))</f>
        <v/>
      </c>
      <c r="O59" s="4" t="str">
        <f>IF(M59="","",VLOOKUP(M59,Referentie!$G$2:$I$26,3,0))</f>
        <v/>
      </c>
      <c r="P59" s="4" t="str">
        <f t="shared" si="19"/>
        <v/>
      </c>
      <c r="Q59" s="4" t="str">
        <f t="shared" si="20"/>
        <v/>
      </c>
      <c r="R59" s="4" t="str">
        <f t="shared" si="21"/>
        <v/>
      </c>
      <c r="S59" s="4" t="str">
        <f t="shared" si="22"/>
        <v/>
      </c>
      <c r="T59" s="4" t="str">
        <f t="shared" si="0"/>
        <v/>
      </c>
      <c r="U59" s="4" t="str">
        <f t="shared" si="23"/>
        <v/>
      </c>
      <c r="V59" s="4" t="str">
        <f t="shared" si="1"/>
        <v/>
      </c>
      <c r="W59" s="69" t="str" cm="1">
        <f t="array" ref="W59">IF(A59="","", IF(COUNTIF(Referentie!$L$2:$L$21,A59)&lt;=1, "", IFERROR(INDEX(Referentie!$M$2:$M$21, MATCH(1,(Referentie!$L$2:$L$21=A59)*(Referentie!$N$2:$N$21=S59),0)), IF(S59="Bench","", "Geen match gevonden"))) )</f>
        <v/>
      </c>
    </row>
    <row r="60" spans="1:23" ht="15" customHeight="1">
      <c r="A60" s="2"/>
      <c r="B60" s="2"/>
      <c r="C60" s="2"/>
      <c r="D60" s="4" t="str">
        <f>IF(C60="","",VLOOKUP(C60,Referentie!$A$2:$B$19,2,0))</f>
        <v/>
      </c>
      <c r="E60" s="7"/>
      <c r="F60" s="4"/>
      <c r="G60" s="4"/>
      <c r="H60" s="4"/>
      <c r="I60" s="4"/>
      <c r="J60" s="4"/>
      <c r="K60" s="4"/>
      <c r="L60" s="4"/>
      <c r="M60" s="4"/>
      <c r="N60" s="4" t="str">
        <f>IF(M60="","",VLOOKUP(M60,Referentie!$G$2:$I$26,2,0))</f>
        <v/>
      </c>
      <c r="O60" s="4" t="str">
        <f>IF(M60="","",VLOOKUP(M60,Referentie!$G$2:$I$26,3,0))</f>
        <v/>
      </c>
      <c r="P60" s="4" t="str">
        <f t="shared" si="19"/>
        <v/>
      </c>
      <c r="Q60" s="4" t="str">
        <f t="shared" si="20"/>
        <v/>
      </c>
      <c r="R60" s="4" t="str">
        <f t="shared" si="21"/>
        <v/>
      </c>
      <c r="S60" s="4" t="str">
        <f t="shared" si="22"/>
        <v/>
      </c>
      <c r="T60" s="4" t="str">
        <f t="shared" si="0"/>
        <v/>
      </c>
      <c r="U60" s="4" t="str">
        <f t="shared" si="23"/>
        <v/>
      </c>
      <c r="V60" s="4" t="str">
        <f t="shared" si="1"/>
        <v/>
      </c>
      <c r="W60" s="69" t="str" cm="1">
        <f t="array" ref="W60">IF(A60="","", IF(COUNTIF(Referentie!$L$2:$L$21,A60)&lt;=1, "", IFERROR(INDEX(Referentie!$M$2:$M$21, MATCH(1,(Referentie!$L$2:$L$21=A60)*(Referentie!$N$2:$N$21=S60),0)), IF(S60="Bench","", "Geen match gevonden"))) )</f>
        <v/>
      </c>
    </row>
    <row r="61" spans="1:23" ht="15" customHeight="1">
      <c r="A61" s="2"/>
      <c r="B61" s="2"/>
      <c r="C61" s="2"/>
      <c r="D61" s="4" t="str">
        <f>IF(C61="","",VLOOKUP(C61,Referentie!$A$2:$B$19,2,0))</f>
        <v/>
      </c>
      <c r="E61" s="7"/>
      <c r="F61" s="4"/>
      <c r="G61" s="4"/>
      <c r="H61" s="4"/>
      <c r="I61" s="4"/>
      <c r="J61" s="4"/>
      <c r="K61" s="4"/>
      <c r="L61" s="4"/>
      <c r="M61" s="4"/>
      <c r="N61" s="4" t="str">
        <f>IF(M61="","",VLOOKUP(M61,Referentie!$G$2:$I$26,2,0))</f>
        <v/>
      </c>
      <c r="O61" s="4" t="str">
        <f>IF(M61="","",VLOOKUP(M61,Referentie!$G$2:$I$26,3,0))</f>
        <v/>
      </c>
      <c r="P61" s="4" t="str">
        <f t="shared" si="19"/>
        <v/>
      </c>
      <c r="Q61" s="4" t="str">
        <f t="shared" si="20"/>
        <v/>
      </c>
      <c r="R61" s="4" t="str">
        <f t="shared" si="21"/>
        <v/>
      </c>
      <c r="S61" s="4" t="str">
        <f t="shared" si="22"/>
        <v/>
      </c>
      <c r="T61" s="4" t="str">
        <f t="shared" si="0"/>
        <v/>
      </c>
      <c r="U61" s="4" t="str">
        <f t="shared" si="23"/>
        <v/>
      </c>
      <c r="V61" s="4" t="str">
        <f t="shared" si="1"/>
        <v/>
      </c>
      <c r="W61" s="69" t="str" cm="1">
        <f t="array" ref="W61">IF(A61="","", IF(COUNTIF(Referentie!$L$2:$L$21,A61)&lt;=1, "", IFERROR(INDEX(Referentie!$M$2:$M$21, MATCH(1,(Referentie!$L$2:$L$21=A61)*(Referentie!$N$2:$N$21=S61),0)), IF(S61="Bench","", "Geen match gevonden"))) )</f>
        <v/>
      </c>
    </row>
    <row r="62" spans="1:23" ht="15" customHeight="1">
      <c r="A62" s="2"/>
      <c r="B62" s="2"/>
      <c r="C62" s="2"/>
      <c r="D62" s="4" t="str">
        <f>IF(C62="","",VLOOKUP(C62,Referentie!$A$2:$B$19,2,0))</f>
        <v/>
      </c>
      <c r="E62" s="7"/>
      <c r="F62" s="4"/>
      <c r="G62" s="4"/>
      <c r="H62" s="4"/>
      <c r="I62" s="4"/>
      <c r="J62" s="4"/>
      <c r="K62" s="4"/>
      <c r="L62" s="4"/>
      <c r="M62" s="4"/>
      <c r="N62" s="4" t="str">
        <f>IF(M62="","",VLOOKUP(M62,Referentie!$G$2:$I$26,2,0))</f>
        <v/>
      </c>
      <c r="O62" s="4" t="str">
        <f>IF(M62="","",VLOOKUP(M62,Referentie!$G$2:$I$26,3,0))</f>
        <v/>
      </c>
      <c r="P62" s="4" t="str">
        <f t="shared" si="19"/>
        <v/>
      </c>
      <c r="Q62" s="4" t="str">
        <f t="shared" si="20"/>
        <v/>
      </c>
      <c r="R62" s="4" t="str">
        <f t="shared" si="21"/>
        <v/>
      </c>
      <c r="S62" s="4" t="str">
        <f t="shared" si="22"/>
        <v/>
      </c>
      <c r="T62" s="4" t="str">
        <f t="shared" si="0"/>
        <v/>
      </c>
      <c r="U62" s="4" t="str">
        <f t="shared" si="23"/>
        <v/>
      </c>
      <c r="V62" s="4" t="str">
        <f t="shared" si="1"/>
        <v/>
      </c>
      <c r="W62" s="69" t="str" cm="1">
        <f t="array" ref="W62">IF(A62="","", IF(COUNTIF(Referentie!$L$2:$L$21,A62)&lt;=1, "", IFERROR(INDEX(Referentie!$M$2:$M$21, MATCH(1,(Referentie!$L$2:$L$21=A62)*(Referentie!$N$2:$N$21=S62),0)), IF(S62="Bench","", "Geen match gevonden"))) )</f>
        <v/>
      </c>
    </row>
    <row r="63" spans="1:23" ht="15" customHeight="1">
      <c r="A63" s="2"/>
      <c r="B63" s="2"/>
      <c r="C63" s="2"/>
      <c r="D63" s="4" t="str">
        <f>IF(C63="","",VLOOKUP(C63,Referentie!$A$2:$B$19,2,0))</f>
        <v/>
      </c>
      <c r="E63" s="7"/>
      <c r="F63" s="4"/>
      <c r="G63" s="4"/>
      <c r="H63" s="4"/>
      <c r="I63" s="4"/>
      <c r="J63" s="4"/>
      <c r="K63" s="4"/>
      <c r="L63" s="4"/>
      <c r="M63" s="4"/>
      <c r="N63" s="4" t="str">
        <f>IF(M63="","",VLOOKUP(M63,Referentie!$G$2:$I$26,2,0))</f>
        <v/>
      </c>
      <c r="O63" s="4" t="str">
        <f>IF(M63="","",VLOOKUP(M63,Referentie!$G$2:$I$26,3,0))</f>
        <v/>
      </c>
      <c r="P63" s="4" t="str">
        <f t="shared" si="19"/>
        <v/>
      </c>
      <c r="Q63" s="4" t="str">
        <f t="shared" si="20"/>
        <v/>
      </c>
      <c r="R63" s="4" t="str">
        <f t="shared" si="21"/>
        <v/>
      </c>
      <c r="S63" s="4" t="str">
        <f t="shared" si="22"/>
        <v/>
      </c>
      <c r="T63" s="4" t="str">
        <f t="shared" si="0"/>
        <v/>
      </c>
      <c r="U63" s="4" t="str">
        <f t="shared" si="23"/>
        <v/>
      </c>
      <c r="V63" s="4" t="str">
        <f t="shared" si="1"/>
        <v/>
      </c>
      <c r="W63" s="69" t="str" cm="1">
        <f t="array" ref="W63">IF(A63="","", IF(COUNTIF(Referentie!$L$2:$L$21,A63)&lt;=1, "", IFERROR(INDEX(Referentie!$M$2:$M$21, MATCH(1,(Referentie!$L$2:$L$21=A63)*(Referentie!$N$2:$N$21=S63),0)), IF(S63="Bench","", "Geen match gevonden"))) )</f>
        <v/>
      </c>
    </row>
    <row r="64" spans="1:23" ht="15" customHeight="1">
      <c r="A64" s="2"/>
      <c r="B64" s="2"/>
      <c r="C64" s="2"/>
      <c r="D64" s="4" t="str">
        <f>IF(C64="","",VLOOKUP(C64,Referentie!$A$2:$B$19,2,0))</f>
        <v/>
      </c>
      <c r="E64" s="7"/>
      <c r="F64" s="4"/>
      <c r="G64" s="4"/>
      <c r="H64" s="4"/>
      <c r="I64" s="4"/>
      <c r="J64" s="4"/>
      <c r="K64" s="4"/>
      <c r="L64" s="4"/>
      <c r="M64" s="4"/>
      <c r="N64" s="4" t="str">
        <f>IF(M64="","",VLOOKUP(M64,Referentie!$G$2:$I$26,2,0))</f>
        <v/>
      </c>
      <c r="O64" s="4" t="str">
        <f>IF(M64="","",VLOOKUP(M64,Referentie!$G$2:$I$26,3,0))</f>
        <v/>
      </c>
      <c r="P64" s="4" t="str">
        <f t="shared" si="19"/>
        <v/>
      </c>
      <c r="Q64" s="4" t="str">
        <f t="shared" si="20"/>
        <v/>
      </c>
      <c r="R64" s="4" t="str">
        <f t="shared" si="21"/>
        <v/>
      </c>
      <c r="S64" s="4" t="str">
        <f t="shared" si="22"/>
        <v/>
      </c>
      <c r="T64" s="4" t="str">
        <f t="shared" si="0"/>
        <v/>
      </c>
      <c r="U64" s="4" t="str">
        <f t="shared" si="23"/>
        <v/>
      </c>
      <c r="V64" s="4" t="str">
        <f t="shared" si="1"/>
        <v/>
      </c>
      <c r="W64" s="69" t="str" cm="1">
        <f t="array" ref="W64">IF(A64="","", IF(COUNTIF(Referentie!$L$2:$L$21,A64)&lt;=1, "", IFERROR(INDEX(Referentie!$M$2:$M$21, MATCH(1,(Referentie!$L$2:$L$21=A64)*(Referentie!$N$2:$N$21=S64),0)), IF(S64="Bench","", "Geen match gevonden"))) )</f>
        <v/>
      </c>
    </row>
    <row r="65" spans="1:23" ht="15" customHeight="1">
      <c r="A65" s="2"/>
      <c r="B65" s="2"/>
      <c r="C65" s="2"/>
      <c r="D65" s="4" t="str">
        <f>IF(C65="","",VLOOKUP(C65,Referentie!$A$2:$B$19,2,0))</f>
        <v/>
      </c>
      <c r="E65" s="7"/>
      <c r="F65" s="4"/>
      <c r="G65" s="4"/>
      <c r="H65" s="4"/>
      <c r="I65" s="4"/>
      <c r="J65" s="4"/>
      <c r="K65" s="4"/>
      <c r="L65" s="4"/>
      <c r="M65" s="4"/>
      <c r="N65" s="4" t="str">
        <f>IF(M65="","",VLOOKUP(M65,Referentie!$G$2:$I$26,2,0))</f>
        <v/>
      </c>
      <c r="O65" s="4" t="str">
        <f>IF(M65="","",VLOOKUP(M65,Referentie!$G$2:$I$26,3,0))</f>
        <v/>
      </c>
      <c r="P65" s="4" t="str">
        <f t="shared" si="19"/>
        <v/>
      </c>
      <c r="Q65" s="4" t="str">
        <f t="shared" si="20"/>
        <v/>
      </c>
      <c r="R65" s="4" t="str">
        <f t="shared" si="21"/>
        <v/>
      </c>
      <c r="S65" s="4" t="str">
        <f t="shared" si="22"/>
        <v/>
      </c>
      <c r="T65" s="4" t="str">
        <f t="shared" si="0"/>
        <v/>
      </c>
      <c r="U65" s="4" t="str">
        <f t="shared" si="23"/>
        <v/>
      </c>
      <c r="V65" s="4" t="str">
        <f t="shared" si="1"/>
        <v/>
      </c>
      <c r="W65" s="69" t="str" cm="1">
        <f t="array" ref="W65">IF(A65="","", IF(COUNTIF(Referentie!$L$2:$L$21,A65)&lt;=1, "", IFERROR(INDEX(Referentie!$M$2:$M$21, MATCH(1,(Referentie!$L$2:$L$21=A65)*(Referentie!$N$2:$N$21=S65),0)), IF(S65="Bench","", "Geen match gevonden"))) )</f>
        <v/>
      </c>
    </row>
    <row r="66" spans="1:23" ht="15" customHeight="1">
      <c r="A66" s="2"/>
      <c r="B66" s="2"/>
      <c r="C66" s="2"/>
      <c r="D66" s="4" t="str">
        <f>IF(C66="","",VLOOKUP(C66,Referentie!$A$2:$B$19,2,0))</f>
        <v/>
      </c>
      <c r="E66" s="7"/>
      <c r="F66" s="4"/>
      <c r="G66" s="4"/>
      <c r="H66" s="4"/>
      <c r="I66" s="4"/>
      <c r="J66" s="4"/>
      <c r="K66" s="4"/>
      <c r="L66" s="4"/>
      <c r="M66" s="4"/>
      <c r="N66" s="4" t="str">
        <f>IF(M66="","",VLOOKUP(M66,Referentie!$G$2:$I$26,2,0))</f>
        <v/>
      </c>
      <c r="O66" s="4" t="str">
        <f>IF(M66="","",VLOOKUP(M66,Referentie!$G$2:$I$26,3,0))</f>
        <v/>
      </c>
      <c r="P66" s="4" t="str">
        <f>IF(A66="","",  (IF(N66="Speed of Help",2,0)) + (IF(O66="Speed of Help",-2,0)) + (IF(N66="EXP Gains",1,0)) + (IF(O66="EXP Gains",-1,0)) +  (COUNTIF(H66:L66,"Helping Speed S")*1) + (COUNTIF(H66:L66,"Helping Speed M")*2) + (COUNTIF(H66:L66,"Berry Finding S")*2) + (COUNTIF(H66:L66,"Helping Bonus")*1) +  (IF(O66="Ingredient Finding",0,0)) + (IF(O66="Main Skill Chance",0,0))  )</f>
        <v/>
      </c>
      <c r="Q66" s="4" t="str">
        <f>IF(A66="","",  (IF(N66="Ingredient Finding",2,0)) + (IF(O66="Ingredient Finding",-2,0)) + (IF(N66="EXP Gains",1,0)) + (IF(O66="EXP Gains",-1,0)) +  (COUNTIF(H66:L66,"Ingredient Finder S")*1) + (COUNTIF(H66:L66,"Ingredient Finder M")*2) + (COUNTIF(H66:L66,"Inventory Up S")*0.5) + (COUNTIF(H66:L66,"Inventory Up M")*1) + (COUNTIF(H66:L66,"Inventory Up L")*1.5) +  (IF(E66=F66,1,0)) + (IF(F66=G66,1,0))  )</f>
        <v/>
      </c>
      <c r="R66" s="4" t="str">
        <f>IF(A66="","",  (IF(N66="Main Skill Chance",2,0)) + (IF(O66="Main Skill Chance",-2,0)) + (IF(N66="EXP Gains",1,0)) + (IF(O66="EXP Gains",-1,0)) +  (COUNTIF(H66:L66,"Skill Trigger S")*1) + (COUNTIF(H66:L66,"Skill Trigger M")*2) + (COUNTIF(H66:L66,"Skill Level Up S")*1) + (COUNTIF(H66:L66,"Skill Level Up M")*2) + (COUNTIF(H66:L66,"Energy Recovery Bonus")*1.5) + (COUNTIF(H66:L66,"Sleep EXP Bonus")*1) + (COUNTIF(H66:L66,"Research EXP Bonus")*1)  )</f>
        <v/>
      </c>
      <c r="S66" s="4" t="str">
        <f>IF(A66="","",  IF(AND(P66&lt;=1, Q66&lt;=1, R66&lt;=1), "Bench",  IF(AND(P66&gt;=Q66, P66&gt;=R66), "Berry",  IF(AND(Q66&gt;=P66, Q66&gt;=R66), "Ingredient",  "Skill")))  )</f>
        <v/>
      </c>
      <c r="T66" s="4" t="str">
        <f t="shared" ref="T66:T129" si="24">IF(A66="","", MAX(P66,Q66,R66) + IF(OR(N66="Speed of Help",N66="Ingredient Finding",N66="Main Skill Chance"),1,0) + IF(N66="Neutral",0, IF(O66="Neutral",0.5,0)) + IF(B66&gt;=10,0.5,0) + IF(AND(W66&lt;&gt;"",W66&lt;&gt;"Geen match gevonden"),1.5,0) )</f>
        <v/>
      </c>
      <c r="U66" s="4" t="str">
        <f>IF(A66="","", IF(T66&gt;=7, "⭐ Keep", IF(T66&gt;=5, "📈 Level Up", IF(T66&gt;=3, "🤔 Bench", "❌ Transfer")))  )</f>
        <v/>
      </c>
      <c r="V66" s="4" t="str">
        <f t="shared" ref="V66:V129" si="25">IF(A66="","", _xlfn.TEXTJOIN("; ",TRUE, IF(A66="Pikachu","Evolve naar Raichu = snelste berry helper!",""), IF(A66="Pichu","Evolve → Pikachu → Raichu (top berry)",""), IF(A66="Eevee","Sylveon (skill) of Jolteon (berry) = top evoluties",""), IF(A66="Igglybuff","Evolve → Wigglytuff = Energy for Everyone S (top skill!)",""), IF(A66="Squirtle","Kanto starter: 2x ingrediënten + Ingredient Magnet S",""), IF(A66="Charmander","Evolve → Charizard = snelle berry+ingredient verzamelaar",""), IF(A66="Bulbasaur","Kanto starter: 2x ingrediënten + Ingredient Magnet S",""), IF(A66="Growlithe","Evolve → Arcanine = sterke all-rounder",""), IF(A66="Mareep","Evolve → Ampharos = hoge frequentie + waardevolle ingrediënten",""), IF(A66="Spheal","Evolve → Walrein = key voor Snowdrop Tundra (berry+ingr)",""), IF(A66="Riolu","Evolve → Lucario = sterke fighter",""), IF(A66="Togepi","Let op: Togekiss Metronome is onbetrouwbaar",""), IF(A66="Totodile","Evolve → Feraligatr = top berry voor Cyan Beach",""), IF(A66="Magnemite","Evolve → Magnezone = sterke skill helper",""), IF(A66="Ivysaur","Evolve → Venusaur = 2x ingrediënten specialist",""), IF(OR(N66="Neutral",O66="Neutral"),"Neutrale nature = ok maar niet ideaal",""), IF(AND(N66="Speed of Help",OR(S66="Berry",S66="Ingredient")),"Perfecte nature voor "&amp;S66&amp;" team!",""), IF(AND(N66="Ingredient Finding",S66="Ingredient"),"Perfecte nature voor Ingredient team!",""), IF(AND(N66="Main Skill Chance",S66="Skill"),"Perfecte nature voor Skill team!",""), IF(AND(O66="Speed of Help",S66="Berry"),"Let op: Speed of Help NEGATIEF schaadt berry-prestatie",""), IF(AND(O66="Ingredient Finding",S66="Ingredient"),"Let op: Ingredient Finding NEGATIEF schaadt ingredient-prestatie","") ))</f>
        <v/>
      </c>
      <c r="W66" s="69" t="str" cm="1">
        <f t="array" ref="W66">IF(A66="","", IF(COUNTIF(Referentie!$L$2:$L$21,A66)&lt;=1, "", IFERROR(INDEX(Referentie!$M$2:$M$21, MATCH(1,(Referentie!$L$2:$L$21=A66)*(Referentie!$N$2:$N$21=S66),0)), IF(S66="Bench","", "Geen match gevonden"))) )</f>
        <v/>
      </c>
    </row>
    <row r="67" spans="1:23" ht="15" customHeight="1">
      <c r="A67" s="2"/>
      <c r="B67" s="2"/>
      <c r="C67" s="2"/>
      <c r="D67" s="4" t="str">
        <f>IF(C67="","",VLOOKUP(C67,Referentie!$A$2:$B$19,2,0))</f>
        <v/>
      </c>
      <c r="E67" s="7"/>
      <c r="F67" s="4"/>
      <c r="G67" s="4"/>
      <c r="H67" s="4"/>
      <c r="I67" s="4"/>
      <c r="J67" s="4"/>
      <c r="K67" s="4"/>
      <c r="L67" s="4"/>
      <c r="M67" s="4"/>
      <c r="N67" s="4" t="str">
        <f>IF(M67="","",VLOOKUP(M67,Referentie!$G$2:$I$26,2,0))</f>
        <v/>
      </c>
      <c r="O67" s="4" t="str">
        <f>IF(M67="","",VLOOKUP(M67,Referentie!$G$2:$I$26,3,0))</f>
        <v/>
      </c>
      <c r="P67" s="4" t="str">
        <f t="shared" ref="P67:P98" si="26">IF(A67="","", (IF(N67="Speed of Help",2,0)) + (IF(O67="Speed of Help",-2,0)) + (IF(N67="EXP Gains",1,0)) + (IF(O67="EXP Gains",-1,0)) + (COUNTIF(H67:L67,"Helping Speed S")*1) + (COUNTIF(H67:L67,"Helping Speed M")*2) + (COUNTIF(H67:L67,"Berry Finding S")*2) + (COUNTIF(H67:L67,"Helping Bonus")*1) + (IF(O67="Ingredient Finding",0,0)) + (IF(O67="Main Skill Chance",0,0)) )</f>
        <v/>
      </c>
      <c r="Q67" s="4" t="str">
        <f t="shared" ref="Q67:Q98" si="27">IF(A67="","", (IF(N67="Ingredient Finding",2,0)) + (IF(O67="Ingredient Finding",-2,0)) + (IF(N67="EXP Gains",1,0)) + (IF(O67="EXP Gains",-1,0)) + (COUNTIF(H67:L67,"Ingredient Finder S")*1) + (COUNTIF(H67:L67,"Ingredient Finder M")*2) + (COUNTIF(H67:L67,"Inventory Up S")*0.5) + (COUNTIF(H67:L67,"Inventory Up M")*1) + (COUNTIF(H67:L67,"Inventory Up L")*1.5) + (IF(E67=F67,1,0)) + (IF(F67=G67,1,0)) )</f>
        <v/>
      </c>
      <c r="R67" s="4" t="str">
        <f t="shared" ref="R67:R98" si="28">IF(A67="","", (IF(N67="Main Skill Chance",2,0)) + (IF(O67="Main Skill Chance",-2,0)) + (IF(N67="EXP Gains",1,0)) + (IF(O67="EXP Gains",-1,0)) + (COUNTIF(H67:L67,"Skill Trigger S")*1) + (COUNTIF(H67:L67,"Skill Trigger M")*2) + (COUNTIF(H67:L67,"Skill Level Up S")*1) + (COUNTIF(H67:L67,"Skill Level Up M")*2) + (COUNTIF(H67:L67,"Energy Recovery Bonus")*1.5) + (COUNTIF(H67:L67,"Sleep EXP Bonus")*1) + (COUNTIF(H67:L67,"Research EXP Bonus")*1) )</f>
        <v/>
      </c>
      <c r="S67" s="4" t="str">
        <f t="shared" ref="S67:S98" si="29">IF(A67="","", IF(AND(P67&lt;=1, Q67&lt;=1, R67&lt;=1), "Bench", IF(AND(P67&gt;=Q67, P67&gt;=R67), "Berry", IF(AND(Q67&gt;=P67, Q67&gt;=R67), "Ingredient", "Skill"))) )</f>
        <v/>
      </c>
      <c r="T67" s="4" t="str">
        <f t="shared" si="24"/>
        <v/>
      </c>
      <c r="U67" s="4" t="str">
        <f t="shared" ref="U67:U98" si="30">IF(A67="","", IF(T67&gt;=7, "⭐ Keep", IF(T67&gt;=5, "📈 Level Up", IF(T67&gt;=3, "🤔 Bench", "❌ Transfer"))) )</f>
        <v/>
      </c>
      <c r="V67" s="4" t="str">
        <f t="shared" si="25"/>
        <v/>
      </c>
      <c r="W67" s="69" t="str" cm="1">
        <f t="array" ref="W67">IF(A67="","", IF(COUNTIF(Referentie!$L$2:$L$21,A67)&lt;=1, "", IFERROR(INDEX(Referentie!$M$2:$M$21, MATCH(1,(Referentie!$L$2:$L$21=A67)*(Referentie!$N$2:$N$21=S67),0)), IF(S67="Bench","", "Geen match gevonden"))) )</f>
        <v/>
      </c>
    </row>
    <row r="68" spans="1:23" ht="15" customHeight="1">
      <c r="A68" s="2"/>
      <c r="B68" s="2"/>
      <c r="C68" s="2"/>
      <c r="D68" s="4" t="str">
        <f>IF(C68="","",VLOOKUP(C68,Referentie!$A$2:$B$19,2,0))</f>
        <v/>
      </c>
      <c r="E68" s="7"/>
      <c r="F68" s="4"/>
      <c r="G68" s="4"/>
      <c r="H68" s="4"/>
      <c r="I68" s="4"/>
      <c r="J68" s="4"/>
      <c r="K68" s="4"/>
      <c r="L68" s="4"/>
      <c r="M68" s="4"/>
      <c r="N68" s="4" t="str">
        <f>IF(M68="","",VLOOKUP(M68,Referentie!$G$2:$I$26,2,0))</f>
        <v/>
      </c>
      <c r="O68" s="4" t="str">
        <f>IF(M68="","",VLOOKUP(M68,Referentie!$G$2:$I$26,3,0))</f>
        <v/>
      </c>
      <c r="P68" s="4" t="str">
        <f t="shared" si="26"/>
        <v/>
      </c>
      <c r="Q68" s="4" t="str">
        <f t="shared" si="27"/>
        <v/>
      </c>
      <c r="R68" s="4" t="str">
        <f t="shared" si="28"/>
        <v/>
      </c>
      <c r="S68" s="4" t="str">
        <f t="shared" si="29"/>
        <v/>
      </c>
      <c r="T68" s="4" t="str">
        <f t="shared" si="24"/>
        <v/>
      </c>
      <c r="U68" s="4" t="str">
        <f t="shared" si="30"/>
        <v/>
      </c>
      <c r="V68" s="4" t="str">
        <f t="shared" si="25"/>
        <v/>
      </c>
      <c r="W68" s="69" t="str" cm="1">
        <f t="array" ref="W68">IF(A68="","", IF(COUNTIF(Referentie!$L$2:$L$21,A68)&lt;=1, "", IFERROR(INDEX(Referentie!$M$2:$M$21, MATCH(1,(Referentie!$L$2:$L$21=A68)*(Referentie!$N$2:$N$21=S68),0)), IF(S68="Bench","", "Geen match gevonden"))) )</f>
        <v/>
      </c>
    </row>
    <row r="69" spans="1:23" ht="15" customHeight="1">
      <c r="A69" s="2"/>
      <c r="B69" s="2"/>
      <c r="C69" s="2"/>
      <c r="D69" s="4" t="str">
        <f>IF(C69="","",VLOOKUP(C69,Referentie!$A$2:$B$19,2,0))</f>
        <v/>
      </c>
      <c r="E69" s="7"/>
      <c r="F69" s="4"/>
      <c r="G69" s="4"/>
      <c r="H69" s="4"/>
      <c r="I69" s="4"/>
      <c r="J69" s="4"/>
      <c r="K69" s="4"/>
      <c r="L69" s="4"/>
      <c r="M69" s="4"/>
      <c r="N69" s="4" t="str">
        <f>IF(M69="","",VLOOKUP(M69,Referentie!$G$2:$I$26,2,0))</f>
        <v/>
      </c>
      <c r="O69" s="4" t="str">
        <f>IF(M69="","",VLOOKUP(M69,Referentie!$G$2:$I$26,3,0))</f>
        <v/>
      </c>
      <c r="P69" s="4" t="str">
        <f t="shared" si="26"/>
        <v/>
      </c>
      <c r="Q69" s="4" t="str">
        <f t="shared" si="27"/>
        <v/>
      </c>
      <c r="R69" s="4" t="str">
        <f t="shared" si="28"/>
        <v/>
      </c>
      <c r="S69" s="4" t="str">
        <f t="shared" si="29"/>
        <v/>
      </c>
      <c r="T69" s="4" t="str">
        <f t="shared" si="24"/>
        <v/>
      </c>
      <c r="U69" s="4" t="str">
        <f t="shared" si="30"/>
        <v/>
      </c>
      <c r="V69" s="4" t="str">
        <f t="shared" si="25"/>
        <v/>
      </c>
      <c r="W69" s="69" t="str" cm="1">
        <f t="array" ref="W69">IF(A69="","", IF(COUNTIF(Referentie!$L$2:$L$21,A69)&lt;=1, "", IFERROR(INDEX(Referentie!$M$2:$M$21, MATCH(1,(Referentie!$L$2:$L$21=A69)*(Referentie!$N$2:$N$21=S69),0)), IF(S69="Bench","", "Geen match gevonden"))) )</f>
        <v/>
      </c>
    </row>
    <row r="70" spans="1:23" ht="15" customHeight="1">
      <c r="A70" s="2"/>
      <c r="B70" s="2"/>
      <c r="C70" s="2"/>
      <c r="D70" s="4" t="str">
        <f>IF(C70="","",VLOOKUP(C70,Referentie!$A$2:$B$19,2,0))</f>
        <v/>
      </c>
      <c r="E70" s="7"/>
      <c r="F70" s="4"/>
      <c r="G70" s="4"/>
      <c r="H70" s="4"/>
      <c r="I70" s="4"/>
      <c r="J70" s="4"/>
      <c r="K70" s="4"/>
      <c r="L70" s="4"/>
      <c r="M70" s="4"/>
      <c r="N70" s="4" t="str">
        <f>IF(M70="","",VLOOKUP(M70,Referentie!$G$2:$I$26,2,0))</f>
        <v/>
      </c>
      <c r="O70" s="4" t="str">
        <f>IF(M70="","",VLOOKUP(M70,Referentie!$G$2:$I$26,3,0))</f>
        <v/>
      </c>
      <c r="P70" s="4" t="str">
        <f t="shared" si="26"/>
        <v/>
      </c>
      <c r="Q70" s="4" t="str">
        <f t="shared" si="27"/>
        <v/>
      </c>
      <c r="R70" s="4" t="str">
        <f t="shared" si="28"/>
        <v/>
      </c>
      <c r="S70" s="4" t="str">
        <f t="shared" si="29"/>
        <v/>
      </c>
      <c r="T70" s="4" t="str">
        <f t="shared" si="24"/>
        <v/>
      </c>
      <c r="U70" s="4" t="str">
        <f t="shared" si="30"/>
        <v/>
      </c>
      <c r="V70" s="4" t="str">
        <f t="shared" si="25"/>
        <v/>
      </c>
      <c r="W70" s="69" t="str" cm="1">
        <f t="array" ref="W70">IF(A70="","", IF(COUNTIF(Referentie!$L$2:$L$21,A70)&lt;=1, "", IFERROR(INDEX(Referentie!$M$2:$M$21, MATCH(1,(Referentie!$L$2:$L$21=A70)*(Referentie!$N$2:$N$21=S70),0)), IF(S70="Bench","", "Geen match gevonden"))) )</f>
        <v/>
      </c>
    </row>
    <row r="71" spans="1:23" ht="15" customHeight="1">
      <c r="A71" s="2"/>
      <c r="B71" s="2"/>
      <c r="C71" s="2"/>
      <c r="D71" s="4" t="str">
        <f>IF(C71="","",VLOOKUP(C71,Referentie!$A$2:$B$19,2,0))</f>
        <v/>
      </c>
      <c r="E71" s="7"/>
      <c r="F71" s="4"/>
      <c r="G71" s="4"/>
      <c r="H71" s="4"/>
      <c r="I71" s="4"/>
      <c r="J71" s="4"/>
      <c r="K71" s="4"/>
      <c r="L71" s="4"/>
      <c r="M71" s="4"/>
      <c r="N71" s="4" t="str">
        <f>IF(M71="","",VLOOKUP(M71,Referentie!$G$2:$I$26,2,0))</f>
        <v/>
      </c>
      <c r="O71" s="4" t="str">
        <f>IF(M71="","",VLOOKUP(M71,Referentie!$G$2:$I$26,3,0))</f>
        <v/>
      </c>
      <c r="P71" s="4" t="str">
        <f t="shared" si="26"/>
        <v/>
      </c>
      <c r="Q71" s="4" t="str">
        <f t="shared" si="27"/>
        <v/>
      </c>
      <c r="R71" s="4" t="str">
        <f t="shared" si="28"/>
        <v/>
      </c>
      <c r="S71" s="4" t="str">
        <f t="shared" si="29"/>
        <v/>
      </c>
      <c r="T71" s="4" t="str">
        <f t="shared" si="24"/>
        <v/>
      </c>
      <c r="U71" s="4" t="str">
        <f t="shared" si="30"/>
        <v/>
      </c>
      <c r="V71" s="4" t="str">
        <f t="shared" si="25"/>
        <v/>
      </c>
      <c r="W71" s="69" t="str" cm="1">
        <f t="array" ref="W71">IF(A71="","", IF(COUNTIF(Referentie!$L$2:$L$21,A71)&lt;=1, "", IFERROR(INDEX(Referentie!$M$2:$M$21, MATCH(1,(Referentie!$L$2:$L$21=A71)*(Referentie!$N$2:$N$21=S71),0)), IF(S71="Bench","", "Geen match gevonden"))) )</f>
        <v/>
      </c>
    </row>
    <row r="72" spans="1:23" ht="15" customHeight="1">
      <c r="A72" s="2"/>
      <c r="B72" s="2"/>
      <c r="C72" s="2"/>
      <c r="D72" s="4" t="str">
        <f>IF(C72="","",VLOOKUP(C72,Referentie!$A$2:$B$19,2,0))</f>
        <v/>
      </c>
      <c r="E72" s="7"/>
      <c r="F72" s="4"/>
      <c r="G72" s="4"/>
      <c r="H72" s="4"/>
      <c r="I72" s="4"/>
      <c r="J72" s="4"/>
      <c r="K72" s="4"/>
      <c r="L72" s="4"/>
      <c r="M72" s="4"/>
      <c r="N72" s="4" t="str">
        <f>IF(M72="","",VLOOKUP(M72,Referentie!$G$2:$I$26,2,0))</f>
        <v/>
      </c>
      <c r="O72" s="4" t="str">
        <f>IF(M72="","",VLOOKUP(M72,Referentie!$G$2:$I$26,3,0))</f>
        <v/>
      </c>
      <c r="P72" s="4" t="str">
        <f t="shared" si="26"/>
        <v/>
      </c>
      <c r="Q72" s="4" t="str">
        <f t="shared" si="27"/>
        <v/>
      </c>
      <c r="R72" s="4" t="str">
        <f t="shared" si="28"/>
        <v/>
      </c>
      <c r="S72" s="4" t="str">
        <f t="shared" si="29"/>
        <v/>
      </c>
      <c r="T72" s="4" t="str">
        <f t="shared" si="24"/>
        <v/>
      </c>
      <c r="U72" s="4" t="str">
        <f t="shared" si="30"/>
        <v/>
      </c>
      <c r="V72" s="4" t="str">
        <f t="shared" si="25"/>
        <v/>
      </c>
      <c r="W72" s="69" t="str" cm="1">
        <f t="array" ref="W72">IF(A72="","", IF(COUNTIF(Referentie!$L$2:$L$21,A72)&lt;=1, "", IFERROR(INDEX(Referentie!$M$2:$M$21, MATCH(1,(Referentie!$L$2:$L$21=A72)*(Referentie!$N$2:$N$21=S72),0)), IF(S72="Bench","", "Geen match gevonden"))) )</f>
        <v/>
      </c>
    </row>
    <row r="73" spans="1:23" ht="15" customHeight="1">
      <c r="A73" s="2"/>
      <c r="B73" s="2"/>
      <c r="C73" s="2"/>
      <c r="D73" s="4" t="str">
        <f>IF(C73="","",VLOOKUP(C73,Referentie!$A$2:$B$19,2,0))</f>
        <v/>
      </c>
      <c r="E73" s="7"/>
      <c r="F73" s="4"/>
      <c r="G73" s="4"/>
      <c r="H73" s="4"/>
      <c r="I73" s="4"/>
      <c r="J73" s="4"/>
      <c r="K73" s="4"/>
      <c r="L73" s="4"/>
      <c r="M73" s="4"/>
      <c r="N73" s="4" t="str">
        <f>IF(M73="","",VLOOKUP(M73,Referentie!$G$2:$I$26,2,0))</f>
        <v/>
      </c>
      <c r="O73" s="4" t="str">
        <f>IF(M73="","",VLOOKUP(M73,Referentie!$G$2:$I$26,3,0))</f>
        <v/>
      </c>
      <c r="P73" s="4" t="str">
        <f t="shared" si="26"/>
        <v/>
      </c>
      <c r="Q73" s="4" t="str">
        <f t="shared" si="27"/>
        <v/>
      </c>
      <c r="R73" s="4" t="str">
        <f t="shared" si="28"/>
        <v/>
      </c>
      <c r="S73" s="4" t="str">
        <f t="shared" si="29"/>
        <v/>
      </c>
      <c r="T73" s="4" t="str">
        <f t="shared" si="24"/>
        <v/>
      </c>
      <c r="U73" s="4" t="str">
        <f t="shared" si="30"/>
        <v/>
      </c>
      <c r="V73" s="4" t="str">
        <f t="shared" si="25"/>
        <v/>
      </c>
      <c r="W73" s="69" t="str" cm="1">
        <f t="array" ref="W73">IF(A73="","", IF(COUNTIF(Referentie!$L$2:$L$21,A73)&lt;=1, "", IFERROR(INDEX(Referentie!$M$2:$M$21, MATCH(1,(Referentie!$L$2:$L$21=A73)*(Referentie!$N$2:$N$21=S73),0)), IF(S73="Bench","", "Geen match gevonden"))) )</f>
        <v/>
      </c>
    </row>
    <row r="74" spans="1:23" ht="15" customHeight="1">
      <c r="A74" s="2"/>
      <c r="B74" s="2"/>
      <c r="C74" s="2"/>
      <c r="D74" s="4" t="str">
        <f>IF(C74="","",VLOOKUP(C74,Referentie!$A$2:$B$19,2,0))</f>
        <v/>
      </c>
      <c r="E74" s="7"/>
      <c r="F74" s="4"/>
      <c r="G74" s="4"/>
      <c r="H74" s="4"/>
      <c r="I74" s="4"/>
      <c r="J74" s="4"/>
      <c r="K74" s="4"/>
      <c r="L74" s="4"/>
      <c r="M74" s="4"/>
      <c r="N74" s="4" t="str">
        <f>IF(M74="","",VLOOKUP(M74,Referentie!$G$2:$I$26,2,0))</f>
        <v/>
      </c>
      <c r="O74" s="4" t="str">
        <f>IF(M74="","",VLOOKUP(M74,Referentie!$G$2:$I$26,3,0))</f>
        <v/>
      </c>
      <c r="P74" s="4" t="str">
        <f t="shared" si="26"/>
        <v/>
      </c>
      <c r="Q74" s="4" t="str">
        <f t="shared" si="27"/>
        <v/>
      </c>
      <c r="R74" s="4" t="str">
        <f t="shared" si="28"/>
        <v/>
      </c>
      <c r="S74" s="4" t="str">
        <f t="shared" si="29"/>
        <v/>
      </c>
      <c r="T74" s="4" t="str">
        <f t="shared" si="24"/>
        <v/>
      </c>
      <c r="U74" s="4" t="str">
        <f t="shared" si="30"/>
        <v/>
      </c>
      <c r="V74" s="4" t="str">
        <f t="shared" si="25"/>
        <v/>
      </c>
      <c r="W74" s="69" t="str" cm="1">
        <f t="array" ref="W74">IF(A74="","", IF(COUNTIF(Referentie!$L$2:$L$21,A74)&lt;=1, "", IFERROR(INDEX(Referentie!$M$2:$M$21, MATCH(1,(Referentie!$L$2:$L$21=A74)*(Referentie!$N$2:$N$21=S74),0)), IF(S74="Bench","", "Geen match gevonden"))) )</f>
        <v/>
      </c>
    </row>
    <row r="75" spans="1:23" ht="15" customHeight="1">
      <c r="A75" s="2"/>
      <c r="B75" s="2"/>
      <c r="C75" s="2"/>
      <c r="D75" s="4" t="str">
        <f>IF(C75="","",VLOOKUP(C75,Referentie!$A$2:$B$19,2,0))</f>
        <v/>
      </c>
      <c r="E75" s="7"/>
      <c r="F75" s="4"/>
      <c r="G75" s="4"/>
      <c r="H75" s="4"/>
      <c r="I75" s="4"/>
      <c r="J75" s="4"/>
      <c r="K75" s="4"/>
      <c r="L75" s="4"/>
      <c r="M75" s="4"/>
      <c r="N75" s="4" t="str">
        <f>IF(M75="","",VLOOKUP(M75,Referentie!$G$2:$I$26,2,0))</f>
        <v/>
      </c>
      <c r="O75" s="4" t="str">
        <f>IF(M75="","",VLOOKUP(M75,Referentie!$G$2:$I$26,3,0))</f>
        <v/>
      </c>
      <c r="P75" s="4" t="str">
        <f t="shared" si="26"/>
        <v/>
      </c>
      <c r="Q75" s="4" t="str">
        <f t="shared" si="27"/>
        <v/>
      </c>
      <c r="R75" s="4" t="str">
        <f t="shared" si="28"/>
        <v/>
      </c>
      <c r="S75" s="4" t="str">
        <f t="shared" si="29"/>
        <v/>
      </c>
      <c r="T75" s="4" t="str">
        <f t="shared" si="24"/>
        <v/>
      </c>
      <c r="U75" s="4" t="str">
        <f t="shared" si="30"/>
        <v/>
      </c>
      <c r="V75" s="4" t="str">
        <f t="shared" si="25"/>
        <v/>
      </c>
      <c r="W75" s="69" t="str" cm="1">
        <f t="array" ref="W75">IF(A75="","", IF(COUNTIF(Referentie!$L$2:$L$21,A75)&lt;=1, "", IFERROR(INDEX(Referentie!$M$2:$M$21, MATCH(1,(Referentie!$L$2:$L$21=A75)*(Referentie!$N$2:$N$21=S75),0)), IF(S75="Bench","", "Geen match gevonden"))) )</f>
        <v/>
      </c>
    </row>
    <row r="76" spans="1:23" ht="15" customHeight="1">
      <c r="A76" s="2"/>
      <c r="B76" s="2"/>
      <c r="C76" s="2"/>
      <c r="D76" s="4" t="str">
        <f>IF(C76="","",VLOOKUP(C76,Referentie!$A$2:$B$19,2,0))</f>
        <v/>
      </c>
      <c r="E76" s="7"/>
      <c r="F76" s="4"/>
      <c r="G76" s="4"/>
      <c r="H76" s="4"/>
      <c r="I76" s="4"/>
      <c r="J76" s="4"/>
      <c r="K76" s="4"/>
      <c r="L76" s="4"/>
      <c r="M76" s="4"/>
      <c r="N76" s="4" t="str">
        <f>IF(M76="","",VLOOKUP(M76,Referentie!$G$2:$I$26,2,0))</f>
        <v/>
      </c>
      <c r="O76" s="4" t="str">
        <f>IF(M76="","",VLOOKUP(M76,Referentie!$G$2:$I$26,3,0))</f>
        <v/>
      </c>
      <c r="P76" s="4" t="str">
        <f t="shared" si="26"/>
        <v/>
      </c>
      <c r="Q76" s="4" t="str">
        <f t="shared" si="27"/>
        <v/>
      </c>
      <c r="R76" s="4" t="str">
        <f t="shared" si="28"/>
        <v/>
      </c>
      <c r="S76" s="4" t="str">
        <f t="shared" si="29"/>
        <v/>
      </c>
      <c r="T76" s="4" t="str">
        <f t="shared" si="24"/>
        <v/>
      </c>
      <c r="U76" s="4" t="str">
        <f t="shared" si="30"/>
        <v/>
      </c>
      <c r="V76" s="4" t="str">
        <f t="shared" si="25"/>
        <v/>
      </c>
      <c r="W76" s="69" t="str" cm="1">
        <f t="array" ref="W76">IF(A76="","", IF(COUNTIF(Referentie!$L$2:$L$21,A76)&lt;=1, "", IFERROR(INDEX(Referentie!$M$2:$M$21, MATCH(1,(Referentie!$L$2:$L$21=A76)*(Referentie!$N$2:$N$21=S76),0)), IF(S76="Bench","", "Geen match gevonden"))) )</f>
        <v/>
      </c>
    </row>
    <row r="77" spans="1:23" ht="15" customHeight="1">
      <c r="A77" s="2"/>
      <c r="B77" s="2"/>
      <c r="C77" s="2"/>
      <c r="D77" s="4" t="str">
        <f>IF(C77="","",VLOOKUP(C77,Referentie!$A$2:$B$19,2,0))</f>
        <v/>
      </c>
      <c r="E77" s="7"/>
      <c r="F77" s="4"/>
      <c r="G77" s="4"/>
      <c r="H77" s="4"/>
      <c r="I77" s="4"/>
      <c r="J77" s="4"/>
      <c r="K77" s="4"/>
      <c r="L77" s="4"/>
      <c r="M77" s="4"/>
      <c r="N77" s="4" t="str">
        <f>IF(M77="","",VLOOKUP(M77,Referentie!$G$2:$I$26,2,0))</f>
        <v/>
      </c>
      <c r="O77" s="4" t="str">
        <f>IF(M77="","",VLOOKUP(M77,Referentie!$G$2:$I$26,3,0))</f>
        <v/>
      </c>
      <c r="P77" s="4" t="str">
        <f t="shared" si="26"/>
        <v/>
      </c>
      <c r="Q77" s="4" t="str">
        <f t="shared" si="27"/>
        <v/>
      </c>
      <c r="R77" s="4" t="str">
        <f t="shared" si="28"/>
        <v/>
      </c>
      <c r="S77" s="4" t="str">
        <f t="shared" si="29"/>
        <v/>
      </c>
      <c r="T77" s="4" t="str">
        <f t="shared" si="24"/>
        <v/>
      </c>
      <c r="U77" s="4" t="str">
        <f t="shared" si="30"/>
        <v/>
      </c>
      <c r="V77" s="4" t="str">
        <f t="shared" si="25"/>
        <v/>
      </c>
      <c r="W77" s="69" t="str" cm="1">
        <f t="array" ref="W77">IF(A77="","", IF(COUNTIF(Referentie!$L$2:$L$21,A77)&lt;=1, "", IFERROR(INDEX(Referentie!$M$2:$M$21, MATCH(1,(Referentie!$L$2:$L$21=A77)*(Referentie!$N$2:$N$21=S77),0)), IF(S77="Bench","", "Geen match gevonden"))) )</f>
        <v/>
      </c>
    </row>
    <row r="78" spans="1:23" ht="15" customHeight="1">
      <c r="A78" s="2"/>
      <c r="B78" s="2"/>
      <c r="C78" s="2"/>
      <c r="D78" s="4" t="str">
        <f>IF(C78="","",VLOOKUP(C78,Referentie!$A$2:$B$19,2,0))</f>
        <v/>
      </c>
      <c r="E78" s="7"/>
      <c r="F78" s="4"/>
      <c r="G78" s="4"/>
      <c r="H78" s="4"/>
      <c r="I78" s="4"/>
      <c r="J78" s="4"/>
      <c r="K78" s="4"/>
      <c r="L78" s="4"/>
      <c r="M78" s="4"/>
      <c r="N78" s="4" t="str">
        <f>IF(M78="","",VLOOKUP(M78,Referentie!$G$2:$I$26,2,0))</f>
        <v/>
      </c>
      <c r="O78" s="4" t="str">
        <f>IF(M78="","",VLOOKUP(M78,Referentie!$G$2:$I$26,3,0))</f>
        <v/>
      </c>
      <c r="P78" s="4" t="str">
        <f t="shared" si="26"/>
        <v/>
      </c>
      <c r="Q78" s="4" t="str">
        <f t="shared" si="27"/>
        <v/>
      </c>
      <c r="R78" s="4" t="str">
        <f t="shared" si="28"/>
        <v/>
      </c>
      <c r="S78" s="4" t="str">
        <f t="shared" si="29"/>
        <v/>
      </c>
      <c r="T78" s="4" t="str">
        <f t="shared" si="24"/>
        <v/>
      </c>
      <c r="U78" s="4" t="str">
        <f t="shared" si="30"/>
        <v/>
      </c>
      <c r="V78" s="4" t="str">
        <f t="shared" si="25"/>
        <v/>
      </c>
      <c r="W78" s="69" t="str" cm="1">
        <f t="array" ref="W78">IF(A78="","", IF(COUNTIF(Referentie!$L$2:$L$21,A78)&lt;=1, "", IFERROR(INDEX(Referentie!$M$2:$M$21, MATCH(1,(Referentie!$L$2:$L$21=A78)*(Referentie!$N$2:$N$21=S78),0)), IF(S78="Bench","", "Geen match gevonden"))) )</f>
        <v/>
      </c>
    </row>
    <row r="79" spans="1:23" ht="15" customHeight="1">
      <c r="A79" s="2"/>
      <c r="B79" s="2"/>
      <c r="C79" s="2"/>
      <c r="D79" s="4" t="str">
        <f>IF(C79="","",VLOOKUP(C79,Referentie!$A$2:$B$19,2,0))</f>
        <v/>
      </c>
      <c r="E79" s="7"/>
      <c r="F79" s="4"/>
      <c r="G79" s="4"/>
      <c r="H79" s="4"/>
      <c r="I79" s="4"/>
      <c r="J79" s="4"/>
      <c r="K79" s="4"/>
      <c r="L79" s="4"/>
      <c r="M79" s="4"/>
      <c r="N79" s="4" t="str">
        <f>IF(M79="","",VLOOKUP(M79,Referentie!$G$2:$I$26,2,0))</f>
        <v/>
      </c>
      <c r="O79" s="4" t="str">
        <f>IF(M79="","",VLOOKUP(M79,Referentie!$G$2:$I$26,3,0))</f>
        <v/>
      </c>
      <c r="P79" s="4" t="str">
        <f t="shared" si="26"/>
        <v/>
      </c>
      <c r="Q79" s="4" t="str">
        <f t="shared" si="27"/>
        <v/>
      </c>
      <c r="R79" s="4" t="str">
        <f t="shared" si="28"/>
        <v/>
      </c>
      <c r="S79" s="4" t="str">
        <f t="shared" si="29"/>
        <v/>
      </c>
      <c r="T79" s="4" t="str">
        <f t="shared" si="24"/>
        <v/>
      </c>
      <c r="U79" s="4" t="str">
        <f t="shared" si="30"/>
        <v/>
      </c>
      <c r="V79" s="4" t="str">
        <f t="shared" si="25"/>
        <v/>
      </c>
      <c r="W79" s="69" t="str" cm="1">
        <f t="array" ref="W79">IF(A79="","", IF(COUNTIF(Referentie!$L$2:$L$21,A79)&lt;=1, "", IFERROR(INDEX(Referentie!$M$2:$M$21, MATCH(1,(Referentie!$L$2:$L$21=A79)*(Referentie!$N$2:$N$21=S79),0)), IF(S79="Bench","", "Geen match gevonden"))) )</f>
        <v/>
      </c>
    </row>
    <row r="80" spans="1:23" ht="15" customHeight="1">
      <c r="A80" s="2"/>
      <c r="B80" s="2"/>
      <c r="C80" s="2"/>
      <c r="D80" s="4" t="str">
        <f>IF(C80="","",VLOOKUP(C80,Referentie!$A$2:$B$19,2,0))</f>
        <v/>
      </c>
      <c r="E80" s="7"/>
      <c r="F80" s="4"/>
      <c r="G80" s="4"/>
      <c r="H80" s="4"/>
      <c r="I80" s="4"/>
      <c r="J80" s="4"/>
      <c r="K80" s="4"/>
      <c r="L80" s="4"/>
      <c r="M80" s="4"/>
      <c r="N80" s="4" t="str">
        <f>IF(M80="","",VLOOKUP(M80,Referentie!$G$2:$I$26,2,0))</f>
        <v/>
      </c>
      <c r="O80" s="4" t="str">
        <f>IF(M80="","",VLOOKUP(M80,Referentie!$G$2:$I$26,3,0))</f>
        <v/>
      </c>
      <c r="P80" s="4" t="str">
        <f t="shared" si="26"/>
        <v/>
      </c>
      <c r="Q80" s="4" t="str">
        <f t="shared" si="27"/>
        <v/>
      </c>
      <c r="R80" s="4" t="str">
        <f t="shared" si="28"/>
        <v/>
      </c>
      <c r="S80" s="4" t="str">
        <f t="shared" si="29"/>
        <v/>
      </c>
      <c r="T80" s="4" t="str">
        <f t="shared" si="24"/>
        <v/>
      </c>
      <c r="U80" s="4" t="str">
        <f t="shared" si="30"/>
        <v/>
      </c>
      <c r="V80" s="4" t="str">
        <f t="shared" si="25"/>
        <v/>
      </c>
      <c r="W80" s="69" t="str" cm="1">
        <f t="array" ref="W80">IF(A80="","", IF(COUNTIF(Referentie!$L$2:$L$21,A80)&lt;=1, "", IFERROR(INDEX(Referentie!$M$2:$M$21, MATCH(1,(Referentie!$L$2:$L$21=A80)*(Referentie!$N$2:$N$21=S80),0)), IF(S80="Bench","", "Geen match gevonden"))) )</f>
        <v/>
      </c>
    </row>
    <row r="81" spans="1:23" ht="15" customHeight="1">
      <c r="A81" s="2"/>
      <c r="B81" s="2"/>
      <c r="C81" s="2"/>
      <c r="D81" s="4" t="str">
        <f>IF(C81="","",VLOOKUP(C81,Referentie!$A$2:$B$19,2,0))</f>
        <v/>
      </c>
      <c r="E81" s="7"/>
      <c r="F81" s="4"/>
      <c r="G81" s="4"/>
      <c r="H81" s="4"/>
      <c r="I81" s="4"/>
      <c r="J81" s="4"/>
      <c r="K81" s="4"/>
      <c r="L81" s="4"/>
      <c r="M81" s="4"/>
      <c r="N81" s="4" t="str">
        <f>IF(M81="","",VLOOKUP(M81,Referentie!$G$2:$I$26,2,0))</f>
        <v/>
      </c>
      <c r="O81" s="4" t="str">
        <f>IF(M81="","",VLOOKUP(M81,Referentie!$G$2:$I$26,3,0))</f>
        <v/>
      </c>
      <c r="P81" s="4" t="str">
        <f t="shared" si="26"/>
        <v/>
      </c>
      <c r="Q81" s="4" t="str">
        <f t="shared" si="27"/>
        <v/>
      </c>
      <c r="R81" s="4" t="str">
        <f t="shared" si="28"/>
        <v/>
      </c>
      <c r="S81" s="4" t="str">
        <f t="shared" si="29"/>
        <v/>
      </c>
      <c r="T81" s="4" t="str">
        <f t="shared" si="24"/>
        <v/>
      </c>
      <c r="U81" s="4" t="str">
        <f t="shared" si="30"/>
        <v/>
      </c>
      <c r="V81" s="4" t="str">
        <f t="shared" si="25"/>
        <v/>
      </c>
      <c r="W81" s="69" t="str" cm="1">
        <f t="array" ref="W81">IF(A81="","", IF(COUNTIF(Referentie!$L$2:$L$21,A81)&lt;=1, "", IFERROR(INDEX(Referentie!$M$2:$M$21, MATCH(1,(Referentie!$L$2:$L$21=A81)*(Referentie!$N$2:$N$21=S81),0)), IF(S81="Bench","", "Geen match gevonden"))) )</f>
        <v/>
      </c>
    </row>
    <row r="82" spans="1:23" ht="15" customHeight="1">
      <c r="A82" s="2"/>
      <c r="B82" s="2"/>
      <c r="C82" s="2"/>
      <c r="D82" s="4" t="str">
        <f>IF(C82="","",VLOOKUP(C82,Referentie!$A$2:$B$19,2,0))</f>
        <v/>
      </c>
      <c r="E82" s="7"/>
      <c r="F82" s="4"/>
      <c r="G82" s="4"/>
      <c r="H82" s="4"/>
      <c r="I82" s="4"/>
      <c r="J82" s="4"/>
      <c r="K82" s="4"/>
      <c r="L82" s="4"/>
      <c r="M82" s="4"/>
      <c r="N82" s="4" t="str">
        <f>IF(M82="","",VLOOKUP(M82,Referentie!$G$2:$I$26,2,0))</f>
        <v/>
      </c>
      <c r="O82" s="4" t="str">
        <f>IF(M82="","",VLOOKUP(M82,Referentie!$G$2:$I$26,3,0))</f>
        <v/>
      </c>
      <c r="P82" s="4" t="str">
        <f t="shared" si="26"/>
        <v/>
      </c>
      <c r="Q82" s="4" t="str">
        <f t="shared" si="27"/>
        <v/>
      </c>
      <c r="R82" s="4" t="str">
        <f t="shared" si="28"/>
        <v/>
      </c>
      <c r="S82" s="4" t="str">
        <f t="shared" si="29"/>
        <v/>
      </c>
      <c r="T82" s="4" t="str">
        <f t="shared" si="24"/>
        <v/>
      </c>
      <c r="U82" s="4" t="str">
        <f t="shared" si="30"/>
        <v/>
      </c>
      <c r="V82" s="4" t="str">
        <f t="shared" si="25"/>
        <v/>
      </c>
      <c r="W82" s="69" t="str" cm="1">
        <f t="array" ref="W82">IF(A82="","", IF(COUNTIF(Referentie!$L$2:$L$21,A82)&lt;=1, "", IFERROR(INDEX(Referentie!$M$2:$M$21, MATCH(1,(Referentie!$L$2:$L$21=A82)*(Referentie!$N$2:$N$21=S82),0)), IF(S82="Bench","", "Geen match gevonden"))) )</f>
        <v/>
      </c>
    </row>
    <row r="83" spans="1:23" ht="15" customHeight="1">
      <c r="A83" s="2"/>
      <c r="B83" s="2"/>
      <c r="C83" s="2"/>
      <c r="D83" s="4" t="str">
        <f>IF(C83="","",VLOOKUP(C83,Referentie!$A$2:$B$19,2,0))</f>
        <v/>
      </c>
      <c r="E83" s="7"/>
      <c r="F83" s="4"/>
      <c r="G83" s="4"/>
      <c r="H83" s="4"/>
      <c r="I83" s="4"/>
      <c r="J83" s="4"/>
      <c r="K83" s="4"/>
      <c r="L83" s="4"/>
      <c r="M83" s="4"/>
      <c r="N83" s="4" t="str">
        <f>IF(M83="","",VLOOKUP(M83,Referentie!$G$2:$I$26,2,0))</f>
        <v/>
      </c>
      <c r="O83" s="4" t="str">
        <f>IF(M83="","",VLOOKUP(M83,Referentie!$G$2:$I$26,3,0))</f>
        <v/>
      </c>
      <c r="P83" s="4" t="str">
        <f t="shared" si="26"/>
        <v/>
      </c>
      <c r="Q83" s="4" t="str">
        <f t="shared" si="27"/>
        <v/>
      </c>
      <c r="R83" s="4" t="str">
        <f t="shared" si="28"/>
        <v/>
      </c>
      <c r="S83" s="4" t="str">
        <f t="shared" si="29"/>
        <v/>
      </c>
      <c r="T83" s="4" t="str">
        <f t="shared" si="24"/>
        <v/>
      </c>
      <c r="U83" s="4" t="str">
        <f t="shared" si="30"/>
        <v/>
      </c>
      <c r="V83" s="4" t="str">
        <f t="shared" si="25"/>
        <v/>
      </c>
      <c r="W83" s="69" t="str" cm="1">
        <f t="array" ref="W83">IF(A83="","", IF(COUNTIF(Referentie!$L$2:$L$21,A83)&lt;=1, "", IFERROR(INDEX(Referentie!$M$2:$M$21, MATCH(1,(Referentie!$L$2:$L$21=A83)*(Referentie!$N$2:$N$21=S83),0)), IF(S83="Bench","", "Geen match gevonden"))) )</f>
        <v/>
      </c>
    </row>
    <row r="84" spans="1:23" ht="15" customHeight="1">
      <c r="A84" s="2"/>
      <c r="B84" s="2"/>
      <c r="C84" s="2"/>
      <c r="D84" s="4" t="str">
        <f>IF(C84="","",VLOOKUP(C84,Referentie!$A$2:$B$19,2,0))</f>
        <v/>
      </c>
      <c r="E84" s="7"/>
      <c r="F84" s="4"/>
      <c r="G84" s="4"/>
      <c r="H84" s="4"/>
      <c r="I84" s="4"/>
      <c r="J84" s="4"/>
      <c r="K84" s="4"/>
      <c r="L84" s="4"/>
      <c r="M84" s="4"/>
      <c r="N84" s="4" t="str">
        <f>IF(M84="","",VLOOKUP(M84,Referentie!$G$2:$I$26,2,0))</f>
        <v/>
      </c>
      <c r="O84" s="4" t="str">
        <f>IF(M84="","",VLOOKUP(M84,Referentie!$G$2:$I$26,3,0))</f>
        <v/>
      </c>
      <c r="P84" s="4" t="str">
        <f t="shared" si="26"/>
        <v/>
      </c>
      <c r="Q84" s="4" t="str">
        <f t="shared" si="27"/>
        <v/>
      </c>
      <c r="R84" s="4" t="str">
        <f t="shared" si="28"/>
        <v/>
      </c>
      <c r="S84" s="4" t="str">
        <f t="shared" si="29"/>
        <v/>
      </c>
      <c r="T84" s="4" t="str">
        <f t="shared" si="24"/>
        <v/>
      </c>
      <c r="U84" s="4" t="str">
        <f t="shared" si="30"/>
        <v/>
      </c>
      <c r="V84" s="4" t="str">
        <f t="shared" si="25"/>
        <v/>
      </c>
      <c r="W84" s="69" t="str" cm="1">
        <f t="array" ref="W84">IF(A84="","", IF(COUNTIF(Referentie!$L$2:$L$21,A84)&lt;=1, "", IFERROR(INDEX(Referentie!$M$2:$M$21, MATCH(1,(Referentie!$L$2:$L$21=A84)*(Referentie!$N$2:$N$21=S84),0)), IF(S84="Bench","", "Geen match gevonden"))) )</f>
        <v/>
      </c>
    </row>
    <row r="85" spans="1:23" ht="15" customHeight="1">
      <c r="A85" s="2"/>
      <c r="B85" s="2"/>
      <c r="C85" s="2"/>
      <c r="D85" s="4" t="str">
        <f>IF(C85="","",VLOOKUP(C85,Referentie!$A$2:$B$19,2,0))</f>
        <v/>
      </c>
      <c r="E85" s="7"/>
      <c r="F85" s="4"/>
      <c r="G85" s="4"/>
      <c r="H85" s="4"/>
      <c r="I85" s="4"/>
      <c r="J85" s="4"/>
      <c r="K85" s="4"/>
      <c r="L85" s="4"/>
      <c r="M85" s="4"/>
      <c r="N85" s="4" t="str">
        <f>IF(M85="","",VLOOKUP(M85,Referentie!$G$2:$I$26,2,0))</f>
        <v/>
      </c>
      <c r="O85" s="4" t="str">
        <f>IF(M85="","",VLOOKUP(M85,Referentie!$G$2:$I$26,3,0))</f>
        <v/>
      </c>
      <c r="P85" s="4" t="str">
        <f t="shared" si="26"/>
        <v/>
      </c>
      <c r="Q85" s="4" t="str">
        <f t="shared" si="27"/>
        <v/>
      </c>
      <c r="R85" s="4" t="str">
        <f t="shared" si="28"/>
        <v/>
      </c>
      <c r="S85" s="4" t="str">
        <f t="shared" si="29"/>
        <v/>
      </c>
      <c r="T85" s="4" t="str">
        <f t="shared" si="24"/>
        <v/>
      </c>
      <c r="U85" s="4" t="str">
        <f t="shared" si="30"/>
        <v/>
      </c>
      <c r="V85" s="4" t="str">
        <f t="shared" si="25"/>
        <v/>
      </c>
      <c r="W85" s="69" t="str" cm="1">
        <f t="array" ref="W85">IF(A85="","", IF(COUNTIF(Referentie!$L$2:$L$21,A85)&lt;=1, "", IFERROR(INDEX(Referentie!$M$2:$M$21, MATCH(1,(Referentie!$L$2:$L$21=A85)*(Referentie!$N$2:$N$21=S85),0)), IF(S85="Bench","", "Geen match gevonden"))) )</f>
        <v/>
      </c>
    </row>
    <row r="86" spans="1:23" ht="15" customHeight="1">
      <c r="A86" s="2"/>
      <c r="B86" s="2"/>
      <c r="C86" s="2"/>
      <c r="D86" s="4" t="str">
        <f>IF(C86="","",VLOOKUP(C86,Referentie!$A$2:$B$19,2,0))</f>
        <v/>
      </c>
      <c r="E86" s="7"/>
      <c r="F86" s="4"/>
      <c r="G86" s="4"/>
      <c r="H86" s="4"/>
      <c r="I86" s="4"/>
      <c r="J86" s="4"/>
      <c r="K86" s="4"/>
      <c r="L86" s="4"/>
      <c r="M86" s="4"/>
      <c r="N86" s="4" t="str">
        <f>IF(M86="","",VLOOKUP(M86,Referentie!$G$2:$I$26,2,0))</f>
        <v/>
      </c>
      <c r="O86" s="4" t="str">
        <f>IF(M86="","",VLOOKUP(M86,Referentie!$G$2:$I$26,3,0))</f>
        <v/>
      </c>
      <c r="P86" s="4" t="str">
        <f t="shared" si="26"/>
        <v/>
      </c>
      <c r="Q86" s="4" t="str">
        <f t="shared" si="27"/>
        <v/>
      </c>
      <c r="R86" s="4" t="str">
        <f t="shared" si="28"/>
        <v/>
      </c>
      <c r="S86" s="4" t="str">
        <f t="shared" si="29"/>
        <v/>
      </c>
      <c r="T86" s="4" t="str">
        <f t="shared" si="24"/>
        <v/>
      </c>
      <c r="U86" s="4" t="str">
        <f t="shared" si="30"/>
        <v/>
      </c>
      <c r="V86" s="4" t="str">
        <f t="shared" si="25"/>
        <v/>
      </c>
      <c r="W86" s="69" t="str" cm="1">
        <f t="array" ref="W86">IF(A86="","", IF(COUNTIF(Referentie!$L$2:$L$21,A86)&lt;=1, "", IFERROR(INDEX(Referentie!$M$2:$M$21, MATCH(1,(Referentie!$L$2:$L$21=A86)*(Referentie!$N$2:$N$21=S86),0)), IF(S86="Bench","", "Geen match gevonden"))) )</f>
        <v/>
      </c>
    </row>
    <row r="87" spans="1:23" ht="15" customHeight="1">
      <c r="A87" s="2"/>
      <c r="B87" s="2"/>
      <c r="C87" s="2"/>
      <c r="D87" s="4" t="str">
        <f>IF(C87="","",VLOOKUP(C87,Referentie!$A$2:$B$19,2,0))</f>
        <v/>
      </c>
      <c r="E87" s="7"/>
      <c r="F87" s="4"/>
      <c r="G87" s="4"/>
      <c r="H87" s="4"/>
      <c r="I87" s="4"/>
      <c r="J87" s="4"/>
      <c r="K87" s="4"/>
      <c r="L87" s="4"/>
      <c r="M87" s="4"/>
      <c r="N87" s="4" t="str">
        <f>IF(M87="","",VLOOKUP(M87,Referentie!$G$2:$I$26,2,0))</f>
        <v/>
      </c>
      <c r="O87" s="4" t="str">
        <f>IF(M87="","",VLOOKUP(M87,Referentie!$G$2:$I$26,3,0))</f>
        <v/>
      </c>
      <c r="P87" s="4" t="str">
        <f t="shared" si="26"/>
        <v/>
      </c>
      <c r="Q87" s="4" t="str">
        <f t="shared" si="27"/>
        <v/>
      </c>
      <c r="R87" s="4" t="str">
        <f t="shared" si="28"/>
        <v/>
      </c>
      <c r="S87" s="4" t="str">
        <f t="shared" si="29"/>
        <v/>
      </c>
      <c r="T87" s="4" t="str">
        <f t="shared" si="24"/>
        <v/>
      </c>
      <c r="U87" s="4" t="str">
        <f t="shared" si="30"/>
        <v/>
      </c>
      <c r="V87" s="4" t="str">
        <f t="shared" si="25"/>
        <v/>
      </c>
      <c r="W87" s="69" t="str" cm="1">
        <f t="array" ref="W87">IF(A87="","", IF(COUNTIF(Referentie!$L$2:$L$21,A87)&lt;=1, "", IFERROR(INDEX(Referentie!$M$2:$M$21, MATCH(1,(Referentie!$L$2:$L$21=A87)*(Referentie!$N$2:$N$21=S87),0)), IF(S87="Bench","", "Geen match gevonden"))) )</f>
        <v/>
      </c>
    </row>
    <row r="88" spans="1:23" ht="15" customHeight="1">
      <c r="A88" s="2"/>
      <c r="B88" s="2"/>
      <c r="C88" s="2"/>
      <c r="D88" s="4" t="str">
        <f>IF(C88="","",VLOOKUP(C88,Referentie!$A$2:$B$19,2,0))</f>
        <v/>
      </c>
      <c r="E88" s="7"/>
      <c r="F88" s="4"/>
      <c r="G88" s="4"/>
      <c r="H88" s="4"/>
      <c r="I88" s="4"/>
      <c r="J88" s="4"/>
      <c r="K88" s="4"/>
      <c r="L88" s="4"/>
      <c r="M88" s="4"/>
      <c r="N88" s="4" t="str">
        <f>IF(M88="","",VLOOKUP(M88,Referentie!$G$2:$I$26,2,0))</f>
        <v/>
      </c>
      <c r="O88" s="4" t="str">
        <f>IF(M88="","",VLOOKUP(M88,Referentie!$G$2:$I$26,3,0))</f>
        <v/>
      </c>
      <c r="P88" s="4" t="str">
        <f t="shared" si="26"/>
        <v/>
      </c>
      <c r="Q88" s="4" t="str">
        <f t="shared" si="27"/>
        <v/>
      </c>
      <c r="R88" s="4" t="str">
        <f t="shared" si="28"/>
        <v/>
      </c>
      <c r="S88" s="4" t="str">
        <f t="shared" si="29"/>
        <v/>
      </c>
      <c r="T88" s="4" t="str">
        <f t="shared" si="24"/>
        <v/>
      </c>
      <c r="U88" s="4" t="str">
        <f t="shared" si="30"/>
        <v/>
      </c>
      <c r="V88" s="4" t="str">
        <f t="shared" si="25"/>
        <v/>
      </c>
      <c r="W88" s="69" t="str" cm="1">
        <f t="array" ref="W88">IF(A88="","", IF(COUNTIF(Referentie!$L$2:$L$21,A88)&lt;=1, "", IFERROR(INDEX(Referentie!$M$2:$M$21, MATCH(1,(Referentie!$L$2:$L$21=A88)*(Referentie!$N$2:$N$21=S88),0)), IF(S88="Bench","", "Geen match gevonden"))) )</f>
        <v/>
      </c>
    </row>
    <row r="89" spans="1:23" ht="15" customHeight="1">
      <c r="A89" s="2"/>
      <c r="B89" s="2"/>
      <c r="C89" s="2"/>
      <c r="D89" s="4" t="str">
        <f>IF(C89="","",VLOOKUP(C89,Referentie!$A$2:$B$19,2,0))</f>
        <v/>
      </c>
      <c r="E89" s="7"/>
      <c r="F89" s="4"/>
      <c r="G89" s="4"/>
      <c r="H89" s="4"/>
      <c r="I89" s="4"/>
      <c r="J89" s="4"/>
      <c r="K89" s="4"/>
      <c r="L89" s="4"/>
      <c r="M89" s="4"/>
      <c r="N89" s="4" t="str">
        <f>IF(M89="","",VLOOKUP(M89,Referentie!$G$2:$I$26,2,0))</f>
        <v/>
      </c>
      <c r="O89" s="4" t="str">
        <f>IF(M89="","",VLOOKUP(M89,Referentie!$G$2:$I$26,3,0))</f>
        <v/>
      </c>
      <c r="P89" s="4" t="str">
        <f t="shared" si="26"/>
        <v/>
      </c>
      <c r="Q89" s="4" t="str">
        <f t="shared" si="27"/>
        <v/>
      </c>
      <c r="R89" s="4" t="str">
        <f t="shared" si="28"/>
        <v/>
      </c>
      <c r="S89" s="4" t="str">
        <f t="shared" si="29"/>
        <v/>
      </c>
      <c r="T89" s="4" t="str">
        <f t="shared" si="24"/>
        <v/>
      </c>
      <c r="U89" s="4" t="str">
        <f t="shared" si="30"/>
        <v/>
      </c>
      <c r="V89" s="4" t="str">
        <f t="shared" si="25"/>
        <v/>
      </c>
      <c r="W89" s="69" t="str" cm="1">
        <f t="array" ref="W89">IF(A89="","", IF(COUNTIF(Referentie!$L$2:$L$21,A89)&lt;=1, "", IFERROR(INDEX(Referentie!$M$2:$M$21, MATCH(1,(Referentie!$L$2:$L$21=A89)*(Referentie!$N$2:$N$21=S89),0)), IF(S89="Bench","", "Geen match gevonden"))) )</f>
        <v/>
      </c>
    </row>
    <row r="90" spans="1:23" ht="15" customHeight="1">
      <c r="A90" s="2"/>
      <c r="B90" s="2"/>
      <c r="C90" s="2"/>
      <c r="D90" s="4" t="str">
        <f>IF(C90="","",VLOOKUP(C90,Referentie!$A$2:$B$19,2,0))</f>
        <v/>
      </c>
      <c r="E90" s="7"/>
      <c r="F90" s="4"/>
      <c r="G90" s="4"/>
      <c r="H90" s="4"/>
      <c r="I90" s="4"/>
      <c r="J90" s="4"/>
      <c r="K90" s="4"/>
      <c r="L90" s="4"/>
      <c r="M90" s="4"/>
      <c r="N90" s="4" t="str">
        <f>IF(M90="","",VLOOKUP(M90,Referentie!$G$2:$I$26,2,0))</f>
        <v/>
      </c>
      <c r="O90" s="4" t="str">
        <f>IF(M90="","",VLOOKUP(M90,Referentie!$G$2:$I$26,3,0))</f>
        <v/>
      </c>
      <c r="P90" s="4" t="str">
        <f t="shared" si="26"/>
        <v/>
      </c>
      <c r="Q90" s="4" t="str">
        <f t="shared" si="27"/>
        <v/>
      </c>
      <c r="R90" s="4" t="str">
        <f t="shared" si="28"/>
        <v/>
      </c>
      <c r="S90" s="4" t="str">
        <f t="shared" si="29"/>
        <v/>
      </c>
      <c r="T90" s="4" t="str">
        <f t="shared" si="24"/>
        <v/>
      </c>
      <c r="U90" s="4" t="str">
        <f t="shared" si="30"/>
        <v/>
      </c>
      <c r="V90" s="4" t="str">
        <f t="shared" si="25"/>
        <v/>
      </c>
      <c r="W90" s="69" t="str" cm="1">
        <f t="array" ref="W90">IF(A90="","", IF(COUNTIF(Referentie!$L$2:$L$21,A90)&lt;=1, "", IFERROR(INDEX(Referentie!$M$2:$M$21, MATCH(1,(Referentie!$L$2:$L$21=A90)*(Referentie!$N$2:$N$21=S90),0)), IF(S90="Bench","", "Geen match gevonden"))) )</f>
        <v/>
      </c>
    </row>
    <row r="91" spans="1:23" ht="15" customHeight="1">
      <c r="A91" s="2"/>
      <c r="B91" s="2"/>
      <c r="C91" s="2"/>
      <c r="D91" s="4" t="str">
        <f>IF(C91="","",VLOOKUP(C91,Referentie!$A$2:$B$19,2,0))</f>
        <v/>
      </c>
      <c r="E91" s="7"/>
      <c r="F91" s="4"/>
      <c r="G91" s="4"/>
      <c r="H91" s="4"/>
      <c r="I91" s="4"/>
      <c r="J91" s="4"/>
      <c r="K91" s="4"/>
      <c r="L91" s="4"/>
      <c r="M91" s="4"/>
      <c r="N91" s="4" t="str">
        <f>IF(M91="","",VLOOKUP(M91,Referentie!$G$2:$I$26,2,0))</f>
        <v/>
      </c>
      <c r="O91" s="4" t="str">
        <f>IF(M91="","",VLOOKUP(M91,Referentie!$G$2:$I$26,3,0))</f>
        <v/>
      </c>
      <c r="P91" s="4" t="str">
        <f t="shared" si="26"/>
        <v/>
      </c>
      <c r="Q91" s="4" t="str">
        <f t="shared" si="27"/>
        <v/>
      </c>
      <c r="R91" s="4" t="str">
        <f t="shared" si="28"/>
        <v/>
      </c>
      <c r="S91" s="4" t="str">
        <f t="shared" si="29"/>
        <v/>
      </c>
      <c r="T91" s="4" t="str">
        <f t="shared" si="24"/>
        <v/>
      </c>
      <c r="U91" s="4" t="str">
        <f t="shared" si="30"/>
        <v/>
      </c>
      <c r="V91" s="4" t="str">
        <f t="shared" si="25"/>
        <v/>
      </c>
      <c r="W91" s="69" t="str" cm="1">
        <f t="array" ref="W91">IF(A91="","", IF(COUNTIF(Referentie!$L$2:$L$21,A91)&lt;=1, "", IFERROR(INDEX(Referentie!$M$2:$M$21, MATCH(1,(Referentie!$L$2:$L$21=A91)*(Referentie!$N$2:$N$21=S91),0)), IF(S91="Bench","", "Geen match gevonden"))) )</f>
        <v/>
      </c>
    </row>
    <row r="92" spans="1:23" ht="15" customHeight="1">
      <c r="A92" s="2"/>
      <c r="B92" s="2"/>
      <c r="C92" s="2"/>
      <c r="D92" s="4" t="str">
        <f>IF(C92="","",VLOOKUP(C92,Referentie!$A$2:$B$19,2,0))</f>
        <v/>
      </c>
      <c r="E92" s="7"/>
      <c r="F92" s="4"/>
      <c r="G92" s="4"/>
      <c r="H92" s="4"/>
      <c r="I92" s="4"/>
      <c r="J92" s="4"/>
      <c r="K92" s="4"/>
      <c r="L92" s="4"/>
      <c r="M92" s="4"/>
      <c r="N92" s="4" t="str">
        <f>IF(M92="","",VLOOKUP(M92,Referentie!$G$2:$I$26,2,0))</f>
        <v/>
      </c>
      <c r="O92" s="4" t="str">
        <f>IF(M92="","",VLOOKUP(M92,Referentie!$G$2:$I$26,3,0))</f>
        <v/>
      </c>
      <c r="P92" s="4" t="str">
        <f t="shared" si="26"/>
        <v/>
      </c>
      <c r="Q92" s="4" t="str">
        <f t="shared" si="27"/>
        <v/>
      </c>
      <c r="R92" s="4" t="str">
        <f t="shared" si="28"/>
        <v/>
      </c>
      <c r="S92" s="4" t="str">
        <f t="shared" si="29"/>
        <v/>
      </c>
      <c r="T92" s="4" t="str">
        <f t="shared" si="24"/>
        <v/>
      </c>
      <c r="U92" s="4" t="str">
        <f t="shared" si="30"/>
        <v/>
      </c>
      <c r="V92" s="4" t="str">
        <f t="shared" si="25"/>
        <v/>
      </c>
      <c r="W92" s="69" t="str" cm="1">
        <f t="array" ref="W92">IF(A92="","", IF(COUNTIF(Referentie!$L$2:$L$21,A92)&lt;=1, "", IFERROR(INDEX(Referentie!$M$2:$M$21, MATCH(1,(Referentie!$L$2:$L$21=A92)*(Referentie!$N$2:$N$21=S92),0)), IF(S92="Bench","", "Geen match gevonden"))) )</f>
        <v/>
      </c>
    </row>
    <row r="93" spans="1:23" ht="15" customHeight="1">
      <c r="A93" s="2"/>
      <c r="B93" s="2"/>
      <c r="C93" s="2"/>
      <c r="D93" s="4" t="str">
        <f>IF(C93="","",VLOOKUP(C93,Referentie!$A$2:$B$19,2,0))</f>
        <v/>
      </c>
      <c r="E93" s="7"/>
      <c r="F93" s="4"/>
      <c r="G93" s="4"/>
      <c r="H93" s="4"/>
      <c r="I93" s="4"/>
      <c r="J93" s="4"/>
      <c r="K93" s="4"/>
      <c r="L93" s="4"/>
      <c r="M93" s="4"/>
      <c r="N93" s="4" t="str">
        <f>IF(M93="","",VLOOKUP(M93,Referentie!$G$2:$I$26,2,0))</f>
        <v/>
      </c>
      <c r="O93" s="4" t="str">
        <f>IF(M93="","",VLOOKUP(M93,Referentie!$G$2:$I$26,3,0))</f>
        <v/>
      </c>
      <c r="P93" s="4" t="str">
        <f t="shared" si="26"/>
        <v/>
      </c>
      <c r="Q93" s="4" t="str">
        <f t="shared" si="27"/>
        <v/>
      </c>
      <c r="R93" s="4" t="str">
        <f t="shared" si="28"/>
        <v/>
      </c>
      <c r="S93" s="4" t="str">
        <f t="shared" si="29"/>
        <v/>
      </c>
      <c r="T93" s="4" t="str">
        <f t="shared" si="24"/>
        <v/>
      </c>
      <c r="U93" s="4" t="str">
        <f t="shared" si="30"/>
        <v/>
      </c>
      <c r="V93" s="4" t="str">
        <f t="shared" si="25"/>
        <v/>
      </c>
      <c r="W93" s="69" t="str" cm="1">
        <f t="array" ref="W93">IF(A93="","", IF(COUNTIF(Referentie!$L$2:$L$21,A93)&lt;=1, "", IFERROR(INDEX(Referentie!$M$2:$M$21, MATCH(1,(Referentie!$L$2:$L$21=A93)*(Referentie!$N$2:$N$21=S93),0)), IF(S93="Bench","", "Geen match gevonden"))) )</f>
        <v/>
      </c>
    </row>
    <row r="94" spans="1:23" ht="15" customHeight="1">
      <c r="A94" s="2"/>
      <c r="B94" s="2"/>
      <c r="C94" s="2"/>
      <c r="D94" s="4" t="str">
        <f>IF(C94="","",VLOOKUP(C94,Referentie!$A$2:$B$19,2,0))</f>
        <v/>
      </c>
      <c r="E94" s="7"/>
      <c r="F94" s="4"/>
      <c r="G94" s="4"/>
      <c r="H94" s="4"/>
      <c r="I94" s="4"/>
      <c r="J94" s="4"/>
      <c r="K94" s="4"/>
      <c r="L94" s="4"/>
      <c r="M94" s="4"/>
      <c r="N94" s="4" t="str">
        <f>IF(M94="","",VLOOKUP(M94,Referentie!$G$2:$I$26,2,0))</f>
        <v/>
      </c>
      <c r="O94" s="4" t="str">
        <f>IF(M94="","",VLOOKUP(M94,Referentie!$G$2:$I$26,3,0))</f>
        <v/>
      </c>
      <c r="P94" s="4" t="str">
        <f t="shared" si="26"/>
        <v/>
      </c>
      <c r="Q94" s="4" t="str">
        <f t="shared" si="27"/>
        <v/>
      </c>
      <c r="R94" s="4" t="str">
        <f t="shared" si="28"/>
        <v/>
      </c>
      <c r="S94" s="4" t="str">
        <f t="shared" si="29"/>
        <v/>
      </c>
      <c r="T94" s="4" t="str">
        <f t="shared" si="24"/>
        <v/>
      </c>
      <c r="U94" s="4" t="str">
        <f t="shared" si="30"/>
        <v/>
      </c>
      <c r="V94" s="4" t="str">
        <f t="shared" si="25"/>
        <v/>
      </c>
      <c r="W94" s="69" t="str" cm="1">
        <f t="array" ref="W94">IF(A94="","", IF(COUNTIF(Referentie!$L$2:$L$21,A94)&lt;=1, "", IFERROR(INDEX(Referentie!$M$2:$M$21, MATCH(1,(Referentie!$L$2:$L$21=A94)*(Referentie!$N$2:$N$21=S94),0)), IF(S94="Bench","", "Geen match gevonden"))) )</f>
        <v/>
      </c>
    </row>
    <row r="95" spans="1:23" ht="15" customHeight="1">
      <c r="A95" s="2"/>
      <c r="B95" s="2"/>
      <c r="C95" s="2"/>
      <c r="D95" s="4" t="str">
        <f>IF(C95="","",VLOOKUP(C95,Referentie!$A$2:$B$19,2,0))</f>
        <v/>
      </c>
      <c r="E95" s="7"/>
      <c r="F95" s="4"/>
      <c r="G95" s="4"/>
      <c r="H95" s="4"/>
      <c r="I95" s="4"/>
      <c r="J95" s="4"/>
      <c r="K95" s="4"/>
      <c r="L95" s="4"/>
      <c r="M95" s="4"/>
      <c r="N95" s="4" t="str">
        <f>IF(M95="","",VLOOKUP(M95,Referentie!$G$2:$I$26,2,0))</f>
        <v/>
      </c>
      <c r="O95" s="4" t="str">
        <f>IF(M95="","",VLOOKUP(M95,Referentie!$G$2:$I$26,3,0))</f>
        <v/>
      </c>
      <c r="P95" s="4" t="str">
        <f t="shared" si="26"/>
        <v/>
      </c>
      <c r="Q95" s="4" t="str">
        <f t="shared" si="27"/>
        <v/>
      </c>
      <c r="R95" s="4" t="str">
        <f t="shared" si="28"/>
        <v/>
      </c>
      <c r="S95" s="4" t="str">
        <f t="shared" si="29"/>
        <v/>
      </c>
      <c r="T95" s="4" t="str">
        <f t="shared" si="24"/>
        <v/>
      </c>
      <c r="U95" s="4" t="str">
        <f t="shared" si="30"/>
        <v/>
      </c>
      <c r="V95" s="4" t="str">
        <f t="shared" si="25"/>
        <v/>
      </c>
      <c r="W95" s="69" t="str" cm="1">
        <f t="array" ref="W95">IF(A95="","", IF(COUNTIF(Referentie!$L$2:$L$21,A95)&lt;=1, "", IFERROR(INDEX(Referentie!$M$2:$M$21, MATCH(1,(Referentie!$L$2:$L$21=A95)*(Referentie!$N$2:$N$21=S95),0)), IF(S95="Bench","", "Geen match gevonden"))) )</f>
        <v/>
      </c>
    </row>
    <row r="96" spans="1:23" ht="15" customHeight="1">
      <c r="A96" s="2"/>
      <c r="B96" s="2"/>
      <c r="C96" s="2"/>
      <c r="D96" s="4" t="str">
        <f>IF(C96="","",VLOOKUP(C96,Referentie!$A$2:$B$19,2,0))</f>
        <v/>
      </c>
      <c r="E96" s="7"/>
      <c r="F96" s="4"/>
      <c r="G96" s="4"/>
      <c r="H96" s="4"/>
      <c r="I96" s="4"/>
      <c r="J96" s="4"/>
      <c r="K96" s="4"/>
      <c r="L96" s="4"/>
      <c r="M96" s="4"/>
      <c r="N96" s="4" t="str">
        <f>IF(M96="","",VLOOKUP(M96,Referentie!$G$2:$I$26,2,0))</f>
        <v/>
      </c>
      <c r="O96" s="4" t="str">
        <f>IF(M96="","",VLOOKUP(M96,Referentie!$G$2:$I$26,3,0))</f>
        <v/>
      </c>
      <c r="P96" s="4" t="str">
        <f t="shared" si="26"/>
        <v/>
      </c>
      <c r="Q96" s="4" t="str">
        <f t="shared" si="27"/>
        <v/>
      </c>
      <c r="R96" s="4" t="str">
        <f t="shared" si="28"/>
        <v/>
      </c>
      <c r="S96" s="4" t="str">
        <f t="shared" si="29"/>
        <v/>
      </c>
      <c r="T96" s="4" t="str">
        <f t="shared" si="24"/>
        <v/>
      </c>
      <c r="U96" s="4" t="str">
        <f t="shared" si="30"/>
        <v/>
      </c>
      <c r="V96" s="4" t="str">
        <f t="shared" si="25"/>
        <v/>
      </c>
      <c r="W96" s="69" t="str" cm="1">
        <f t="array" ref="W96">IF(A96="","", IF(COUNTIF(Referentie!$L$2:$L$21,A96)&lt;=1, "", IFERROR(INDEX(Referentie!$M$2:$M$21, MATCH(1,(Referentie!$L$2:$L$21=A96)*(Referentie!$N$2:$N$21=S96),0)), IF(S96="Bench","", "Geen match gevonden"))) )</f>
        <v/>
      </c>
    </row>
    <row r="97" spans="1:23" ht="15" customHeight="1">
      <c r="A97" s="2"/>
      <c r="B97" s="2"/>
      <c r="C97" s="2"/>
      <c r="D97" s="4" t="str">
        <f>IF(C97="","",VLOOKUP(C97,Referentie!$A$2:$B$19,2,0))</f>
        <v/>
      </c>
      <c r="E97" s="7"/>
      <c r="F97" s="4"/>
      <c r="G97" s="4"/>
      <c r="H97" s="4"/>
      <c r="I97" s="4"/>
      <c r="J97" s="4"/>
      <c r="K97" s="4"/>
      <c r="L97" s="4"/>
      <c r="M97" s="4"/>
      <c r="N97" s="4" t="str">
        <f>IF(M97="","",VLOOKUP(M97,Referentie!$G$2:$I$26,2,0))</f>
        <v/>
      </c>
      <c r="O97" s="4" t="str">
        <f>IF(M97="","",VLOOKUP(M97,Referentie!$G$2:$I$26,3,0))</f>
        <v/>
      </c>
      <c r="P97" s="4" t="str">
        <f t="shared" si="26"/>
        <v/>
      </c>
      <c r="Q97" s="4" t="str">
        <f t="shared" si="27"/>
        <v/>
      </c>
      <c r="R97" s="4" t="str">
        <f t="shared" si="28"/>
        <v/>
      </c>
      <c r="S97" s="4" t="str">
        <f t="shared" si="29"/>
        <v/>
      </c>
      <c r="T97" s="4" t="str">
        <f t="shared" si="24"/>
        <v/>
      </c>
      <c r="U97" s="4" t="str">
        <f t="shared" si="30"/>
        <v/>
      </c>
      <c r="V97" s="4" t="str">
        <f t="shared" si="25"/>
        <v/>
      </c>
      <c r="W97" s="69" t="str" cm="1">
        <f t="array" ref="W97">IF(A97="","", IF(COUNTIF(Referentie!$L$2:$L$21,A97)&lt;=1, "", IFERROR(INDEX(Referentie!$M$2:$M$21, MATCH(1,(Referentie!$L$2:$L$21=A97)*(Referentie!$N$2:$N$21=S97),0)), IF(S97="Bench","", "Geen match gevonden"))) )</f>
        <v/>
      </c>
    </row>
    <row r="98" spans="1:23" ht="15" customHeight="1">
      <c r="A98" s="2"/>
      <c r="B98" s="2"/>
      <c r="C98" s="2"/>
      <c r="D98" s="4" t="str">
        <f>IF(C98="","",VLOOKUP(C98,Referentie!$A$2:$B$19,2,0))</f>
        <v/>
      </c>
      <c r="E98" s="7"/>
      <c r="F98" s="4"/>
      <c r="G98" s="4"/>
      <c r="H98" s="4"/>
      <c r="I98" s="4"/>
      <c r="J98" s="4"/>
      <c r="K98" s="4"/>
      <c r="L98" s="4"/>
      <c r="M98" s="4"/>
      <c r="N98" s="4" t="str">
        <f>IF(M98="","",VLOOKUP(M98,Referentie!$G$2:$I$26,2,0))</f>
        <v/>
      </c>
      <c r="O98" s="4" t="str">
        <f>IF(M98="","",VLOOKUP(M98,Referentie!$G$2:$I$26,3,0))</f>
        <v/>
      </c>
      <c r="P98" s="4" t="str">
        <f t="shared" si="26"/>
        <v/>
      </c>
      <c r="Q98" s="4" t="str">
        <f t="shared" si="27"/>
        <v/>
      </c>
      <c r="R98" s="4" t="str">
        <f t="shared" si="28"/>
        <v/>
      </c>
      <c r="S98" s="4" t="str">
        <f t="shared" si="29"/>
        <v/>
      </c>
      <c r="T98" s="4" t="str">
        <f t="shared" si="24"/>
        <v/>
      </c>
      <c r="U98" s="4" t="str">
        <f t="shared" si="30"/>
        <v/>
      </c>
      <c r="V98" s="4" t="str">
        <f t="shared" si="25"/>
        <v/>
      </c>
      <c r="W98" s="69" t="str" cm="1">
        <f t="array" ref="W98">IF(A98="","", IF(COUNTIF(Referentie!$L$2:$L$21,A98)&lt;=1, "", IFERROR(INDEX(Referentie!$M$2:$M$21, MATCH(1,(Referentie!$L$2:$L$21=A98)*(Referentie!$N$2:$N$21=S98),0)), IF(S98="Bench","", "Geen match gevonden"))) )</f>
        <v/>
      </c>
    </row>
    <row r="99" spans="1:23" ht="15" customHeight="1">
      <c r="A99" s="2"/>
      <c r="B99" s="2"/>
      <c r="C99" s="2"/>
      <c r="D99" s="4" t="str">
        <f>IF(C99="","",VLOOKUP(C99,Referentie!$A$2:$B$19,2,0))</f>
        <v/>
      </c>
      <c r="E99" s="7"/>
      <c r="F99" s="4"/>
      <c r="G99" s="4"/>
      <c r="H99" s="4"/>
      <c r="I99" s="4"/>
      <c r="J99" s="4"/>
      <c r="K99" s="4"/>
      <c r="L99" s="4"/>
      <c r="M99" s="4"/>
      <c r="N99" s="4" t="str">
        <f>IF(M99="","",VLOOKUP(M99,Referentie!$G$2:$I$26,2,0))</f>
        <v/>
      </c>
      <c r="O99" s="4" t="str">
        <f>IF(M99="","",VLOOKUP(M99,Referentie!$G$2:$I$26,3,0))</f>
        <v/>
      </c>
      <c r="P99" s="4" t="str">
        <f t="shared" ref="P99:P129" si="31">IF(A99="","", (IF(N99="Speed of Help",2,0)) + (IF(O99="Speed of Help",-2,0)) + (IF(N99="EXP Gains",1,0)) + (IF(O99="EXP Gains",-1,0)) + (COUNTIF(H99:L99,"Helping Speed S")*1) + (COUNTIF(H99:L99,"Helping Speed M")*2) + (COUNTIF(H99:L99,"Berry Finding S")*2) + (COUNTIF(H99:L99,"Helping Bonus")*1) + (IF(O99="Ingredient Finding",0,0)) + (IF(O99="Main Skill Chance",0,0)) )</f>
        <v/>
      </c>
      <c r="Q99" s="4" t="str">
        <f t="shared" ref="Q99:Q129" si="32">IF(A99="","", (IF(N99="Ingredient Finding",2,0)) + (IF(O99="Ingredient Finding",-2,0)) + (IF(N99="EXP Gains",1,0)) + (IF(O99="EXP Gains",-1,0)) + (COUNTIF(H99:L99,"Ingredient Finder S")*1) + (COUNTIF(H99:L99,"Ingredient Finder M")*2) + (COUNTIF(H99:L99,"Inventory Up S")*0.5) + (COUNTIF(H99:L99,"Inventory Up M")*1) + (COUNTIF(H99:L99,"Inventory Up L")*1.5) + (IF(E99=F99,1,0)) + (IF(F99=G99,1,0)) )</f>
        <v/>
      </c>
      <c r="R99" s="4" t="str">
        <f t="shared" ref="R99:R129" si="33">IF(A99="","", (IF(N99="Main Skill Chance",2,0)) + (IF(O99="Main Skill Chance",-2,0)) + (IF(N99="EXP Gains",1,0)) + (IF(O99="EXP Gains",-1,0)) + (COUNTIF(H99:L99,"Skill Trigger S")*1) + (COUNTIF(H99:L99,"Skill Trigger M")*2) + (COUNTIF(H99:L99,"Skill Level Up S")*1) + (COUNTIF(H99:L99,"Skill Level Up M")*2) + (COUNTIF(H99:L99,"Energy Recovery Bonus")*1.5) + (COUNTIF(H99:L99,"Sleep EXP Bonus")*1) + (COUNTIF(H99:L99,"Research EXP Bonus")*1) )</f>
        <v/>
      </c>
      <c r="S99" s="4" t="str">
        <f t="shared" ref="S99:S129" si="34">IF(A99="","", IF(AND(P99&lt;=1, Q99&lt;=1, R99&lt;=1), "Bench", IF(AND(P99&gt;=Q99, P99&gt;=R99), "Berry", IF(AND(Q99&gt;=P99, Q99&gt;=R99), "Ingredient", "Skill"))) )</f>
        <v/>
      </c>
      <c r="T99" s="4" t="str">
        <f t="shared" si="24"/>
        <v/>
      </c>
      <c r="U99" s="4" t="str">
        <f t="shared" ref="U99:U129" si="35">IF(A99="","", IF(T99&gt;=7, "⭐ Keep", IF(T99&gt;=5, "📈 Level Up", IF(T99&gt;=3, "🤔 Bench", "❌ Transfer"))) )</f>
        <v/>
      </c>
      <c r="V99" s="4" t="str">
        <f t="shared" si="25"/>
        <v/>
      </c>
      <c r="W99" s="69" t="str" cm="1">
        <f t="array" ref="W99">IF(A99="","", IF(COUNTIF(Referentie!$L$2:$L$21,A99)&lt;=1, "", IFERROR(INDEX(Referentie!$M$2:$M$21, MATCH(1,(Referentie!$L$2:$L$21=A99)*(Referentie!$N$2:$N$21=S99),0)), IF(S99="Bench","", "Geen match gevonden"))) )</f>
        <v/>
      </c>
    </row>
    <row r="100" spans="1:23" ht="15" customHeight="1">
      <c r="A100" s="2"/>
      <c r="B100" s="2"/>
      <c r="C100" s="2"/>
      <c r="D100" s="4" t="str">
        <f>IF(C100="","",VLOOKUP(C100,Referentie!$A$2:$B$19,2,0))</f>
        <v/>
      </c>
      <c r="E100" s="7"/>
      <c r="F100" s="4"/>
      <c r="G100" s="4"/>
      <c r="H100" s="4"/>
      <c r="I100" s="4"/>
      <c r="J100" s="4"/>
      <c r="K100" s="4"/>
      <c r="L100" s="4"/>
      <c r="M100" s="4"/>
      <c r="N100" s="4" t="str">
        <f>IF(M100="","",VLOOKUP(M100,Referentie!$G$2:$I$26,2,0))</f>
        <v/>
      </c>
      <c r="O100" s="4" t="str">
        <f>IF(M100="","",VLOOKUP(M100,Referentie!$G$2:$I$26,3,0))</f>
        <v/>
      </c>
      <c r="P100" s="4" t="str">
        <f t="shared" si="31"/>
        <v/>
      </c>
      <c r="Q100" s="4" t="str">
        <f t="shared" si="32"/>
        <v/>
      </c>
      <c r="R100" s="4" t="str">
        <f t="shared" si="33"/>
        <v/>
      </c>
      <c r="S100" s="4" t="str">
        <f t="shared" si="34"/>
        <v/>
      </c>
      <c r="T100" s="4" t="str">
        <f t="shared" si="24"/>
        <v/>
      </c>
      <c r="U100" s="4" t="str">
        <f t="shared" si="35"/>
        <v/>
      </c>
      <c r="V100" s="4" t="str">
        <f t="shared" si="25"/>
        <v/>
      </c>
      <c r="W100" s="69" t="str" cm="1">
        <f t="array" ref="W100">IF(A100="","", IF(COUNTIF(Referentie!$L$2:$L$21,A100)&lt;=1, "", IFERROR(INDEX(Referentie!$M$2:$M$21, MATCH(1,(Referentie!$L$2:$L$21=A100)*(Referentie!$N$2:$N$21=S100),0)), IF(S100="Bench","", "Geen match gevonden"))) )</f>
        <v/>
      </c>
    </row>
    <row r="101" spans="1:23" ht="15" customHeight="1">
      <c r="A101" s="2"/>
      <c r="B101" s="2"/>
      <c r="C101" s="2"/>
      <c r="D101" s="4" t="str">
        <f>IF(C101="","",VLOOKUP(C101,Referentie!$A$2:$B$19,2,0))</f>
        <v/>
      </c>
      <c r="E101" s="7"/>
      <c r="F101" s="4"/>
      <c r="G101" s="4"/>
      <c r="H101" s="4"/>
      <c r="I101" s="4"/>
      <c r="J101" s="4"/>
      <c r="K101" s="4"/>
      <c r="L101" s="4"/>
      <c r="M101" s="4"/>
      <c r="N101" s="4" t="str">
        <f>IF(M101="","",VLOOKUP(M101,Referentie!$G$2:$I$26,2,0))</f>
        <v/>
      </c>
      <c r="O101" s="4" t="str">
        <f>IF(M101="","",VLOOKUP(M101,Referentie!$G$2:$I$26,3,0))</f>
        <v/>
      </c>
      <c r="P101" s="4" t="str">
        <f t="shared" si="31"/>
        <v/>
      </c>
      <c r="Q101" s="4" t="str">
        <f t="shared" si="32"/>
        <v/>
      </c>
      <c r="R101" s="4" t="str">
        <f t="shared" si="33"/>
        <v/>
      </c>
      <c r="S101" s="4" t="str">
        <f t="shared" si="34"/>
        <v/>
      </c>
      <c r="T101" s="4" t="str">
        <f t="shared" si="24"/>
        <v/>
      </c>
      <c r="U101" s="4" t="str">
        <f t="shared" si="35"/>
        <v/>
      </c>
      <c r="V101" s="4" t="str">
        <f t="shared" si="25"/>
        <v/>
      </c>
      <c r="W101" s="69" t="str" cm="1">
        <f t="array" ref="W101">IF(A101="","", IF(COUNTIF(Referentie!$L$2:$L$21,A101)&lt;=1, "", IFERROR(INDEX(Referentie!$M$2:$M$21, MATCH(1,(Referentie!$L$2:$L$21=A101)*(Referentie!$N$2:$N$21=S101),0)), IF(S101="Bench","", "Geen match gevonden"))) )</f>
        <v/>
      </c>
    </row>
    <row r="102" spans="1:23" ht="15" customHeight="1">
      <c r="A102" s="2"/>
      <c r="B102" s="2"/>
      <c r="C102" s="2"/>
      <c r="D102" s="4" t="str">
        <f>IF(C102="","",VLOOKUP(C102,Referentie!$A$2:$B$19,2,0))</f>
        <v/>
      </c>
      <c r="E102" s="7"/>
      <c r="F102" s="4"/>
      <c r="G102" s="4"/>
      <c r="H102" s="4"/>
      <c r="I102" s="4"/>
      <c r="J102" s="4"/>
      <c r="K102" s="4"/>
      <c r="L102" s="4"/>
      <c r="M102" s="4"/>
      <c r="N102" s="4" t="str">
        <f>IF(M102="","",VLOOKUP(M102,Referentie!$G$2:$I$26,2,0))</f>
        <v/>
      </c>
      <c r="O102" s="4" t="str">
        <f>IF(M102="","",VLOOKUP(M102,Referentie!$G$2:$I$26,3,0))</f>
        <v/>
      </c>
      <c r="P102" s="4" t="str">
        <f t="shared" si="31"/>
        <v/>
      </c>
      <c r="Q102" s="4" t="str">
        <f t="shared" si="32"/>
        <v/>
      </c>
      <c r="R102" s="4" t="str">
        <f t="shared" si="33"/>
        <v/>
      </c>
      <c r="S102" s="4" t="str">
        <f t="shared" si="34"/>
        <v/>
      </c>
      <c r="T102" s="4" t="str">
        <f t="shared" si="24"/>
        <v/>
      </c>
      <c r="U102" s="4" t="str">
        <f t="shared" si="35"/>
        <v/>
      </c>
      <c r="V102" s="4" t="str">
        <f t="shared" si="25"/>
        <v/>
      </c>
      <c r="W102" s="69" t="str" cm="1">
        <f t="array" ref="W102">IF(A102="","", IF(COUNTIF(Referentie!$L$2:$L$21,A102)&lt;=1, "", IFERROR(INDEX(Referentie!$M$2:$M$21, MATCH(1,(Referentie!$L$2:$L$21=A102)*(Referentie!$N$2:$N$21=S102),0)), IF(S102="Bench","", "Geen match gevonden"))) )</f>
        <v/>
      </c>
    </row>
    <row r="103" spans="1:23" ht="15" customHeight="1">
      <c r="A103" s="2"/>
      <c r="B103" s="2"/>
      <c r="C103" s="2"/>
      <c r="D103" s="4" t="str">
        <f>IF(C103="","",VLOOKUP(C103,Referentie!$A$2:$B$19,2,0))</f>
        <v/>
      </c>
      <c r="E103" s="7"/>
      <c r="F103" s="4"/>
      <c r="G103" s="4"/>
      <c r="H103" s="4"/>
      <c r="I103" s="4"/>
      <c r="J103" s="4"/>
      <c r="K103" s="4"/>
      <c r="L103" s="4"/>
      <c r="M103" s="4"/>
      <c r="N103" s="4" t="str">
        <f>IF(M103="","",VLOOKUP(M103,Referentie!$G$2:$I$26,2,0))</f>
        <v/>
      </c>
      <c r="O103" s="4" t="str">
        <f>IF(M103="","",VLOOKUP(M103,Referentie!$G$2:$I$26,3,0))</f>
        <v/>
      </c>
      <c r="P103" s="4" t="str">
        <f t="shared" si="31"/>
        <v/>
      </c>
      <c r="Q103" s="4" t="str">
        <f t="shared" si="32"/>
        <v/>
      </c>
      <c r="R103" s="4" t="str">
        <f t="shared" si="33"/>
        <v/>
      </c>
      <c r="S103" s="4" t="str">
        <f t="shared" si="34"/>
        <v/>
      </c>
      <c r="T103" s="4" t="str">
        <f t="shared" si="24"/>
        <v/>
      </c>
      <c r="U103" s="4" t="str">
        <f t="shared" si="35"/>
        <v/>
      </c>
      <c r="V103" s="4" t="str">
        <f t="shared" si="25"/>
        <v/>
      </c>
      <c r="W103" s="69" t="str" cm="1">
        <f t="array" ref="W103">IF(A103="","", IF(COUNTIF(Referentie!$L$2:$L$21,A103)&lt;=1, "", IFERROR(INDEX(Referentie!$M$2:$M$21, MATCH(1,(Referentie!$L$2:$L$21=A103)*(Referentie!$N$2:$N$21=S103),0)), IF(S103="Bench","", "Geen match gevonden"))) )</f>
        <v/>
      </c>
    </row>
    <row r="104" spans="1:23" ht="15" customHeight="1">
      <c r="A104" s="2"/>
      <c r="B104" s="2"/>
      <c r="C104" s="2"/>
      <c r="D104" s="4" t="str">
        <f>IF(C104="","",VLOOKUP(C104,Referentie!$A$2:$B$19,2,0))</f>
        <v/>
      </c>
      <c r="E104" s="7"/>
      <c r="F104" s="4"/>
      <c r="G104" s="4"/>
      <c r="H104" s="4"/>
      <c r="I104" s="4"/>
      <c r="J104" s="4"/>
      <c r="K104" s="4"/>
      <c r="L104" s="4"/>
      <c r="M104" s="4"/>
      <c r="N104" s="4" t="str">
        <f>IF(M104="","",VLOOKUP(M104,Referentie!$G$2:$I$26,2,0))</f>
        <v/>
      </c>
      <c r="O104" s="4" t="str">
        <f>IF(M104="","",VLOOKUP(M104,Referentie!$G$2:$I$26,3,0))</f>
        <v/>
      </c>
      <c r="P104" s="4" t="str">
        <f t="shared" si="31"/>
        <v/>
      </c>
      <c r="Q104" s="4" t="str">
        <f t="shared" si="32"/>
        <v/>
      </c>
      <c r="R104" s="4" t="str">
        <f t="shared" si="33"/>
        <v/>
      </c>
      <c r="S104" s="4" t="str">
        <f t="shared" si="34"/>
        <v/>
      </c>
      <c r="T104" s="4" t="str">
        <f t="shared" si="24"/>
        <v/>
      </c>
      <c r="U104" s="4" t="str">
        <f t="shared" si="35"/>
        <v/>
      </c>
      <c r="V104" s="4" t="str">
        <f t="shared" si="25"/>
        <v/>
      </c>
      <c r="W104" s="69" t="str" cm="1">
        <f t="array" ref="W104">IF(A104="","", IF(COUNTIF(Referentie!$L$2:$L$21,A104)&lt;=1, "", IFERROR(INDEX(Referentie!$M$2:$M$21, MATCH(1,(Referentie!$L$2:$L$21=A104)*(Referentie!$N$2:$N$21=S104),0)), IF(S104="Bench","", "Geen match gevonden"))) )</f>
        <v/>
      </c>
    </row>
    <row r="105" spans="1:23" ht="15" customHeight="1">
      <c r="A105" s="2"/>
      <c r="B105" s="2"/>
      <c r="C105" s="2"/>
      <c r="D105" s="4" t="str">
        <f>IF(C105="","",VLOOKUP(C105,Referentie!$A$2:$B$19,2,0))</f>
        <v/>
      </c>
      <c r="E105" s="7"/>
      <c r="F105" s="4"/>
      <c r="G105" s="4"/>
      <c r="H105" s="4"/>
      <c r="I105" s="4"/>
      <c r="J105" s="4"/>
      <c r="K105" s="4"/>
      <c r="L105" s="4"/>
      <c r="M105" s="4"/>
      <c r="N105" s="4" t="str">
        <f>IF(M105="","",VLOOKUP(M105,Referentie!$G$2:$I$26,2,0))</f>
        <v/>
      </c>
      <c r="O105" s="4" t="str">
        <f>IF(M105="","",VLOOKUP(M105,Referentie!$G$2:$I$26,3,0))</f>
        <v/>
      </c>
      <c r="P105" s="4" t="str">
        <f t="shared" si="31"/>
        <v/>
      </c>
      <c r="Q105" s="4" t="str">
        <f t="shared" si="32"/>
        <v/>
      </c>
      <c r="R105" s="4" t="str">
        <f t="shared" si="33"/>
        <v/>
      </c>
      <c r="S105" s="4" t="str">
        <f t="shared" si="34"/>
        <v/>
      </c>
      <c r="T105" s="4" t="str">
        <f t="shared" si="24"/>
        <v/>
      </c>
      <c r="U105" s="4" t="str">
        <f t="shared" si="35"/>
        <v/>
      </c>
      <c r="V105" s="4" t="str">
        <f t="shared" si="25"/>
        <v/>
      </c>
      <c r="W105" s="69" t="str" cm="1">
        <f t="array" ref="W105">IF(A105="","", IF(COUNTIF(Referentie!$L$2:$L$21,A105)&lt;=1, "", IFERROR(INDEX(Referentie!$M$2:$M$21, MATCH(1,(Referentie!$L$2:$L$21=A105)*(Referentie!$N$2:$N$21=S105),0)), IF(S105="Bench","", "Geen match gevonden"))) )</f>
        <v/>
      </c>
    </row>
    <row r="106" spans="1:23" ht="15" customHeight="1">
      <c r="A106" s="2"/>
      <c r="B106" s="2"/>
      <c r="C106" s="2"/>
      <c r="D106" s="4" t="str">
        <f>IF(C106="","",VLOOKUP(C106,Referentie!$A$2:$B$19,2,0))</f>
        <v/>
      </c>
      <c r="E106" s="7"/>
      <c r="F106" s="4"/>
      <c r="G106" s="4"/>
      <c r="H106" s="4"/>
      <c r="I106" s="4"/>
      <c r="J106" s="4"/>
      <c r="K106" s="4"/>
      <c r="L106" s="4"/>
      <c r="M106" s="4"/>
      <c r="N106" s="4" t="str">
        <f>IF(M106="","",VLOOKUP(M106,Referentie!$G$2:$I$26,2,0))</f>
        <v/>
      </c>
      <c r="O106" s="4" t="str">
        <f>IF(M106="","",VLOOKUP(M106,Referentie!$G$2:$I$26,3,0))</f>
        <v/>
      </c>
      <c r="P106" s="4" t="str">
        <f t="shared" si="31"/>
        <v/>
      </c>
      <c r="Q106" s="4" t="str">
        <f t="shared" si="32"/>
        <v/>
      </c>
      <c r="R106" s="4" t="str">
        <f t="shared" si="33"/>
        <v/>
      </c>
      <c r="S106" s="4" t="str">
        <f t="shared" si="34"/>
        <v/>
      </c>
      <c r="T106" s="4" t="str">
        <f t="shared" si="24"/>
        <v/>
      </c>
      <c r="U106" s="4" t="str">
        <f t="shared" si="35"/>
        <v/>
      </c>
      <c r="V106" s="4" t="str">
        <f t="shared" si="25"/>
        <v/>
      </c>
      <c r="W106" s="69" t="str" cm="1">
        <f t="array" ref="W106">IF(A106="","", IF(COUNTIF(Referentie!$L$2:$L$21,A106)&lt;=1, "", IFERROR(INDEX(Referentie!$M$2:$M$21, MATCH(1,(Referentie!$L$2:$L$21=A106)*(Referentie!$N$2:$N$21=S106),0)), IF(S106="Bench","", "Geen match gevonden"))) )</f>
        <v/>
      </c>
    </row>
    <row r="107" spans="1:23" ht="15" customHeight="1">
      <c r="A107" s="2"/>
      <c r="B107" s="2"/>
      <c r="C107" s="2"/>
      <c r="D107" s="4" t="str">
        <f>IF(C107="","",VLOOKUP(C107,Referentie!$A$2:$B$19,2,0))</f>
        <v/>
      </c>
      <c r="E107" s="7"/>
      <c r="F107" s="4"/>
      <c r="G107" s="4"/>
      <c r="H107" s="4"/>
      <c r="I107" s="4"/>
      <c r="J107" s="4"/>
      <c r="K107" s="4"/>
      <c r="L107" s="4"/>
      <c r="M107" s="4"/>
      <c r="N107" s="4" t="str">
        <f>IF(M107="","",VLOOKUP(M107,Referentie!$G$2:$I$26,2,0))</f>
        <v/>
      </c>
      <c r="O107" s="4" t="str">
        <f>IF(M107="","",VLOOKUP(M107,Referentie!$G$2:$I$26,3,0))</f>
        <v/>
      </c>
      <c r="P107" s="4" t="str">
        <f t="shared" si="31"/>
        <v/>
      </c>
      <c r="Q107" s="4" t="str">
        <f t="shared" si="32"/>
        <v/>
      </c>
      <c r="R107" s="4" t="str">
        <f t="shared" si="33"/>
        <v/>
      </c>
      <c r="S107" s="4" t="str">
        <f t="shared" si="34"/>
        <v/>
      </c>
      <c r="T107" s="4" t="str">
        <f t="shared" si="24"/>
        <v/>
      </c>
      <c r="U107" s="4" t="str">
        <f t="shared" si="35"/>
        <v/>
      </c>
      <c r="V107" s="4" t="str">
        <f t="shared" si="25"/>
        <v/>
      </c>
      <c r="W107" s="69" t="str" cm="1">
        <f t="array" ref="W107">IF(A107="","", IF(COUNTIF(Referentie!$L$2:$L$21,A107)&lt;=1, "", IFERROR(INDEX(Referentie!$M$2:$M$21, MATCH(1,(Referentie!$L$2:$L$21=A107)*(Referentie!$N$2:$N$21=S107),0)), IF(S107="Bench","", "Geen match gevonden"))) )</f>
        <v/>
      </c>
    </row>
    <row r="108" spans="1:23" ht="15" customHeight="1">
      <c r="A108" s="2"/>
      <c r="B108" s="2"/>
      <c r="C108" s="2"/>
      <c r="D108" s="4" t="str">
        <f>IF(C108="","",VLOOKUP(C108,Referentie!$A$2:$B$19,2,0))</f>
        <v/>
      </c>
      <c r="E108" s="7"/>
      <c r="F108" s="4"/>
      <c r="G108" s="4"/>
      <c r="H108" s="4"/>
      <c r="I108" s="4"/>
      <c r="J108" s="4"/>
      <c r="K108" s="4"/>
      <c r="L108" s="4"/>
      <c r="M108" s="4"/>
      <c r="N108" s="4" t="str">
        <f>IF(M108="","",VLOOKUP(M108,Referentie!$G$2:$I$26,2,0))</f>
        <v/>
      </c>
      <c r="O108" s="4" t="str">
        <f>IF(M108="","",VLOOKUP(M108,Referentie!$G$2:$I$26,3,0))</f>
        <v/>
      </c>
      <c r="P108" s="4" t="str">
        <f t="shared" si="31"/>
        <v/>
      </c>
      <c r="Q108" s="4" t="str">
        <f t="shared" si="32"/>
        <v/>
      </c>
      <c r="R108" s="4" t="str">
        <f t="shared" si="33"/>
        <v/>
      </c>
      <c r="S108" s="4" t="str">
        <f t="shared" si="34"/>
        <v/>
      </c>
      <c r="T108" s="4" t="str">
        <f t="shared" si="24"/>
        <v/>
      </c>
      <c r="U108" s="4" t="str">
        <f t="shared" si="35"/>
        <v/>
      </c>
      <c r="V108" s="4" t="str">
        <f t="shared" si="25"/>
        <v/>
      </c>
      <c r="W108" s="69" t="str" cm="1">
        <f t="array" ref="W108">IF(A108="","", IF(COUNTIF(Referentie!$L$2:$L$21,A108)&lt;=1, "", IFERROR(INDEX(Referentie!$M$2:$M$21, MATCH(1,(Referentie!$L$2:$L$21=A108)*(Referentie!$N$2:$N$21=S108),0)), IF(S108="Bench","", "Geen match gevonden"))) )</f>
        <v/>
      </c>
    </row>
    <row r="109" spans="1:23" ht="15" customHeight="1">
      <c r="A109" s="2"/>
      <c r="B109" s="2"/>
      <c r="C109" s="2"/>
      <c r="D109" s="4" t="str">
        <f>IF(C109="","",VLOOKUP(C109,Referentie!$A$2:$B$19,2,0))</f>
        <v/>
      </c>
      <c r="E109" s="7"/>
      <c r="F109" s="4"/>
      <c r="G109" s="4"/>
      <c r="H109" s="4"/>
      <c r="I109" s="4"/>
      <c r="J109" s="4"/>
      <c r="K109" s="4"/>
      <c r="L109" s="4"/>
      <c r="M109" s="4"/>
      <c r="N109" s="4" t="str">
        <f>IF(M109="","",VLOOKUP(M109,Referentie!$G$2:$I$26,2,0))</f>
        <v/>
      </c>
      <c r="O109" s="4" t="str">
        <f>IF(M109="","",VLOOKUP(M109,Referentie!$G$2:$I$26,3,0))</f>
        <v/>
      </c>
      <c r="P109" s="4" t="str">
        <f t="shared" si="31"/>
        <v/>
      </c>
      <c r="Q109" s="4" t="str">
        <f t="shared" si="32"/>
        <v/>
      </c>
      <c r="R109" s="4" t="str">
        <f t="shared" si="33"/>
        <v/>
      </c>
      <c r="S109" s="4" t="str">
        <f t="shared" si="34"/>
        <v/>
      </c>
      <c r="T109" s="4" t="str">
        <f t="shared" si="24"/>
        <v/>
      </c>
      <c r="U109" s="4" t="str">
        <f t="shared" si="35"/>
        <v/>
      </c>
      <c r="V109" s="4" t="str">
        <f t="shared" si="25"/>
        <v/>
      </c>
      <c r="W109" s="69" t="str" cm="1">
        <f t="array" ref="W109">IF(A109="","", IF(COUNTIF(Referentie!$L$2:$L$21,A109)&lt;=1, "", IFERROR(INDEX(Referentie!$M$2:$M$21, MATCH(1,(Referentie!$L$2:$L$21=A109)*(Referentie!$N$2:$N$21=S109),0)), IF(S109="Bench","", "Geen match gevonden"))) )</f>
        <v/>
      </c>
    </row>
    <row r="110" spans="1:23" ht="15" customHeight="1">
      <c r="A110" s="2"/>
      <c r="B110" s="2"/>
      <c r="C110" s="2"/>
      <c r="D110" s="4" t="str">
        <f>IF(C110="","",VLOOKUP(C110,Referentie!$A$2:$B$19,2,0))</f>
        <v/>
      </c>
      <c r="E110" s="7"/>
      <c r="F110" s="4"/>
      <c r="G110" s="4"/>
      <c r="H110" s="4"/>
      <c r="I110" s="4"/>
      <c r="J110" s="4"/>
      <c r="K110" s="4"/>
      <c r="L110" s="4"/>
      <c r="M110" s="4"/>
      <c r="N110" s="4" t="str">
        <f>IF(M110="","",VLOOKUP(M110,Referentie!$G$2:$I$26,2,0))</f>
        <v/>
      </c>
      <c r="O110" s="4" t="str">
        <f>IF(M110="","",VLOOKUP(M110,Referentie!$G$2:$I$26,3,0))</f>
        <v/>
      </c>
      <c r="P110" s="4" t="str">
        <f t="shared" si="31"/>
        <v/>
      </c>
      <c r="Q110" s="4" t="str">
        <f t="shared" si="32"/>
        <v/>
      </c>
      <c r="R110" s="4" t="str">
        <f t="shared" si="33"/>
        <v/>
      </c>
      <c r="S110" s="4" t="str">
        <f t="shared" si="34"/>
        <v/>
      </c>
      <c r="T110" s="4" t="str">
        <f t="shared" si="24"/>
        <v/>
      </c>
      <c r="U110" s="4" t="str">
        <f t="shared" si="35"/>
        <v/>
      </c>
      <c r="V110" s="4" t="str">
        <f t="shared" si="25"/>
        <v/>
      </c>
      <c r="W110" s="69" t="str" cm="1">
        <f t="array" ref="W110">IF(A110="","", IF(COUNTIF(Referentie!$L$2:$L$21,A110)&lt;=1, "", IFERROR(INDEX(Referentie!$M$2:$M$21, MATCH(1,(Referentie!$L$2:$L$21=A110)*(Referentie!$N$2:$N$21=S110),0)), IF(S110="Bench","", "Geen match gevonden"))) )</f>
        <v/>
      </c>
    </row>
    <row r="111" spans="1:23" ht="15" customHeight="1">
      <c r="A111" s="2"/>
      <c r="B111" s="2"/>
      <c r="C111" s="2"/>
      <c r="D111" s="4" t="str">
        <f>IF(C111="","",VLOOKUP(C111,Referentie!$A$2:$B$19,2,0))</f>
        <v/>
      </c>
      <c r="E111" s="7"/>
      <c r="F111" s="4"/>
      <c r="G111" s="4"/>
      <c r="H111" s="4"/>
      <c r="I111" s="4"/>
      <c r="J111" s="4"/>
      <c r="K111" s="4"/>
      <c r="L111" s="4"/>
      <c r="M111" s="4"/>
      <c r="N111" s="4" t="str">
        <f>IF(M111="","",VLOOKUP(M111,Referentie!$G$2:$I$26,2,0))</f>
        <v/>
      </c>
      <c r="O111" s="4" t="str">
        <f>IF(M111="","",VLOOKUP(M111,Referentie!$G$2:$I$26,3,0))</f>
        <v/>
      </c>
      <c r="P111" s="4" t="str">
        <f t="shared" si="31"/>
        <v/>
      </c>
      <c r="Q111" s="4" t="str">
        <f t="shared" si="32"/>
        <v/>
      </c>
      <c r="R111" s="4" t="str">
        <f t="shared" si="33"/>
        <v/>
      </c>
      <c r="S111" s="4" t="str">
        <f t="shared" si="34"/>
        <v/>
      </c>
      <c r="T111" s="4" t="str">
        <f t="shared" si="24"/>
        <v/>
      </c>
      <c r="U111" s="4" t="str">
        <f t="shared" si="35"/>
        <v/>
      </c>
      <c r="V111" s="4" t="str">
        <f t="shared" si="25"/>
        <v/>
      </c>
      <c r="W111" s="69" t="str" cm="1">
        <f t="array" ref="W111">IF(A111="","", IF(COUNTIF(Referentie!$L$2:$L$21,A111)&lt;=1, "", IFERROR(INDEX(Referentie!$M$2:$M$21, MATCH(1,(Referentie!$L$2:$L$21=A111)*(Referentie!$N$2:$N$21=S111),0)), IF(S111="Bench","", "Geen match gevonden"))) )</f>
        <v/>
      </c>
    </row>
    <row r="112" spans="1:23" ht="15" customHeight="1">
      <c r="A112" s="2"/>
      <c r="B112" s="2"/>
      <c r="C112" s="2"/>
      <c r="D112" s="4" t="str">
        <f>IF(C112="","",VLOOKUP(C112,Referentie!$A$2:$B$19,2,0))</f>
        <v/>
      </c>
      <c r="E112" s="7"/>
      <c r="F112" s="4"/>
      <c r="G112" s="4"/>
      <c r="H112" s="4"/>
      <c r="I112" s="4"/>
      <c r="J112" s="4"/>
      <c r="K112" s="4"/>
      <c r="L112" s="4"/>
      <c r="M112" s="4"/>
      <c r="N112" s="4" t="str">
        <f>IF(M112="","",VLOOKUP(M112,Referentie!$G$2:$I$26,2,0))</f>
        <v/>
      </c>
      <c r="O112" s="4" t="str">
        <f>IF(M112="","",VLOOKUP(M112,Referentie!$G$2:$I$26,3,0))</f>
        <v/>
      </c>
      <c r="P112" s="4" t="str">
        <f t="shared" si="31"/>
        <v/>
      </c>
      <c r="Q112" s="4" t="str">
        <f t="shared" si="32"/>
        <v/>
      </c>
      <c r="R112" s="4" t="str">
        <f t="shared" si="33"/>
        <v/>
      </c>
      <c r="S112" s="4" t="str">
        <f t="shared" si="34"/>
        <v/>
      </c>
      <c r="T112" s="4" t="str">
        <f t="shared" si="24"/>
        <v/>
      </c>
      <c r="U112" s="4" t="str">
        <f t="shared" si="35"/>
        <v/>
      </c>
      <c r="V112" s="4" t="str">
        <f t="shared" si="25"/>
        <v/>
      </c>
      <c r="W112" s="69" t="str" cm="1">
        <f t="array" ref="W112">IF(A112="","", IF(COUNTIF(Referentie!$L$2:$L$21,A112)&lt;=1, "", IFERROR(INDEX(Referentie!$M$2:$M$21, MATCH(1,(Referentie!$L$2:$L$21=A112)*(Referentie!$N$2:$N$21=S112),0)), IF(S112="Bench","", "Geen match gevonden"))) )</f>
        <v/>
      </c>
    </row>
    <row r="113" spans="1:23" ht="15" customHeight="1">
      <c r="A113" s="2"/>
      <c r="B113" s="2"/>
      <c r="C113" s="2"/>
      <c r="D113" s="4" t="str">
        <f>IF(C113="","",VLOOKUP(C113,Referentie!$A$2:$B$19,2,0))</f>
        <v/>
      </c>
      <c r="E113" s="7"/>
      <c r="F113" s="4"/>
      <c r="G113" s="4"/>
      <c r="H113" s="4"/>
      <c r="I113" s="4"/>
      <c r="J113" s="4"/>
      <c r="K113" s="4"/>
      <c r="L113" s="4"/>
      <c r="M113" s="4"/>
      <c r="N113" s="4" t="str">
        <f>IF(M113="","",VLOOKUP(M113,Referentie!$G$2:$I$26,2,0))</f>
        <v/>
      </c>
      <c r="O113" s="4" t="str">
        <f>IF(M113="","",VLOOKUP(M113,Referentie!$G$2:$I$26,3,0))</f>
        <v/>
      </c>
      <c r="P113" s="4" t="str">
        <f t="shared" si="31"/>
        <v/>
      </c>
      <c r="Q113" s="4" t="str">
        <f t="shared" si="32"/>
        <v/>
      </c>
      <c r="R113" s="4" t="str">
        <f t="shared" si="33"/>
        <v/>
      </c>
      <c r="S113" s="4" t="str">
        <f t="shared" si="34"/>
        <v/>
      </c>
      <c r="T113" s="4" t="str">
        <f t="shared" si="24"/>
        <v/>
      </c>
      <c r="U113" s="4" t="str">
        <f t="shared" si="35"/>
        <v/>
      </c>
      <c r="V113" s="4" t="str">
        <f t="shared" si="25"/>
        <v/>
      </c>
      <c r="W113" s="69" t="str" cm="1">
        <f t="array" ref="W113">IF(A113="","", IF(COUNTIF(Referentie!$L$2:$L$21,A113)&lt;=1, "", IFERROR(INDEX(Referentie!$M$2:$M$21, MATCH(1,(Referentie!$L$2:$L$21=A113)*(Referentie!$N$2:$N$21=S113),0)), IF(S113="Bench","", "Geen match gevonden"))) )</f>
        <v/>
      </c>
    </row>
    <row r="114" spans="1:23" ht="15" customHeight="1">
      <c r="A114" s="2"/>
      <c r="B114" s="2"/>
      <c r="C114" s="2"/>
      <c r="D114" s="4" t="str">
        <f>IF(C114="","",VLOOKUP(C114,Referentie!$A$2:$B$19,2,0))</f>
        <v/>
      </c>
      <c r="E114" s="7"/>
      <c r="F114" s="4"/>
      <c r="G114" s="4"/>
      <c r="H114" s="4"/>
      <c r="I114" s="4"/>
      <c r="J114" s="4"/>
      <c r="K114" s="4"/>
      <c r="L114" s="4"/>
      <c r="M114" s="4"/>
      <c r="N114" s="4" t="str">
        <f>IF(M114="","",VLOOKUP(M114,Referentie!$G$2:$I$26,2,0))</f>
        <v/>
      </c>
      <c r="O114" s="4" t="str">
        <f>IF(M114="","",VLOOKUP(M114,Referentie!$G$2:$I$26,3,0))</f>
        <v/>
      </c>
      <c r="P114" s="4" t="str">
        <f t="shared" si="31"/>
        <v/>
      </c>
      <c r="Q114" s="4" t="str">
        <f t="shared" si="32"/>
        <v/>
      </c>
      <c r="R114" s="4" t="str">
        <f t="shared" si="33"/>
        <v/>
      </c>
      <c r="S114" s="4" t="str">
        <f t="shared" si="34"/>
        <v/>
      </c>
      <c r="T114" s="4" t="str">
        <f t="shared" si="24"/>
        <v/>
      </c>
      <c r="U114" s="4" t="str">
        <f t="shared" si="35"/>
        <v/>
      </c>
      <c r="V114" s="4" t="str">
        <f t="shared" si="25"/>
        <v/>
      </c>
      <c r="W114" s="69" t="str" cm="1">
        <f t="array" ref="W114">IF(A114="","", IF(COUNTIF(Referentie!$L$2:$L$21,A114)&lt;=1, "", IFERROR(INDEX(Referentie!$M$2:$M$21, MATCH(1,(Referentie!$L$2:$L$21=A114)*(Referentie!$N$2:$N$21=S114),0)), IF(S114="Bench","", "Geen match gevonden"))) )</f>
        <v/>
      </c>
    </row>
    <row r="115" spans="1:23" ht="15" customHeight="1">
      <c r="A115" s="2"/>
      <c r="B115" s="2"/>
      <c r="C115" s="2"/>
      <c r="D115" s="4" t="str">
        <f>IF(C115="","",VLOOKUP(C115,Referentie!$A$2:$B$19,2,0))</f>
        <v/>
      </c>
      <c r="E115" s="7"/>
      <c r="F115" s="4"/>
      <c r="G115" s="4"/>
      <c r="H115" s="4"/>
      <c r="I115" s="4"/>
      <c r="J115" s="4"/>
      <c r="K115" s="4"/>
      <c r="L115" s="4"/>
      <c r="M115" s="4"/>
      <c r="N115" s="4" t="str">
        <f>IF(M115="","",VLOOKUP(M115,Referentie!$G$2:$I$26,2,0))</f>
        <v/>
      </c>
      <c r="O115" s="4" t="str">
        <f>IF(M115="","",VLOOKUP(M115,Referentie!$G$2:$I$26,3,0))</f>
        <v/>
      </c>
      <c r="P115" s="4" t="str">
        <f t="shared" si="31"/>
        <v/>
      </c>
      <c r="Q115" s="4" t="str">
        <f t="shared" si="32"/>
        <v/>
      </c>
      <c r="R115" s="4" t="str">
        <f t="shared" si="33"/>
        <v/>
      </c>
      <c r="S115" s="4" t="str">
        <f t="shared" si="34"/>
        <v/>
      </c>
      <c r="T115" s="4" t="str">
        <f t="shared" si="24"/>
        <v/>
      </c>
      <c r="U115" s="4" t="str">
        <f t="shared" si="35"/>
        <v/>
      </c>
      <c r="V115" s="4" t="str">
        <f t="shared" si="25"/>
        <v/>
      </c>
      <c r="W115" s="69" t="str" cm="1">
        <f t="array" ref="W115">IF(A115="","", IF(COUNTIF(Referentie!$L$2:$L$21,A115)&lt;=1, "", IFERROR(INDEX(Referentie!$M$2:$M$21, MATCH(1,(Referentie!$L$2:$L$21=A115)*(Referentie!$N$2:$N$21=S115),0)), IF(S115="Bench","", "Geen match gevonden"))) )</f>
        <v/>
      </c>
    </row>
    <row r="116" spans="1:23" ht="15" customHeight="1">
      <c r="A116" s="2"/>
      <c r="B116" s="2"/>
      <c r="C116" s="2"/>
      <c r="D116" s="4" t="str">
        <f>IF(C116="","",VLOOKUP(C116,Referentie!$A$2:$B$19,2,0))</f>
        <v/>
      </c>
      <c r="E116" s="7"/>
      <c r="F116" s="4"/>
      <c r="G116" s="4"/>
      <c r="H116" s="4"/>
      <c r="I116" s="4"/>
      <c r="J116" s="4"/>
      <c r="K116" s="4"/>
      <c r="L116" s="4"/>
      <c r="M116" s="4"/>
      <c r="N116" s="4" t="str">
        <f>IF(M116="","",VLOOKUP(M116,Referentie!$G$2:$I$26,2,0))</f>
        <v/>
      </c>
      <c r="O116" s="4" t="str">
        <f>IF(M116="","",VLOOKUP(M116,Referentie!$G$2:$I$26,3,0))</f>
        <v/>
      </c>
      <c r="P116" s="4" t="str">
        <f t="shared" si="31"/>
        <v/>
      </c>
      <c r="Q116" s="4" t="str">
        <f t="shared" si="32"/>
        <v/>
      </c>
      <c r="R116" s="4" t="str">
        <f t="shared" si="33"/>
        <v/>
      </c>
      <c r="S116" s="4" t="str">
        <f t="shared" si="34"/>
        <v/>
      </c>
      <c r="T116" s="4" t="str">
        <f t="shared" si="24"/>
        <v/>
      </c>
      <c r="U116" s="4" t="str">
        <f t="shared" si="35"/>
        <v/>
      </c>
      <c r="V116" s="4" t="str">
        <f t="shared" si="25"/>
        <v/>
      </c>
      <c r="W116" s="69" t="str" cm="1">
        <f t="array" ref="W116">IF(A116="","", IF(COUNTIF(Referentie!$L$2:$L$21,A116)&lt;=1, "", IFERROR(INDEX(Referentie!$M$2:$M$21, MATCH(1,(Referentie!$L$2:$L$21=A116)*(Referentie!$N$2:$N$21=S116),0)), IF(S116="Bench","", "Geen match gevonden"))) )</f>
        <v/>
      </c>
    </row>
    <row r="117" spans="1:23" ht="15" customHeight="1">
      <c r="A117" s="2"/>
      <c r="B117" s="2"/>
      <c r="C117" s="2"/>
      <c r="D117" s="4" t="str">
        <f>IF(C117="","",VLOOKUP(C117,Referentie!$A$2:$B$19,2,0))</f>
        <v/>
      </c>
      <c r="E117" s="7"/>
      <c r="F117" s="4"/>
      <c r="G117" s="4"/>
      <c r="H117" s="4"/>
      <c r="I117" s="4"/>
      <c r="J117" s="4"/>
      <c r="K117" s="4"/>
      <c r="L117" s="4"/>
      <c r="M117" s="4"/>
      <c r="N117" s="4" t="str">
        <f>IF(M117="","",VLOOKUP(M117,Referentie!$G$2:$I$26,2,0))</f>
        <v/>
      </c>
      <c r="O117" s="4" t="str">
        <f>IF(M117="","",VLOOKUP(M117,Referentie!$G$2:$I$26,3,0))</f>
        <v/>
      </c>
      <c r="P117" s="4" t="str">
        <f t="shared" si="31"/>
        <v/>
      </c>
      <c r="Q117" s="4" t="str">
        <f t="shared" si="32"/>
        <v/>
      </c>
      <c r="R117" s="4" t="str">
        <f t="shared" si="33"/>
        <v/>
      </c>
      <c r="S117" s="4" t="str">
        <f t="shared" si="34"/>
        <v/>
      </c>
      <c r="T117" s="4" t="str">
        <f t="shared" si="24"/>
        <v/>
      </c>
      <c r="U117" s="4" t="str">
        <f t="shared" si="35"/>
        <v/>
      </c>
      <c r="V117" s="4" t="str">
        <f t="shared" si="25"/>
        <v/>
      </c>
      <c r="W117" s="69" t="str" cm="1">
        <f t="array" ref="W117">IF(A117="","", IF(COUNTIF(Referentie!$L$2:$L$21,A117)&lt;=1, "", IFERROR(INDEX(Referentie!$M$2:$M$21, MATCH(1,(Referentie!$L$2:$L$21=A117)*(Referentie!$N$2:$N$21=S117),0)), IF(S117="Bench","", "Geen match gevonden"))) )</f>
        <v/>
      </c>
    </row>
    <row r="118" spans="1:23" ht="15" customHeight="1">
      <c r="A118" s="2"/>
      <c r="B118" s="2"/>
      <c r="C118" s="2"/>
      <c r="D118" s="4" t="str">
        <f>IF(C118="","",VLOOKUP(C118,Referentie!$A$2:$B$19,2,0))</f>
        <v/>
      </c>
      <c r="E118" s="7"/>
      <c r="F118" s="4"/>
      <c r="G118" s="4"/>
      <c r="H118" s="4"/>
      <c r="I118" s="4"/>
      <c r="J118" s="4"/>
      <c r="K118" s="4"/>
      <c r="L118" s="4"/>
      <c r="M118" s="4"/>
      <c r="N118" s="4" t="str">
        <f>IF(M118="","",VLOOKUP(M118,Referentie!$G$2:$I$26,2,0))</f>
        <v/>
      </c>
      <c r="O118" s="4" t="str">
        <f>IF(M118="","",VLOOKUP(M118,Referentie!$G$2:$I$26,3,0))</f>
        <v/>
      </c>
      <c r="P118" s="4" t="str">
        <f t="shared" si="31"/>
        <v/>
      </c>
      <c r="Q118" s="4" t="str">
        <f t="shared" si="32"/>
        <v/>
      </c>
      <c r="R118" s="4" t="str">
        <f t="shared" si="33"/>
        <v/>
      </c>
      <c r="S118" s="4" t="str">
        <f t="shared" si="34"/>
        <v/>
      </c>
      <c r="T118" s="4" t="str">
        <f t="shared" si="24"/>
        <v/>
      </c>
      <c r="U118" s="4" t="str">
        <f t="shared" si="35"/>
        <v/>
      </c>
      <c r="V118" s="4" t="str">
        <f t="shared" si="25"/>
        <v/>
      </c>
      <c r="W118" s="69" t="str" cm="1">
        <f t="array" ref="W118">IF(A118="","", IF(COUNTIF(Referentie!$L$2:$L$21,A118)&lt;=1, "", IFERROR(INDEX(Referentie!$M$2:$M$21, MATCH(1,(Referentie!$L$2:$L$21=A118)*(Referentie!$N$2:$N$21=S118),0)), IF(S118="Bench","", "Geen match gevonden"))) )</f>
        <v/>
      </c>
    </row>
    <row r="119" spans="1:23" ht="15" customHeight="1">
      <c r="A119" s="2"/>
      <c r="B119" s="2"/>
      <c r="C119" s="2"/>
      <c r="D119" s="4" t="str">
        <f>IF(C119="","",VLOOKUP(C119,Referentie!$A$2:$B$19,2,0))</f>
        <v/>
      </c>
      <c r="E119" s="7"/>
      <c r="F119" s="4"/>
      <c r="G119" s="4"/>
      <c r="H119" s="4"/>
      <c r="I119" s="4"/>
      <c r="J119" s="4"/>
      <c r="K119" s="4"/>
      <c r="L119" s="4"/>
      <c r="M119" s="4"/>
      <c r="N119" s="4" t="str">
        <f>IF(M119="","",VLOOKUP(M119,Referentie!$G$2:$I$26,2,0))</f>
        <v/>
      </c>
      <c r="O119" s="4" t="str">
        <f>IF(M119="","",VLOOKUP(M119,Referentie!$G$2:$I$26,3,0))</f>
        <v/>
      </c>
      <c r="P119" s="4" t="str">
        <f t="shared" si="31"/>
        <v/>
      </c>
      <c r="Q119" s="4" t="str">
        <f t="shared" si="32"/>
        <v/>
      </c>
      <c r="R119" s="4" t="str">
        <f t="shared" si="33"/>
        <v/>
      </c>
      <c r="S119" s="4" t="str">
        <f t="shared" si="34"/>
        <v/>
      </c>
      <c r="T119" s="4" t="str">
        <f t="shared" si="24"/>
        <v/>
      </c>
      <c r="U119" s="4" t="str">
        <f t="shared" si="35"/>
        <v/>
      </c>
      <c r="V119" s="4" t="str">
        <f t="shared" si="25"/>
        <v/>
      </c>
      <c r="W119" s="69" t="str" cm="1">
        <f t="array" ref="W119">IF(A119="","", IF(COUNTIF(Referentie!$L$2:$L$21,A119)&lt;=1, "", IFERROR(INDEX(Referentie!$M$2:$M$21, MATCH(1,(Referentie!$L$2:$L$21=A119)*(Referentie!$N$2:$N$21=S119),0)), IF(S119="Bench","", "Geen match gevonden"))) )</f>
        <v/>
      </c>
    </row>
    <row r="120" spans="1:23" ht="15" customHeight="1">
      <c r="A120" s="2"/>
      <c r="B120" s="2"/>
      <c r="C120" s="2"/>
      <c r="D120" s="4" t="str">
        <f>IF(C120="","",VLOOKUP(C120,Referentie!$A$2:$B$19,2,0))</f>
        <v/>
      </c>
      <c r="E120" s="7"/>
      <c r="F120" s="4"/>
      <c r="G120" s="4"/>
      <c r="H120" s="4"/>
      <c r="I120" s="4"/>
      <c r="J120" s="4"/>
      <c r="K120" s="4"/>
      <c r="L120" s="4"/>
      <c r="M120" s="4"/>
      <c r="N120" s="4" t="str">
        <f>IF(M120="","",VLOOKUP(M120,Referentie!$G$2:$I$26,2,0))</f>
        <v/>
      </c>
      <c r="O120" s="4" t="str">
        <f>IF(M120="","",VLOOKUP(M120,Referentie!$G$2:$I$26,3,0))</f>
        <v/>
      </c>
      <c r="P120" s="4" t="str">
        <f t="shared" si="31"/>
        <v/>
      </c>
      <c r="Q120" s="4" t="str">
        <f t="shared" si="32"/>
        <v/>
      </c>
      <c r="R120" s="4" t="str">
        <f t="shared" si="33"/>
        <v/>
      </c>
      <c r="S120" s="4" t="str">
        <f t="shared" si="34"/>
        <v/>
      </c>
      <c r="T120" s="4" t="str">
        <f t="shared" si="24"/>
        <v/>
      </c>
      <c r="U120" s="4" t="str">
        <f t="shared" si="35"/>
        <v/>
      </c>
      <c r="V120" s="4" t="str">
        <f t="shared" si="25"/>
        <v/>
      </c>
      <c r="W120" s="69" t="str" cm="1">
        <f t="array" ref="W120">IF(A120="","", IF(COUNTIF(Referentie!$L$2:$L$21,A120)&lt;=1, "", IFERROR(INDEX(Referentie!$M$2:$M$21, MATCH(1,(Referentie!$L$2:$L$21=A120)*(Referentie!$N$2:$N$21=S120),0)), IF(S120="Bench","", "Geen match gevonden"))) )</f>
        <v/>
      </c>
    </row>
    <row r="121" spans="1:23" ht="15" customHeight="1">
      <c r="A121" s="2"/>
      <c r="B121" s="2"/>
      <c r="C121" s="2"/>
      <c r="D121" s="4" t="str">
        <f>IF(C121="","",VLOOKUP(C121,Referentie!$A$2:$B$19,2,0))</f>
        <v/>
      </c>
      <c r="E121" s="7"/>
      <c r="F121" s="4"/>
      <c r="G121" s="4"/>
      <c r="H121" s="4"/>
      <c r="I121" s="4"/>
      <c r="J121" s="4"/>
      <c r="K121" s="4"/>
      <c r="L121" s="4"/>
      <c r="M121" s="4"/>
      <c r="N121" s="4" t="str">
        <f>IF(M121="","",VLOOKUP(M121,Referentie!$G$2:$I$26,2,0))</f>
        <v/>
      </c>
      <c r="O121" s="4" t="str">
        <f>IF(M121="","",VLOOKUP(M121,Referentie!$G$2:$I$26,3,0))</f>
        <v/>
      </c>
      <c r="P121" s="4" t="str">
        <f t="shared" si="31"/>
        <v/>
      </c>
      <c r="Q121" s="4" t="str">
        <f t="shared" si="32"/>
        <v/>
      </c>
      <c r="R121" s="4" t="str">
        <f t="shared" si="33"/>
        <v/>
      </c>
      <c r="S121" s="4" t="str">
        <f t="shared" si="34"/>
        <v/>
      </c>
      <c r="T121" s="4" t="str">
        <f t="shared" si="24"/>
        <v/>
      </c>
      <c r="U121" s="4" t="str">
        <f t="shared" si="35"/>
        <v/>
      </c>
      <c r="V121" s="4" t="str">
        <f t="shared" si="25"/>
        <v/>
      </c>
      <c r="W121" s="69" t="str" cm="1">
        <f t="array" ref="W121">IF(A121="","", IF(COUNTIF(Referentie!$L$2:$L$21,A121)&lt;=1, "", IFERROR(INDEX(Referentie!$M$2:$M$21, MATCH(1,(Referentie!$L$2:$L$21=A121)*(Referentie!$N$2:$N$21=S121),0)), IF(S121="Bench","", "Geen match gevonden"))) )</f>
        <v/>
      </c>
    </row>
    <row r="122" spans="1:23" ht="15" customHeight="1">
      <c r="A122" s="2"/>
      <c r="B122" s="2"/>
      <c r="C122" s="2"/>
      <c r="D122" s="4" t="str">
        <f>IF(C122="","",VLOOKUP(C122,Referentie!$A$2:$B$19,2,0))</f>
        <v/>
      </c>
      <c r="E122" s="7"/>
      <c r="F122" s="4"/>
      <c r="G122" s="4"/>
      <c r="H122" s="4"/>
      <c r="I122" s="4"/>
      <c r="J122" s="4"/>
      <c r="K122" s="4"/>
      <c r="L122" s="4"/>
      <c r="M122" s="4"/>
      <c r="N122" s="4" t="str">
        <f>IF(M122="","",VLOOKUP(M122,Referentie!$G$2:$I$26,2,0))</f>
        <v/>
      </c>
      <c r="O122" s="4" t="str">
        <f>IF(M122="","",VLOOKUP(M122,Referentie!$G$2:$I$26,3,0))</f>
        <v/>
      </c>
      <c r="P122" s="4" t="str">
        <f t="shared" si="31"/>
        <v/>
      </c>
      <c r="Q122" s="4" t="str">
        <f t="shared" si="32"/>
        <v/>
      </c>
      <c r="R122" s="4" t="str">
        <f t="shared" si="33"/>
        <v/>
      </c>
      <c r="S122" s="4" t="str">
        <f t="shared" si="34"/>
        <v/>
      </c>
      <c r="T122" s="4" t="str">
        <f t="shared" si="24"/>
        <v/>
      </c>
      <c r="U122" s="4" t="str">
        <f t="shared" si="35"/>
        <v/>
      </c>
      <c r="V122" s="4" t="str">
        <f t="shared" si="25"/>
        <v/>
      </c>
      <c r="W122" s="69" t="str" cm="1">
        <f t="array" ref="W122">IF(A122="","", IF(COUNTIF(Referentie!$L$2:$L$21,A122)&lt;=1, "", IFERROR(INDEX(Referentie!$M$2:$M$21, MATCH(1,(Referentie!$L$2:$L$21=A122)*(Referentie!$N$2:$N$21=S122),0)), IF(S122="Bench","", "Geen match gevonden"))) )</f>
        <v/>
      </c>
    </row>
    <row r="123" spans="1:23" ht="15" customHeight="1">
      <c r="A123" s="2"/>
      <c r="B123" s="2"/>
      <c r="C123" s="2"/>
      <c r="D123" s="4" t="str">
        <f>IF(C123="","",VLOOKUP(C123,Referentie!$A$2:$B$19,2,0))</f>
        <v/>
      </c>
      <c r="E123" s="7"/>
      <c r="F123" s="4"/>
      <c r="G123" s="4"/>
      <c r="H123" s="4"/>
      <c r="I123" s="4"/>
      <c r="J123" s="4"/>
      <c r="K123" s="4"/>
      <c r="L123" s="4"/>
      <c r="M123" s="4"/>
      <c r="N123" s="4" t="str">
        <f>IF(M123="","",VLOOKUP(M123,Referentie!$G$2:$I$26,2,0))</f>
        <v/>
      </c>
      <c r="O123" s="4" t="str">
        <f>IF(M123="","",VLOOKUP(M123,Referentie!$G$2:$I$26,3,0))</f>
        <v/>
      </c>
      <c r="P123" s="4" t="str">
        <f t="shared" si="31"/>
        <v/>
      </c>
      <c r="Q123" s="4" t="str">
        <f t="shared" si="32"/>
        <v/>
      </c>
      <c r="R123" s="4" t="str">
        <f t="shared" si="33"/>
        <v/>
      </c>
      <c r="S123" s="4" t="str">
        <f t="shared" si="34"/>
        <v/>
      </c>
      <c r="T123" s="4" t="str">
        <f t="shared" si="24"/>
        <v/>
      </c>
      <c r="U123" s="4" t="str">
        <f t="shared" si="35"/>
        <v/>
      </c>
      <c r="V123" s="4" t="str">
        <f t="shared" si="25"/>
        <v/>
      </c>
      <c r="W123" s="69" t="str" cm="1">
        <f t="array" ref="W123">IF(A123="","", IF(COUNTIF(Referentie!$L$2:$L$21,A123)&lt;=1, "", IFERROR(INDEX(Referentie!$M$2:$M$21, MATCH(1,(Referentie!$L$2:$L$21=A123)*(Referentie!$N$2:$N$21=S123),0)), IF(S123="Bench","", "Geen match gevonden"))) )</f>
        <v/>
      </c>
    </row>
    <row r="124" spans="1:23" ht="15" customHeight="1">
      <c r="A124" s="2"/>
      <c r="B124" s="2"/>
      <c r="C124" s="2"/>
      <c r="D124" s="4" t="str">
        <f>IF(C124="","",VLOOKUP(C124,Referentie!$A$2:$B$19,2,0))</f>
        <v/>
      </c>
      <c r="E124" s="7"/>
      <c r="F124" s="4"/>
      <c r="G124" s="4"/>
      <c r="H124" s="4"/>
      <c r="I124" s="4"/>
      <c r="J124" s="4"/>
      <c r="K124" s="4"/>
      <c r="L124" s="4"/>
      <c r="M124" s="4"/>
      <c r="N124" s="4" t="str">
        <f>IF(M124="","",VLOOKUP(M124,Referentie!$G$2:$I$26,2,0))</f>
        <v/>
      </c>
      <c r="O124" s="4" t="str">
        <f>IF(M124="","",VLOOKUP(M124,Referentie!$G$2:$I$26,3,0))</f>
        <v/>
      </c>
      <c r="P124" s="4" t="str">
        <f t="shared" si="31"/>
        <v/>
      </c>
      <c r="Q124" s="4" t="str">
        <f t="shared" si="32"/>
        <v/>
      </c>
      <c r="R124" s="4" t="str">
        <f t="shared" si="33"/>
        <v/>
      </c>
      <c r="S124" s="4" t="str">
        <f t="shared" si="34"/>
        <v/>
      </c>
      <c r="T124" s="4" t="str">
        <f t="shared" si="24"/>
        <v/>
      </c>
      <c r="U124" s="4" t="str">
        <f t="shared" si="35"/>
        <v/>
      </c>
      <c r="V124" s="4" t="str">
        <f t="shared" si="25"/>
        <v/>
      </c>
      <c r="W124" s="69" t="str" cm="1">
        <f t="array" ref="W124">IF(A124="","", IF(COUNTIF(Referentie!$L$2:$L$21,A124)&lt;=1, "", IFERROR(INDEX(Referentie!$M$2:$M$21, MATCH(1,(Referentie!$L$2:$L$21=A124)*(Referentie!$N$2:$N$21=S124),0)), IF(S124="Bench","", "Geen match gevonden"))) )</f>
        <v/>
      </c>
    </row>
    <row r="125" spans="1:23" ht="15" customHeight="1">
      <c r="A125" s="2"/>
      <c r="B125" s="2"/>
      <c r="C125" s="2"/>
      <c r="D125" s="4" t="str">
        <f>IF(C125="","",VLOOKUP(C125,Referentie!$A$2:$B$19,2,0))</f>
        <v/>
      </c>
      <c r="E125" s="7"/>
      <c r="F125" s="4"/>
      <c r="G125" s="4"/>
      <c r="H125" s="4"/>
      <c r="I125" s="4"/>
      <c r="J125" s="4"/>
      <c r="K125" s="4"/>
      <c r="L125" s="4"/>
      <c r="M125" s="4"/>
      <c r="N125" s="4" t="str">
        <f>IF(M125="","",VLOOKUP(M125,Referentie!$G$2:$I$26,2,0))</f>
        <v/>
      </c>
      <c r="O125" s="4" t="str">
        <f>IF(M125="","",VLOOKUP(M125,Referentie!$G$2:$I$26,3,0))</f>
        <v/>
      </c>
      <c r="P125" s="4" t="str">
        <f t="shared" si="31"/>
        <v/>
      </c>
      <c r="Q125" s="4" t="str">
        <f t="shared" si="32"/>
        <v/>
      </c>
      <c r="R125" s="4" t="str">
        <f t="shared" si="33"/>
        <v/>
      </c>
      <c r="S125" s="4" t="str">
        <f t="shared" si="34"/>
        <v/>
      </c>
      <c r="T125" s="4" t="str">
        <f t="shared" si="24"/>
        <v/>
      </c>
      <c r="U125" s="4" t="str">
        <f t="shared" si="35"/>
        <v/>
      </c>
      <c r="V125" s="4" t="str">
        <f t="shared" si="25"/>
        <v/>
      </c>
      <c r="W125" s="69" t="str" cm="1">
        <f t="array" ref="W125">IF(A125="","", IF(COUNTIF(Referentie!$L$2:$L$21,A125)&lt;=1, "", IFERROR(INDEX(Referentie!$M$2:$M$21, MATCH(1,(Referentie!$L$2:$L$21=A125)*(Referentie!$N$2:$N$21=S125),0)), IF(S125="Bench","", "Geen match gevonden"))) )</f>
        <v/>
      </c>
    </row>
    <row r="126" spans="1:23" ht="15" customHeight="1">
      <c r="A126" s="2"/>
      <c r="B126" s="2"/>
      <c r="C126" s="2"/>
      <c r="D126" s="4" t="str">
        <f>IF(C126="","",VLOOKUP(C126,Referentie!$A$2:$B$19,2,0))</f>
        <v/>
      </c>
      <c r="E126" s="7"/>
      <c r="F126" s="4"/>
      <c r="G126" s="4"/>
      <c r="H126" s="4"/>
      <c r="I126" s="4"/>
      <c r="J126" s="4"/>
      <c r="K126" s="4"/>
      <c r="L126" s="4"/>
      <c r="M126" s="4"/>
      <c r="N126" s="4" t="str">
        <f>IF(M126="","",VLOOKUP(M126,Referentie!$G$2:$I$26,2,0))</f>
        <v/>
      </c>
      <c r="O126" s="4" t="str">
        <f>IF(M126="","",VLOOKUP(M126,Referentie!$G$2:$I$26,3,0))</f>
        <v/>
      </c>
      <c r="P126" s="4" t="str">
        <f t="shared" si="31"/>
        <v/>
      </c>
      <c r="Q126" s="4" t="str">
        <f t="shared" si="32"/>
        <v/>
      </c>
      <c r="R126" s="4" t="str">
        <f t="shared" si="33"/>
        <v/>
      </c>
      <c r="S126" s="4" t="str">
        <f t="shared" si="34"/>
        <v/>
      </c>
      <c r="T126" s="4" t="str">
        <f t="shared" si="24"/>
        <v/>
      </c>
      <c r="U126" s="4" t="str">
        <f t="shared" si="35"/>
        <v/>
      </c>
      <c r="V126" s="4" t="str">
        <f t="shared" si="25"/>
        <v/>
      </c>
      <c r="W126" s="69" t="str" cm="1">
        <f t="array" ref="W126">IF(A126="","", IF(COUNTIF(Referentie!$L$2:$L$21,A126)&lt;=1, "", IFERROR(INDEX(Referentie!$M$2:$M$21, MATCH(1,(Referentie!$L$2:$L$21=A126)*(Referentie!$N$2:$N$21=S126),0)), IF(S126="Bench","", "Geen match gevonden"))) )</f>
        <v/>
      </c>
    </row>
    <row r="127" spans="1:23" ht="15" customHeight="1">
      <c r="A127" s="2"/>
      <c r="B127" s="2"/>
      <c r="C127" s="2"/>
      <c r="D127" s="4" t="str">
        <f>IF(C127="","",VLOOKUP(C127,Referentie!$A$2:$B$19,2,0))</f>
        <v/>
      </c>
      <c r="E127" s="7"/>
      <c r="F127" s="4"/>
      <c r="G127" s="4"/>
      <c r="H127" s="4"/>
      <c r="I127" s="4"/>
      <c r="J127" s="4"/>
      <c r="K127" s="4"/>
      <c r="L127" s="4"/>
      <c r="M127" s="4"/>
      <c r="N127" s="4" t="str">
        <f>IF(M127="","",VLOOKUP(M127,Referentie!$G$2:$I$26,2,0))</f>
        <v/>
      </c>
      <c r="O127" s="4" t="str">
        <f>IF(M127="","",VLOOKUP(M127,Referentie!$G$2:$I$26,3,0))</f>
        <v/>
      </c>
      <c r="P127" s="4" t="str">
        <f t="shared" si="31"/>
        <v/>
      </c>
      <c r="Q127" s="4" t="str">
        <f t="shared" si="32"/>
        <v/>
      </c>
      <c r="R127" s="4" t="str">
        <f t="shared" si="33"/>
        <v/>
      </c>
      <c r="S127" s="4" t="str">
        <f t="shared" si="34"/>
        <v/>
      </c>
      <c r="T127" s="4" t="str">
        <f t="shared" si="24"/>
        <v/>
      </c>
      <c r="U127" s="4" t="str">
        <f t="shared" si="35"/>
        <v/>
      </c>
      <c r="V127" s="4" t="str">
        <f t="shared" si="25"/>
        <v/>
      </c>
      <c r="W127" s="69" t="str" cm="1">
        <f t="array" ref="W127">IF(A127="","", IF(COUNTIF(Referentie!$L$2:$L$21,A127)&lt;=1, "", IFERROR(INDEX(Referentie!$M$2:$M$21, MATCH(1,(Referentie!$L$2:$L$21=A127)*(Referentie!$N$2:$N$21=S127),0)), IF(S127="Bench","", "Geen match gevonden"))) )</f>
        <v/>
      </c>
    </row>
    <row r="128" spans="1:23" ht="15" customHeight="1">
      <c r="A128" s="2"/>
      <c r="B128" s="2"/>
      <c r="C128" s="2"/>
      <c r="D128" s="4" t="str">
        <f>IF(C128="","",VLOOKUP(C128,Referentie!$A$2:$B$19,2,0))</f>
        <v/>
      </c>
      <c r="E128" s="7"/>
      <c r="F128" s="4"/>
      <c r="G128" s="4"/>
      <c r="H128" s="4"/>
      <c r="I128" s="4"/>
      <c r="J128" s="4"/>
      <c r="K128" s="4"/>
      <c r="L128" s="4"/>
      <c r="M128" s="4"/>
      <c r="N128" s="4" t="str">
        <f>IF(M128="","",VLOOKUP(M128,Referentie!$G$2:$I$26,2,0))</f>
        <v/>
      </c>
      <c r="O128" s="4" t="str">
        <f>IF(M128="","",VLOOKUP(M128,Referentie!$G$2:$I$26,3,0))</f>
        <v/>
      </c>
      <c r="P128" s="4" t="str">
        <f t="shared" si="31"/>
        <v/>
      </c>
      <c r="Q128" s="4" t="str">
        <f t="shared" si="32"/>
        <v/>
      </c>
      <c r="R128" s="4" t="str">
        <f t="shared" si="33"/>
        <v/>
      </c>
      <c r="S128" s="4" t="str">
        <f t="shared" si="34"/>
        <v/>
      </c>
      <c r="T128" s="4" t="str">
        <f t="shared" si="24"/>
        <v/>
      </c>
      <c r="U128" s="4" t="str">
        <f t="shared" si="35"/>
        <v/>
      </c>
      <c r="V128" s="4" t="str">
        <f t="shared" si="25"/>
        <v/>
      </c>
      <c r="W128" s="69" t="str" cm="1">
        <f t="array" ref="W128">IF(A128="","", IF(COUNTIF(Referentie!$L$2:$L$21,A128)&lt;=1, "", IFERROR(INDEX(Referentie!$M$2:$M$21, MATCH(1,(Referentie!$L$2:$L$21=A128)*(Referentie!$N$2:$N$21=S128),0)), IF(S128="Bench","", "Geen match gevonden"))) )</f>
        <v/>
      </c>
    </row>
    <row r="129" spans="1:23" ht="15" customHeight="1">
      <c r="A129" s="2"/>
      <c r="B129" s="2"/>
      <c r="C129" s="2"/>
      <c r="D129" s="4" t="str">
        <f>IF(C129="","",VLOOKUP(C129,Referentie!$A$2:$B$19,2,0))</f>
        <v/>
      </c>
      <c r="E129" s="7"/>
      <c r="F129" s="4"/>
      <c r="G129" s="4"/>
      <c r="H129" s="4"/>
      <c r="I129" s="4"/>
      <c r="J129" s="4"/>
      <c r="K129" s="4"/>
      <c r="L129" s="4"/>
      <c r="M129" s="4"/>
      <c r="N129" s="4" t="str">
        <f>IF(M129="","",VLOOKUP(M129,Referentie!$G$2:$I$26,2,0))</f>
        <v/>
      </c>
      <c r="O129" s="4" t="str">
        <f>IF(M129="","",VLOOKUP(M129,Referentie!$G$2:$I$26,3,0))</f>
        <v/>
      </c>
      <c r="P129" s="4" t="str">
        <f t="shared" si="31"/>
        <v/>
      </c>
      <c r="Q129" s="4" t="str">
        <f t="shared" si="32"/>
        <v/>
      </c>
      <c r="R129" s="4" t="str">
        <f t="shared" si="33"/>
        <v/>
      </c>
      <c r="S129" s="4" t="str">
        <f t="shared" si="34"/>
        <v/>
      </c>
      <c r="T129" s="4" t="str">
        <f t="shared" si="24"/>
        <v/>
      </c>
      <c r="U129" s="4" t="str">
        <f t="shared" si="35"/>
        <v/>
      </c>
      <c r="V129" s="4" t="str">
        <f t="shared" si="25"/>
        <v/>
      </c>
      <c r="W129" s="69" t="str" cm="1">
        <f t="array" ref="W129">IF(A129="","", IF(COUNTIF(Referentie!$L$2:$L$21,A129)&lt;=1, "", IFERROR(INDEX(Referentie!$M$2:$M$21, MATCH(1,(Referentie!$L$2:$L$21=A129)*(Referentie!$N$2:$N$21=S129),0)), IF(S129="Bench","", "Geen match gevonden"))) )</f>
        <v/>
      </c>
    </row>
    <row r="130" spans="1:23" ht="15" customHeight="1">
      <c r="A130" s="2"/>
      <c r="B130" s="2"/>
      <c r="C130" s="2"/>
      <c r="D130" s="4" t="str">
        <f>IF(C130="","",VLOOKUP(C130,Referentie!$A$2:$B$19,2,0))</f>
        <v/>
      </c>
      <c r="E130" s="7"/>
      <c r="F130" s="4"/>
      <c r="G130" s="4"/>
      <c r="H130" s="4"/>
      <c r="I130" s="4"/>
      <c r="J130" s="4"/>
      <c r="K130" s="4"/>
      <c r="L130" s="4"/>
      <c r="M130" s="4"/>
      <c r="N130" s="4" t="str">
        <f>IF(M130="","",VLOOKUP(M130,Referentie!$G$2:$I$26,2,0))</f>
        <v/>
      </c>
      <c r="O130" s="4" t="str">
        <f>IF(M130="","",VLOOKUP(M130,Referentie!$G$2:$I$26,3,0))</f>
        <v/>
      </c>
      <c r="P130" s="4" t="str">
        <f>IF(A130="","",  (IF(N130="Speed of Help",2,0)) + (IF(O130="Speed of Help",-2,0)) + (IF(N130="EXP Gains",1,0)) + (IF(O130="EXP Gains",-1,0)) +  (COUNTIF(H130:L130,"Helping Speed S")*1) + (COUNTIF(H130:L130,"Helping Speed M")*2) + (COUNTIF(H130:L130,"Berry Finding S")*2) + (COUNTIF(H130:L130,"Helping Bonus")*1) +  (IF(O130="Ingredient Finding",0,0)) + (IF(O130="Main Skill Chance",0,0))  )</f>
        <v/>
      </c>
      <c r="Q130" s="4" t="str">
        <f>IF(A130="","",  (IF(N130="Ingredient Finding",2,0)) + (IF(O130="Ingredient Finding",-2,0)) + (IF(N130="EXP Gains",1,0)) + (IF(O130="EXP Gains",-1,0)) +  (COUNTIF(H130:L130,"Ingredient Finder S")*1) + (COUNTIF(H130:L130,"Ingredient Finder M")*2) + (COUNTIF(H130:L130,"Inventory Up S")*0.5) + (COUNTIF(H130:L130,"Inventory Up M")*1) + (COUNTIF(H130:L130,"Inventory Up L")*1.5) +  (IF(E130=F130,1,0)) + (IF(F130=G130,1,0))  )</f>
        <v/>
      </c>
      <c r="R130" s="4" t="str">
        <f>IF(A130="","",  (IF(N130="Main Skill Chance",2,0)) + (IF(O130="Main Skill Chance",-2,0)) + (IF(N130="EXP Gains",1,0)) + (IF(O130="EXP Gains",-1,0)) +  (COUNTIF(H130:L130,"Skill Trigger S")*1) + (COUNTIF(H130:L130,"Skill Trigger M")*2) + (COUNTIF(H130:L130,"Skill Level Up S")*1) + (COUNTIF(H130:L130,"Skill Level Up M")*2) + (COUNTIF(H130:L130,"Energy Recovery Bonus")*1.5) + (COUNTIF(H130:L130,"Sleep EXP Bonus")*1) + (COUNTIF(H130:L130,"Research EXP Bonus")*1)  )</f>
        <v/>
      </c>
      <c r="S130" s="4" t="str">
        <f>IF(A130="","",  IF(AND(P130&lt;=1, Q130&lt;=1, R130&lt;=1), "Bench",  IF(AND(P130&gt;=Q130, P130&gt;=R130), "Berry",  IF(AND(Q130&gt;=P130, Q130&gt;=R130), "Ingredient",  "Skill")))  )</f>
        <v/>
      </c>
      <c r="T130" s="4" t="str">
        <f t="shared" ref="T130:T193" si="36">IF(A130="","", MAX(P130,Q130,R130) + IF(OR(N130="Speed of Help",N130="Ingredient Finding",N130="Main Skill Chance"),1,0) + IF(N130="Neutral",0, IF(O130="Neutral",0.5,0)) + IF(B130&gt;=10,0.5,0) + IF(AND(W130&lt;&gt;"",W130&lt;&gt;"Geen match gevonden"),1.5,0) )</f>
        <v/>
      </c>
      <c r="U130" s="4" t="str">
        <f>IF(A130="","", IF(T130&gt;=7, "⭐ Keep", IF(T130&gt;=5, "📈 Level Up", IF(T130&gt;=3, "🤔 Bench", "❌ Transfer")))  )</f>
        <v/>
      </c>
      <c r="V130" s="4" t="str">
        <f t="shared" ref="V130:V193" si="37">IF(A130="","", _xlfn.TEXTJOIN("; ",TRUE, IF(A130="Pikachu","Evolve naar Raichu = snelste berry helper!",""), IF(A130="Pichu","Evolve → Pikachu → Raichu (top berry)",""), IF(A130="Eevee","Sylveon (skill) of Jolteon (berry) = top evoluties",""), IF(A130="Igglybuff","Evolve → Wigglytuff = Energy for Everyone S (top skill!)",""), IF(A130="Squirtle","Kanto starter: 2x ingrediënten + Ingredient Magnet S",""), IF(A130="Charmander","Evolve → Charizard = snelle berry+ingredient verzamelaar",""), IF(A130="Bulbasaur","Kanto starter: 2x ingrediënten + Ingredient Magnet S",""), IF(A130="Growlithe","Evolve → Arcanine = sterke all-rounder",""), IF(A130="Mareep","Evolve → Ampharos = hoge frequentie + waardevolle ingrediënten",""), IF(A130="Spheal","Evolve → Walrein = key voor Snowdrop Tundra (berry+ingr)",""), IF(A130="Riolu","Evolve → Lucario = sterke fighter",""), IF(A130="Togepi","Let op: Togekiss Metronome is onbetrouwbaar",""), IF(A130="Totodile","Evolve → Feraligatr = top berry voor Cyan Beach",""), IF(A130="Magnemite","Evolve → Magnezone = sterke skill helper",""), IF(A130="Ivysaur","Evolve → Venusaur = 2x ingrediënten specialist",""), IF(OR(N130="Neutral",O130="Neutral"),"Neutrale nature = ok maar niet ideaal",""), IF(AND(N130="Speed of Help",OR(S130="Berry",S130="Ingredient")),"Perfecte nature voor "&amp;S130&amp;" team!",""), IF(AND(N130="Ingredient Finding",S130="Ingredient"),"Perfecte nature voor Ingredient team!",""), IF(AND(N130="Main Skill Chance",S130="Skill"),"Perfecte nature voor Skill team!",""), IF(AND(O130="Speed of Help",S130="Berry"),"Let op: Speed of Help NEGATIEF schaadt berry-prestatie",""), IF(AND(O130="Ingredient Finding",S130="Ingredient"),"Let op: Ingredient Finding NEGATIEF schaadt ingredient-prestatie","") ))</f>
        <v/>
      </c>
      <c r="W130" s="69" t="str" cm="1">
        <f t="array" ref="W130">IF(A130="","", IF(COUNTIF(Referentie!$L$2:$L$21,A130)&lt;=1, "", IFERROR(INDEX(Referentie!$M$2:$M$21, MATCH(1,(Referentie!$L$2:$L$21=A130)*(Referentie!$N$2:$N$21=S130),0)), IF(S130="Bench","", "Geen match gevonden"))) )</f>
        <v/>
      </c>
    </row>
    <row r="131" spans="1:23" ht="15" customHeight="1">
      <c r="A131" s="2"/>
      <c r="B131" s="2"/>
      <c r="C131" s="2"/>
      <c r="D131" s="4" t="str">
        <f>IF(C131="","",VLOOKUP(C131,Referentie!$A$2:$B$19,2,0))</f>
        <v/>
      </c>
      <c r="E131" s="7"/>
      <c r="F131" s="4"/>
      <c r="G131" s="4"/>
      <c r="H131" s="4"/>
      <c r="I131" s="4"/>
      <c r="J131" s="4"/>
      <c r="K131" s="4"/>
      <c r="L131" s="4"/>
      <c r="M131" s="4"/>
      <c r="N131" s="4" t="str">
        <f>IF(M131="","",VLOOKUP(M131,Referentie!$G$2:$I$26,2,0))</f>
        <v/>
      </c>
      <c r="O131" s="4" t="str">
        <f>IF(M131="","",VLOOKUP(M131,Referentie!$G$2:$I$26,3,0))</f>
        <v/>
      </c>
      <c r="P131" s="4" t="str">
        <f t="shared" ref="P131:P162" si="38">IF(A131="","", (IF(N131="Speed of Help",2,0)) + (IF(O131="Speed of Help",-2,0)) + (IF(N131="EXP Gains",1,0)) + (IF(O131="EXP Gains",-1,0)) + (COUNTIF(H131:L131,"Helping Speed S")*1) + (COUNTIF(H131:L131,"Helping Speed M")*2) + (COUNTIF(H131:L131,"Berry Finding S")*2) + (COUNTIF(H131:L131,"Helping Bonus")*1) + (IF(O131="Ingredient Finding",0,0)) + (IF(O131="Main Skill Chance",0,0)) )</f>
        <v/>
      </c>
      <c r="Q131" s="4" t="str">
        <f t="shared" ref="Q131:Q162" si="39">IF(A131="","", (IF(N131="Ingredient Finding",2,0)) + (IF(O131="Ingredient Finding",-2,0)) + (IF(N131="EXP Gains",1,0)) + (IF(O131="EXP Gains",-1,0)) + (COUNTIF(H131:L131,"Ingredient Finder S")*1) + (COUNTIF(H131:L131,"Ingredient Finder M")*2) + (COUNTIF(H131:L131,"Inventory Up S")*0.5) + (COUNTIF(H131:L131,"Inventory Up M")*1) + (COUNTIF(H131:L131,"Inventory Up L")*1.5) + (IF(E131=F131,1,0)) + (IF(F131=G131,1,0)) )</f>
        <v/>
      </c>
      <c r="R131" s="4" t="str">
        <f t="shared" ref="R131:R162" si="40">IF(A131="","", (IF(N131="Main Skill Chance",2,0)) + (IF(O131="Main Skill Chance",-2,0)) + (IF(N131="EXP Gains",1,0)) + (IF(O131="EXP Gains",-1,0)) + (COUNTIF(H131:L131,"Skill Trigger S")*1) + (COUNTIF(H131:L131,"Skill Trigger M")*2) + (COUNTIF(H131:L131,"Skill Level Up S")*1) + (COUNTIF(H131:L131,"Skill Level Up M")*2) + (COUNTIF(H131:L131,"Energy Recovery Bonus")*1.5) + (COUNTIF(H131:L131,"Sleep EXP Bonus")*1) + (COUNTIF(H131:L131,"Research EXP Bonus")*1) )</f>
        <v/>
      </c>
      <c r="S131" s="4" t="str">
        <f t="shared" ref="S131:S162" si="41">IF(A131="","", IF(AND(P131&lt;=1, Q131&lt;=1, R131&lt;=1), "Bench", IF(AND(P131&gt;=Q131, P131&gt;=R131), "Berry", IF(AND(Q131&gt;=P131, Q131&gt;=R131), "Ingredient", "Skill"))) )</f>
        <v/>
      </c>
      <c r="T131" s="4" t="str">
        <f t="shared" si="36"/>
        <v/>
      </c>
      <c r="U131" s="4" t="str">
        <f t="shared" ref="U131:U162" si="42">IF(A131="","", IF(T131&gt;=7, "⭐ Keep", IF(T131&gt;=5, "📈 Level Up", IF(T131&gt;=3, "🤔 Bench", "❌ Transfer"))) )</f>
        <v/>
      </c>
      <c r="V131" s="4" t="str">
        <f t="shared" si="37"/>
        <v/>
      </c>
      <c r="W131" s="69" t="str" cm="1">
        <f t="array" ref="W131">IF(A131="","", IF(COUNTIF(Referentie!$L$2:$L$21,A131)&lt;=1, "", IFERROR(INDEX(Referentie!$M$2:$M$21, MATCH(1,(Referentie!$L$2:$L$21=A131)*(Referentie!$N$2:$N$21=S131),0)), IF(S131="Bench","", "Geen match gevonden"))) )</f>
        <v/>
      </c>
    </row>
    <row r="132" spans="1:23" ht="15" customHeight="1">
      <c r="A132" s="2"/>
      <c r="B132" s="2"/>
      <c r="C132" s="2"/>
      <c r="D132" s="4" t="str">
        <f>IF(C132="","",VLOOKUP(C132,Referentie!$A$2:$B$19,2,0))</f>
        <v/>
      </c>
      <c r="E132" s="7"/>
      <c r="F132" s="4"/>
      <c r="G132" s="4"/>
      <c r="H132" s="4"/>
      <c r="I132" s="4"/>
      <c r="J132" s="4"/>
      <c r="K132" s="4"/>
      <c r="L132" s="4"/>
      <c r="M132" s="4"/>
      <c r="N132" s="4" t="str">
        <f>IF(M132="","",VLOOKUP(M132,Referentie!$G$2:$I$26,2,0))</f>
        <v/>
      </c>
      <c r="O132" s="4" t="str">
        <f>IF(M132="","",VLOOKUP(M132,Referentie!$G$2:$I$26,3,0))</f>
        <v/>
      </c>
      <c r="P132" s="4" t="str">
        <f t="shared" si="38"/>
        <v/>
      </c>
      <c r="Q132" s="4" t="str">
        <f t="shared" si="39"/>
        <v/>
      </c>
      <c r="R132" s="4" t="str">
        <f t="shared" si="40"/>
        <v/>
      </c>
      <c r="S132" s="4" t="str">
        <f t="shared" si="41"/>
        <v/>
      </c>
      <c r="T132" s="4" t="str">
        <f t="shared" si="36"/>
        <v/>
      </c>
      <c r="U132" s="4" t="str">
        <f t="shared" si="42"/>
        <v/>
      </c>
      <c r="V132" s="4" t="str">
        <f t="shared" si="37"/>
        <v/>
      </c>
      <c r="W132" s="69" t="str" cm="1">
        <f t="array" ref="W132">IF(A132="","", IF(COUNTIF(Referentie!$L$2:$L$21,A132)&lt;=1, "", IFERROR(INDEX(Referentie!$M$2:$M$21, MATCH(1,(Referentie!$L$2:$L$21=A132)*(Referentie!$N$2:$N$21=S132),0)), IF(S132="Bench","", "Geen match gevonden"))) )</f>
        <v/>
      </c>
    </row>
    <row r="133" spans="1:23" ht="15" customHeight="1">
      <c r="A133" s="2"/>
      <c r="B133" s="2"/>
      <c r="C133" s="2"/>
      <c r="D133" s="4" t="str">
        <f>IF(C133="","",VLOOKUP(C133,Referentie!$A$2:$B$19,2,0))</f>
        <v/>
      </c>
      <c r="E133" s="7"/>
      <c r="F133" s="4"/>
      <c r="G133" s="4"/>
      <c r="H133" s="4"/>
      <c r="I133" s="4"/>
      <c r="J133" s="4"/>
      <c r="K133" s="4"/>
      <c r="L133" s="4"/>
      <c r="M133" s="4"/>
      <c r="N133" s="4" t="str">
        <f>IF(M133="","",VLOOKUP(M133,Referentie!$G$2:$I$26,2,0))</f>
        <v/>
      </c>
      <c r="O133" s="4" t="str">
        <f>IF(M133="","",VLOOKUP(M133,Referentie!$G$2:$I$26,3,0))</f>
        <v/>
      </c>
      <c r="P133" s="4" t="str">
        <f t="shared" si="38"/>
        <v/>
      </c>
      <c r="Q133" s="4" t="str">
        <f t="shared" si="39"/>
        <v/>
      </c>
      <c r="R133" s="4" t="str">
        <f t="shared" si="40"/>
        <v/>
      </c>
      <c r="S133" s="4" t="str">
        <f t="shared" si="41"/>
        <v/>
      </c>
      <c r="T133" s="4" t="str">
        <f t="shared" si="36"/>
        <v/>
      </c>
      <c r="U133" s="4" t="str">
        <f t="shared" si="42"/>
        <v/>
      </c>
      <c r="V133" s="4" t="str">
        <f t="shared" si="37"/>
        <v/>
      </c>
      <c r="W133" s="69" t="str" cm="1">
        <f t="array" ref="W133">IF(A133="","", IF(COUNTIF(Referentie!$L$2:$L$21,A133)&lt;=1, "", IFERROR(INDEX(Referentie!$M$2:$M$21, MATCH(1,(Referentie!$L$2:$L$21=A133)*(Referentie!$N$2:$N$21=S133),0)), IF(S133="Bench","", "Geen match gevonden"))) )</f>
        <v/>
      </c>
    </row>
    <row r="134" spans="1:23" ht="15" customHeight="1">
      <c r="A134" s="2"/>
      <c r="B134" s="2"/>
      <c r="C134" s="2"/>
      <c r="D134" s="4" t="str">
        <f>IF(C134="","",VLOOKUP(C134,Referentie!$A$2:$B$19,2,0))</f>
        <v/>
      </c>
      <c r="E134" s="7"/>
      <c r="F134" s="4"/>
      <c r="G134" s="4"/>
      <c r="H134" s="4"/>
      <c r="I134" s="4"/>
      <c r="J134" s="4"/>
      <c r="K134" s="4"/>
      <c r="L134" s="4"/>
      <c r="M134" s="4"/>
      <c r="N134" s="4" t="str">
        <f>IF(M134="","",VLOOKUP(M134,Referentie!$G$2:$I$26,2,0))</f>
        <v/>
      </c>
      <c r="O134" s="4" t="str">
        <f>IF(M134="","",VLOOKUP(M134,Referentie!$G$2:$I$26,3,0))</f>
        <v/>
      </c>
      <c r="P134" s="4" t="str">
        <f t="shared" si="38"/>
        <v/>
      </c>
      <c r="Q134" s="4" t="str">
        <f t="shared" si="39"/>
        <v/>
      </c>
      <c r="R134" s="4" t="str">
        <f t="shared" si="40"/>
        <v/>
      </c>
      <c r="S134" s="4" t="str">
        <f t="shared" si="41"/>
        <v/>
      </c>
      <c r="T134" s="4" t="str">
        <f t="shared" si="36"/>
        <v/>
      </c>
      <c r="U134" s="4" t="str">
        <f t="shared" si="42"/>
        <v/>
      </c>
      <c r="V134" s="4" t="str">
        <f t="shared" si="37"/>
        <v/>
      </c>
      <c r="W134" s="69" t="str" cm="1">
        <f t="array" ref="W134">IF(A134="","", IF(COUNTIF(Referentie!$L$2:$L$21,A134)&lt;=1, "", IFERROR(INDEX(Referentie!$M$2:$M$21, MATCH(1,(Referentie!$L$2:$L$21=A134)*(Referentie!$N$2:$N$21=S134),0)), IF(S134="Bench","", "Geen match gevonden"))) )</f>
        <v/>
      </c>
    </row>
    <row r="135" spans="1:23" ht="15" customHeight="1">
      <c r="A135" s="2"/>
      <c r="B135" s="2"/>
      <c r="C135" s="2"/>
      <c r="D135" s="4" t="str">
        <f>IF(C135="","",VLOOKUP(C135,Referentie!$A$2:$B$19,2,0))</f>
        <v/>
      </c>
      <c r="E135" s="7"/>
      <c r="F135" s="4"/>
      <c r="G135" s="4"/>
      <c r="H135" s="4"/>
      <c r="I135" s="4"/>
      <c r="J135" s="4"/>
      <c r="K135" s="4"/>
      <c r="L135" s="4"/>
      <c r="M135" s="4"/>
      <c r="N135" s="4" t="str">
        <f>IF(M135="","",VLOOKUP(M135,Referentie!$G$2:$I$26,2,0))</f>
        <v/>
      </c>
      <c r="O135" s="4" t="str">
        <f>IF(M135="","",VLOOKUP(M135,Referentie!$G$2:$I$26,3,0))</f>
        <v/>
      </c>
      <c r="P135" s="4" t="str">
        <f t="shared" si="38"/>
        <v/>
      </c>
      <c r="Q135" s="4" t="str">
        <f t="shared" si="39"/>
        <v/>
      </c>
      <c r="R135" s="4" t="str">
        <f t="shared" si="40"/>
        <v/>
      </c>
      <c r="S135" s="4" t="str">
        <f t="shared" si="41"/>
        <v/>
      </c>
      <c r="T135" s="4" t="str">
        <f t="shared" si="36"/>
        <v/>
      </c>
      <c r="U135" s="4" t="str">
        <f t="shared" si="42"/>
        <v/>
      </c>
      <c r="V135" s="4" t="str">
        <f t="shared" si="37"/>
        <v/>
      </c>
      <c r="W135" s="69" t="str" cm="1">
        <f t="array" ref="W135">IF(A135="","", IF(COUNTIF(Referentie!$L$2:$L$21,A135)&lt;=1, "", IFERROR(INDEX(Referentie!$M$2:$M$21, MATCH(1,(Referentie!$L$2:$L$21=A135)*(Referentie!$N$2:$N$21=S135),0)), IF(S135="Bench","", "Geen match gevonden"))) )</f>
        <v/>
      </c>
    </row>
    <row r="136" spans="1:23" ht="15" customHeight="1">
      <c r="A136" s="2"/>
      <c r="B136" s="2"/>
      <c r="C136" s="2"/>
      <c r="D136" s="4" t="str">
        <f>IF(C136="","",VLOOKUP(C136,Referentie!$A$2:$B$19,2,0))</f>
        <v/>
      </c>
      <c r="E136" s="7"/>
      <c r="F136" s="4"/>
      <c r="G136" s="4"/>
      <c r="H136" s="4"/>
      <c r="I136" s="4"/>
      <c r="J136" s="4"/>
      <c r="K136" s="4"/>
      <c r="L136" s="4"/>
      <c r="M136" s="4"/>
      <c r="N136" s="4" t="str">
        <f>IF(M136="","",VLOOKUP(M136,Referentie!$G$2:$I$26,2,0))</f>
        <v/>
      </c>
      <c r="O136" s="4" t="str">
        <f>IF(M136="","",VLOOKUP(M136,Referentie!$G$2:$I$26,3,0))</f>
        <v/>
      </c>
      <c r="P136" s="4" t="str">
        <f t="shared" si="38"/>
        <v/>
      </c>
      <c r="Q136" s="4" t="str">
        <f t="shared" si="39"/>
        <v/>
      </c>
      <c r="R136" s="4" t="str">
        <f t="shared" si="40"/>
        <v/>
      </c>
      <c r="S136" s="4" t="str">
        <f t="shared" si="41"/>
        <v/>
      </c>
      <c r="T136" s="4" t="str">
        <f t="shared" si="36"/>
        <v/>
      </c>
      <c r="U136" s="4" t="str">
        <f t="shared" si="42"/>
        <v/>
      </c>
      <c r="V136" s="4" t="str">
        <f t="shared" si="37"/>
        <v/>
      </c>
      <c r="W136" s="69" t="str" cm="1">
        <f t="array" ref="W136">IF(A136="","", IF(COUNTIF(Referentie!$L$2:$L$21,A136)&lt;=1, "", IFERROR(INDEX(Referentie!$M$2:$M$21, MATCH(1,(Referentie!$L$2:$L$21=A136)*(Referentie!$N$2:$N$21=S136),0)), IF(S136="Bench","", "Geen match gevonden"))) )</f>
        <v/>
      </c>
    </row>
    <row r="137" spans="1:23" ht="15" customHeight="1">
      <c r="A137" s="2"/>
      <c r="B137" s="2"/>
      <c r="C137" s="2"/>
      <c r="D137" s="4" t="str">
        <f>IF(C137="","",VLOOKUP(C137,Referentie!$A$2:$B$19,2,0))</f>
        <v/>
      </c>
      <c r="E137" s="7"/>
      <c r="F137" s="4"/>
      <c r="G137" s="4"/>
      <c r="H137" s="4"/>
      <c r="I137" s="4"/>
      <c r="J137" s="4"/>
      <c r="K137" s="4"/>
      <c r="L137" s="4"/>
      <c r="M137" s="4"/>
      <c r="N137" s="4" t="str">
        <f>IF(M137="","",VLOOKUP(M137,Referentie!$G$2:$I$26,2,0))</f>
        <v/>
      </c>
      <c r="O137" s="4" t="str">
        <f>IF(M137="","",VLOOKUP(M137,Referentie!$G$2:$I$26,3,0))</f>
        <v/>
      </c>
      <c r="P137" s="4" t="str">
        <f t="shared" si="38"/>
        <v/>
      </c>
      <c r="Q137" s="4" t="str">
        <f t="shared" si="39"/>
        <v/>
      </c>
      <c r="R137" s="4" t="str">
        <f t="shared" si="40"/>
        <v/>
      </c>
      <c r="S137" s="4" t="str">
        <f t="shared" si="41"/>
        <v/>
      </c>
      <c r="T137" s="4" t="str">
        <f t="shared" si="36"/>
        <v/>
      </c>
      <c r="U137" s="4" t="str">
        <f t="shared" si="42"/>
        <v/>
      </c>
      <c r="V137" s="4" t="str">
        <f t="shared" si="37"/>
        <v/>
      </c>
      <c r="W137" s="69" t="str" cm="1">
        <f t="array" ref="W137">IF(A137="","", IF(COUNTIF(Referentie!$L$2:$L$21,A137)&lt;=1, "", IFERROR(INDEX(Referentie!$M$2:$M$21, MATCH(1,(Referentie!$L$2:$L$21=A137)*(Referentie!$N$2:$N$21=S137),0)), IF(S137="Bench","", "Geen match gevonden"))) )</f>
        <v/>
      </c>
    </row>
    <row r="138" spans="1:23" ht="15" customHeight="1">
      <c r="A138" s="2"/>
      <c r="B138" s="2"/>
      <c r="C138" s="2"/>
      <c r="D138" s="4" t="str">
        <f>IF(C138="","",VLOOKUP(C138,Referentie!$A$2:$B$19,2,0))</f>
        <v/>
      </c>
      <c r="E138" s="7"/>
      <c r="F138" s="4"/>
      <c r="G138" s="4"/>
      <c r="H138" s="4"/>
      <c r="I138" s="4"/>
      <c r="J138" s="4"/>
      <c r="K138" s="4"/>
      <c r="L138" s="4"/>
      <c r="M138" s="4"/>
      <c r="N138" s="4" t="str">
        <f>IF(M138="","",VLOOKUP(M138,Referentie!$G$2:$I$26,2,0))</f>
        <v/>
      </c>
      <c r="O138" s="4" t="str">
        <f>IF(M138="","",VLOOKUP(M138,Referentie!$G$2:$I$26,3,0))</f>
        <v/>
      </c>
      <c r="P138" s="4" t="str">
        <f t="shared" si="38"/>
        <v/>
      </c>
      <c r="Q138" s="4" t="str">
        <f t="shared" si="39"/>
        <v/>
      </c>
      <c r="R138" s="4" t="str">
        <f t="shared" si="40"/>
        <v/>
      </c>
      <c r="S138" s="4" t="str">
        <f t="shared" si="41"/>
        <v/>
      </c>
      <c r="T138" s="4" t="str">
        <f t="shared" si="36"/>
        <v/>
      </c>
      <c r="U138" s="4" t="str">
        <f t="shared" si="42"/>
        <v/>
      </c>
      <c r="V138" s="4" t="str">
        <f t="shared" si="37"/>
        <v/>
      </c>
      <c r="W138" s="69" t="str" cm="1">
        <f t="array" ref="W138">IF(A138="","", IF(COUNTIF(Referentie!$L$2:$L$21,A138)&lt;=1, "", IFERROR(INDEX(Referentie!$M$2:$M$21, MATCH(1,(Referentie!$L$2:$L$21=A138)*(Referentie!$N$2:$N$21=S138),0)), IF(S138="Bench","", "Geen match gevonden"))) )</f>
        <v/>
      </c>
    </row>
    <row r="139" spans="1:23" ht="15" customHeight="1">
      <c r="A139" s="2"/>
      <c r="B139" s="2"/>
      <c r="C139" s="2"/>
      <c r="D139" s="4" t="str">
        <f>IF(C139="","",VLOOKUP(C139,Referentie!$A$2:$B$19,2,0))</f>
        <v/>
      </c>
      <c r="E139" s="7"/>
      <c r="F139" s="4"/>
      <c r="G139" s="4"/>
      <c r="H139" s="4"/>
      <c r="I139" s="4"/>
      <c r="J139" s="4"/>
      <c r="K139" s="4"/>
      <c r="L139" s="4"/>
      <c r="M139" s="4"/>
      <c r="N139" s="4" t="str">
        <f>IF(M139="","",VLOOKUP(M139,Referentie!$G$2:$I$26,2,0))</f>
        <v/>
      </c>
      <c r="O139" s="4" t="str">
        <f>IF(M139="","",VLOOKUP(M139,Referentie!$G$2:$I$26,3,0))</f>
        <v/>
      </c>
      <c r="P139" s="4" t="str">
        <f t="shared" si="38"/>
        <v/>
      </c>
      <c r="Q139" s="4" t="str">
        <f t="shared" si="39"/>
        <v/>
      </c>
      <c r="R139" s="4" t="str">
        <f t="shared" si="40"/>
        <v/>
      </c>
      <c r="S139" s="4" t="str">
        <f t="shared" si="41"/>
        <v/>
      </c>
      <c r="T139" s="4" t="str">
        <f t="shared" si="36"/>
        <v/>
      </c>
      <c r="U139" s="4" t="str">
        <f t="shared" si="42"/>
        <v/>
      </c>
      <c r="V139" s="4" t="str">
        <f t="shared" si="37"/>
        <v/>
      </c>
      <c r="W139" s="69" t="str" cm="1">
        <f t="array" ref="W139">IF(A139="","", IF(COUNTIF(Referentie!$L$2:$L$21,A139)&lt;=1, "", IFERROR(INDEX(Referentie!$M$2:$M$21, MATCH(1,(Referentie!$L$2:$L$21=A139)*(Referentie!$N$2:$N$21=S139),0)), IF(S139="Bench","", "Geen match gevonden"))) )</f>
        <v/>
      </c>
    </row>
    <row r="140" spans="1:23" ht="15" customHeight="1">
      <c r="A140" s="2"/>
      <c r="B140" s="2"/>
      <c r="C140" s="2"/>
      <c r="D140" s="4" t="str">
        <f>IF(C140="","",VLOOKUP(C140,Referentie!$A$2:$B$19,2,0))</f>
        <v/>
      </c>
      <c r="E140" s="7"/>
      <c r="F140" s="4"/>
      <c r="G140" s="4"/>
      <c r="H140" s="4"/>
      <c r="I140" s="4"/>
      <c r="J140" s="4"/>
      <c r="K140" s="4"/>
      <c r="L140" s="4"/>
      <c r="M140" s="4"/>
      <c r="N140" s="4" t="str">
        <f>IF(M140="","",VLOOKUP(M140,Referentie!$G$2:$I$26,2,0))</f>
        <v/>
      </c>
      <c r="O140" s="4" t="str">
        <f>IF(M140="","",VLOOKUP(M140,Referentie!$G$2:$I$26,3,0))</f>
        <v/>
      </c>
      <c r="P140" s="4" t="str">
        <f t="shared" si="38"/>
        <v/>
      </c>
      <c r="Q140" s="4" t="str">
        <f t="shared" si="39"/>
        <v/>
      </c>
      <c r="R140" s="4" t="str">
        <f t="shared" si="40"/>
        <v/>
      </c>
      <c r="S140" s="4" t="str">
        <f t="shared" si="41"/>
        <v/>
      </c>
      <c r="T140" s="4" t="str">
        <f t="shared" si="36"/>
        <v/>
      </c>
      <c r="U140" s="4" t="str">
        <f t="shared" si="42"/>
        <v/>
      </c>
      <c r="V140" s="4" t="str">
        <f t="shared" si="37"/>
        <v/>
      </c>
      <c r="W140" s="69" t="str" cm="1">
        <f t="array" ref="W140">IF(A140="","", IF(COUNTIF(Referentie!$L$2:$L$21,A140)&lt;=1, "", IFERROR(INDEX(Referentie!$M$2:$M$21, MATCH(1,(Referentie!$L$2:$L$21=A140)*(Referentie!$N$2:$N$21=S140),0)), IF(S140="Bench","", "Geen match gevonden"))) )</f>
        <v/>
      </c>
    </row>
    <row r="141" spans="1:23" ht="15" customHeight="1">
      <c r="A141" s="2"/>
      <c r="B141" s="2"/>
      <c r="C141" s="2"/>
      <c r="D141" s="4" t="str">
        <f>IF(C141="","",VLOOKUP(C141,Referentie!$A$2:$B$19,2,0))</f>
        <v/>
      </c>
      <c r="E141" s="7"/>
      <c r="F141" s="4"/>
      <c r="G141" s="4"/>
      <c r="H141" s="4"/>
      <c r="I141" s="4"/>
      <c r="J141" s="4"/>
      <c r="K141" s="4"/>
      <c r="L141" s="4"/>
      <c r="M141" s="4"/>
      <c r="N141" s="4" t="str">
        <f>IF(M141="","",VLOOKUP(M141,Referentie!$G$2:$I$26,2,0))</f>
        <v/>
      </c>
      <c r="O141" s="4" t="str">
        <f>IF(M141="","",VLOOKUP(M141,Referentie!$G$2:$I$26,3,0))</f>
        <v/>
      </c>
      <c r="P141" s="4" t="str">
        <f t="shared" si="38"/>
        <v/>
      </c>
      <c r="Q141" s="4" t="str">
        <f t="shared" si="39"/>
        <v/>
      </c>
      <c r="R141" s="4" t="str">
        <f t="shared" si="40"/>
        <v/>
      </c>
      <c r="S141" s="4" t="str">
        <f t="shared" si="41"/>
        <v/>
      </c>
      <c r="T141" s="4" t="str">
        <f t="shared" si="36"/>
        <v/>
      </c>
      <c r="U141" s="4" t="str">
        <f t="shared" si="42"/>
        <v/>
      </c>
      <c r="V141" s="4" t="str">
        <f t="shared" si="37"/>
        <v/>
      </c>
      <c r="W141" s="69" t="str" cm="1">
        <f t="array" ref="W141">IF(A141="","", IF(COUNTIF(Referentie!$L$2:$L$21,A141)&lt;=1, "", IFERROR(INDEX(Referentie!$M$2:$M$21, MATCH(1,(Referentie!$L$2:$L$21=A141)*(Referentie!$N$2:$N$21=S141),0)), IF(S141="Bench","", "Geen match gevonden"))) )</f>
        <v/>
      </c>
    </row>
    <row r="142" spans="1:23" ht="15" customHeight="1">
      <c r="A142" s="2"/>
      <c r="B142" s="2"/>
      <c r="C142" s="2"/>
      <c r="D142" s="4" t="str">
        <f>IF(C142="","",VLOOKUP(C142,Referentie!$A$2:$B$19,2,0))</f>
        <v/>
      </c>
      <c r="E142" s="7"/>
      <c r="F142" s="4"/>
      <c r="G142" s="4"/>
      <c r="H142" s="4"/>
      <c r="I142" s="4"/>
      <c r="J142" s="4"/>
      <c r="K142" s="4"/>
      <c r="L142" s="4"/>
      <c r="M142" s="4"/>
      <c r="N142" s="4" t="str">
        <f>IF(M142="","",VLOOKUP(M142,Referentie!$G$2:$I$26,2,0))</f>
        <v/>
      </c>
      <c r="O142" s="4" t="str">
        <f>IF(M142="","",VLOOKUP(M142,Referentie!$G$2:$I$26,3,0))</f>
        <v/>
      </c>
      <c r="P142" s="4" t="str">
        <f t="shared" si="38"/>
        <v/>
      </c>
      <c r="Q142" s="4" t="str">
        <f t="shared" si="39"/>
        <v/>
      </c>
      <c r="R142" s="4" t="str">
        <f t="shared" si="40"/>
        <v/>
      </c>
      <c r="S142" s="4" t="str">
        <f t="shared" si="41"/>
        <v/>
      </c>
      <c r="T142" s="4" t="str">
        <f t="shared" si="36"/>
        <v/>
      </c>
      <c r="U142" s="4" t="str">
        <f t="shared" si="42"/>
        <v/>
      </c>
      <c r="V142" s="4" t="str">
        <f t="shared" si="37"/>
        <v/>
      </c>
      <c r="W142" s="69" t="str" cm="1">
        <f t="array" ref="W142">IF(A142="","", IF(COUNTIF(Referentie!$L$2:$L$21,A142)&lt;=1, "", IFERROR(INDEX(Referentie!$M$2:$M$21, MATCH(1,(Referentie!$L$2:$L$21=A142)*(Referentie!$N$2:$N$21=S142),0)), IF(S142="Bench","", "Geen match gevonden"))) )</f>
        <v/>
      </c>
    </row>
    <row r="143" spans="1:23" ht="15" customHeight="1">
      <c r="A143" s="2"/>
      <c r="B143" s="2"/>
      <c r="C143" s="2"/>
      <c r="D143" s="4" t="str">
        <f>IF(C143="","",VLOOKUP(C143,Referentie!$A$2:$B$19,2,0))</f>
        <v/>
      </c>
      <c r="E143" s="7"/>
      <c r="F143" s="4"/>
      <c r="G143" s="4"/>
      <c r="H143" s="4"/>
      <c r="I143" s="4"/>
      <c r="J143" s="4"/>
      <c r="K143" s="4"/>
      <c r="L143" s="4"/>
      <c r="M143" s="4"/>
      <c r="N143" s="4" t="str">
        <f>IF(M143="","",VLOOKUP(M143,Referentie!$G$2:$I$26,2,0))</f>
        <v/>
      </c>
      <c r="O143" s="4" t="str">
        <f>IF(M143="","",VLOOKUP(M143,Referentie!$G$2:$I$26,3,0))</f>
        <v/>
      </c>
      <c r="P143" s="4" t="str">
        <f t="shared" si="38"/>
        <v/>
      </c>
      <c r="Q143" s="4" t="str">
        <f t="shared" si="39"/>
        <v/>
      </c>
      <c r="R143" s="4" t="str">
        <f t="shared" si="40"/>
        <v/>
      </c>
      <c r="S143" s="4" t="str">
        <f t="shared" si="41"/>
        <v/>
      </c>
      <c r="T143" s="4" t="str">
        <f t="shared" si="36"/>
        <v/>
      </c>
      <c r="U143" s="4" t="str">
        <f t="shared" si="42"/>
        <v/>
      </c>
      <c r="V143" s="4" t="str">
        <f t="shared" si="37"/>
        <v/>
      </c>
      <c r="W143" s="69" t="str" cm="1">
        <f t="array" ref="W143">IF(A143="","", IF(COUNTIF(Referentie!$L$2:$L$21,A143)&lt;=1, "", IFERROR(INDEX(Referentie!$M$2:$M$21, MATCH(1,(Referentie!$L$2:$L$21=A143)*(Referentie!$N$2:$N$21=S143),0)), IF(S143="Bench","", "Geen match gevonden"))) )</f>
        <v/>
      </c>
    </row>
    <row r="144" spans="1:23" ht="15" customHeight="1">
      <c r="A144" s="2"/>
      <c r="B144" s="2"/>
      <c r="C144" s="2"/>
      <c r="D144" s="4" t="str">
        <f>IF(C144="","",VLOOKUP(C144,Referentie!$A$2:$B$19,2,0))</f>
        <v/>
      </c>
      <c r="E144" s="7"/>
      <c r="F144" s="4"/>
      <c r="G144" s="4"/>
      <c r="H144" s="4"/>
      <c r="I144" s="4"/>
      <c r="J144" s="4"/>
      <c r="K144" s="4"/>
      <c r="L144" s="4"/>
      <c r="M144" s="4"/>
      <c r="N144" s="4" t="str">
        <f>IF(M144="","",VLOOKUP(M144,Referentie!$G$2:$I$26,2,0))</f>
        <v/>
      </c>
      <c r="O144" s="4" t="str">
        <f>IF(M144="","",VLOOKUP(M144,Referentie!$G$2:$I$26,3,0))</f>
        <v/>
      </c>
      <c r="P144" s="4" t="str">
        <f t="shared" si="38"/>
        <v/>
      </c>
      <c r="Q144" s="4" t="str">
        <f t="shared" si="39"/>
        <v/>
      </c>
      <c r="R144" s="4" t="str">
        <f t="shared" si="40"/>
        <v/>
      </c>
      <c r="S144" s="4" t="str">
        <f t="shared" si="41"/>
        <v/>
      </c>
      <c r="T144" s="4" t="str">
        <f t="shared" si="36"/>
        <v/>
      </c>
      <c r="U144" s="4" t="str">
        <f t="shared" si="42"/>
        <v/>
      </c>
      <c r="V144" s="4" t="str">
        <f t="shared" si="37"/>
        <v/>
      </c>
      <c r="W144" s="69" t="str" cm="1">
        <f t="array" ref="W144">IF(A144="","", IF(COUNTIF(Referentie!$L$2:$L$21,A144)&lt;=1, "", IFERROR(INDEX(Referentie!$M$2:$M$21, MATCH(1,(Referentie!$L$2:$L$21=A144)*(Referentie!$N$2:$N$21=S144),0)), IF(S144="Bench","", "Geen match gevonden"))) )</f>
        <v/>
      </c>
    </row>
    <row r="145" spans="1:23" ht="15" customHeight="1">
      <c r="A145" s="2"/>
      <c r="B145" s="2"/>
      <c r="C145" s="2"/>
      <c r="D145" s="4" t="str">
        <f>IF(C145="","",VLOOKUP(C145,Referentie!$A$2:$B$19,2,0))</f>
        <v/>
      </c>
      <c r="E145" s="7"/>
      <c r="F145" s="4"/>
      <c r="G145" s="4"/>
      <c r="H145" s="4"/>
      <c r="I145" s="4"/>
      <c r="J145" s="4"/>
      <c r="K145" s="4"/>
      <c r="L145" s="4"/>
      <c r="M145" s="4"/>
      <c r="N145" s="4" t="str">
        <f>IF(M145="","",VLOOKUP(M145,Referentie!$G$2:$I$26,2,0))</f>
        <v/>
      </c>
      <c r="O145" s="4" t="str">
        <f>IF(M145="","",VLOOKUP(M145,Referentie!$G$2:$I$26,3,0))</f>
        <v/>
      </c>
      <c r="P145" s="4" t="str">
        <f t="shared" si="38"/>
        <v/>
      </c>
      <c r="Q145" s="4" t="str">
        <f t="shared" si="39"/>
        <v/>
      </c>
      <c r="R145" s="4" t="str">
        <f t="shared" si="40"/>
        <v/>
      </c>
      <c r="S145" s="4" t="str">
        <f t="shared" si="41"/>
        <v/>
      </c>
      <c r="T145" s="4" t="str">
        <f t="shared" si="36"/>
        <v/>
      </c>
      <c r="U145" s="4" t="str">
        <f t="shared" si="42"/>
        <v/>
      </c>
      <c r="V145" s="4" t="str">
        <f t="shared" si="37"/>
        <v/>
      </c>
      <c r="W145" s="69" t="str" cm="1">
        <f t="array" ref="W145">IF(A145="","", IF(COUNTIF(Referentie!$L$2:$L$21,A145)&lt;=1, "", IFERROR(INDEX(Referentie!$M$2:$M$21, MATCH(1,(Referentie!$L$2:$L$21=A145)*(Referentie!$N$2:$N$21=S145),0)), IF(S145="Bench","", "Geen match gevonden"))) )</f>
        <v/>
      </c>
    </row>
    <row r="146" spans="1:23" ht="15" customHeight="1">
      <c r="A146" s="2"/>
      <c r="B146" s="2"/>
      <c r="C146" s="2"/>
      <c r="D146" s="4" t="str">
        <f>IF(C146="","",VLOOKUP(C146,Referentie!$A$2:$B$19,2,0))</f>
        <v/>
      </c>
      <c r="E146" s="7"/>
      <c r="F146" s="4"/>
      <c r="G146" s="4"/>
      <c r="H146" s="4"/>
      <c r="I146" s="4"/>
      <c r="J146" s="4"/>
      <c r="K146" s="4"/>
      <c r="L146" s="4"/>
      <c r="M146" s="4"/>
      <c r="N146" s="4" t="str">
        <f>IF(M146="","",VLOOKUP(M146,Referentie!$G$2:$I$26,2,0))</f>
        <v/>
      </c>
      <c r="O146" s="4" t="str">
        <f>IF(M146="","",VLOOKUP(M146,Referentie!$G$2:$I$26,3,0))</f>
        <v/>
      </c>
      <c r="P146" s="4" t="str">
        <f t="shared" si="38"/>
        <v/>
      </c>
      <c r="Q146" s="4" t="str">
        <f t="shared" si="39"/>
        <v/>
      </c>
      <c r="R146" s="4" t="str">
        <f t="shared" si="40"/>
        <v/>
      </c>
      <c r="S146" s="4" t="str">
        <f t="shared" si="41"/>
        <v/>
      </c>
      <c r="T146" s="4" t="str">
        <f t="shared" si="36"/>
        <v/>
      </c>
      <c r="U146" s="4" t="str">
        <f t="shared" si="42"/>
        <v/>
      </c>
      <c r="V146" s="4" t="str">
        <f t="shared" si="37"/>
        <v/>
      </c>
      <c r="W146" s="69" t="str" cm="1">
        <f t="array" ref="W146">IF(A146="","", IF(COUNTIF(Referentie!$L$2:$L$21,A146)&lt;=1, "", IFERROR(INDEX(Referentie!$M$2:$M$21, MATCH(1,(Referentie!$L$2:$L$21=A146)*(Referentie!$N$2:$N$21=S146),0)), IF(S146="Bench","", "Geen match gevonden"))) )</f>
        <v/>
      </c>
    </row>
    <row r="147" spans="1:23" ht="15" customHeight="1">
      <c r="A147" s="2"/>
      <c r="B147" s="2"/>
      <c r="C147" s="2"/>
      <c r="D147" s="4" t="str">
        <f>IF(C147="","",VLOOKUP(C147,Referentie!$A$2:$B$19,2,0))</f>
        <v/>
      </c>
      <c r="E147" s="7"/>
      <c r="F147" s="4"/>
      <c r="G147" s="4"/>
      <c r="H147" s="4"/>
      <c r="I147" s="4"/>
      <c r="J147" s="4"/>
      <c r="K147" s="4"/>
      <c r="L147" s="4"/>
      <c r="M147" s="4"/>
      <c r="N147" s="4" t="str">
        <f>IF(M147="","",VLOOKUP(M147,Referentie!$G$2:$I$26,2,0))</f>
        <v/>
      </c>
      <c r="O147" s="4" t="str">
        <f>IF(M147="","",VLOOKUP(M147,Referentie!$G$2:$I$26,3,0))</f>
        <v/>
      </c>
      <c r="P147" s="4" t="str">
        <f t="shared" si="38"/>
        <v/>
      </c>
      <c r="Q147" s="4" t="str">
        <f t="shared" si="39"/>
        <v/>
      </c>
      <c r="R147" s="4" t="str">
        <f t="shared" si="40"/>
        <v/>
      </c>
      <c r="S147" s="4" t="str">
        <f t="shared" si="41"/>
        <v/>
      </c>
      <c r="T147" s="4" t="str">
        <f t="shared" si="36"/>
        <v/>
      </c>
      <c r="U147" s="4" t="str">
        <f t="shared" si="42"/>
        <v/>
      </c>
      <c r="V147" s="4" t="str">
        <f t="shared" si="37"/>
        <v/>
      </c>
      <c r="W147" s="69" t="str" cm="1">
        <f t="array" ref="W147">IF(A147="","", IF(COUNTIF(Referentie!$L$2:$L$21,A147)&lt;=1, "", IFERROR(INDEX(Referentie!$M$2:$M$21, MATCH(1,(Referentie!$L$2:$L$21=A147)*(Referentie!$N$2:$N$21=S147),0)), IF(S147="Bench","", "Geen match gevonden"))) )</f>
        <v/>
      </c>
    </row>
    <row r="148" spans="1:23" ht="15" customHeight="1">
      <c r="A148" s="2"/>
      <c r="B148" s="2"/>
      <c r="C148" s="2"/>
      <c r="D148" s="4" t="str">
        <f>IF(C148="","",VLOOKUP(C148,Referentie!$A$2:$B$19,2,0))</f>
        <v/>
      </c>
      <c r="E148" s="7"/>
      <c r="F148" s="4"/>
      <c r="G148" s="4"/>
      <c r="H148" s="4"/>
      <c r="I148" s="4"/>
      <c r="J148" s="4"/>
      <c r="K148" s="4"/>
      <c r="L148" s="4"/>
      <c r="M148" s="4"/>
      <c r="N148" s="4" t="str">
        <f>IF(M148="","",VLOOKUP(M148,Referentie!$G$2:$I$26,2,0))</f>
        <v/>
      </c>
      <c r="O148" s="4" t="str">
        <f>IF(M148="","",VLOOKUP(M148,Referentie!$G$2:$I$26,3,0))</f>
        <v/>
      </c>
      <c r="P148" s="4" t="str">
        <f t="shared" si="38"/>
        <v/>
      </c>
      <c r="Q148" s="4" t="str">
        <f t="shared" si="39"/>
        <v/>
      </c>
      <c r="R148" s="4" t="str">
        <f t="shared" si="40"/>
        <v/>
      </c>
      <c r="S148" s="4" t="str">
        <f t="shared" si="41"/>
        <v/>
      </c>
      <c r="T148" s="4" t="str">
        <f t="shared" si="36"/>
        <v/>
      </c>
      <c r="U148" s="4" t="str">
        <f t="shared" si="42"/>
        <v/>
      </c>
      <c r="V148" s="4" t="str">
        <f t="shared" si="37"/>
        <v/>
      </c>
      <c r="W148" s="69" t="str" cm="1">
        <f t="array" ref="W148">IF(A148="","", IF(COUNTIF(Referentie!$L$2:$L$21,A148)&lt;=1, "", IFERROR(INDEX(Referentie!$M$2:$M$21, MATCH(1,(Referentie!$L$2:$L$21=A148)*(Referentie!$N$2:$N$21=S148),0)), IF(S148="Bench","", "Geen match gevonden"))) )</f>
        <v/>
      </c>
    </row>
    <row r="149" spans="1:23" ht="15" customHeight="1">
      <c r="A149" s="2"/>
      <c r="B149" s="2"/>
      <c r="C149" s="2"/>
      <c r="D149" s="4" t="str">
        <f>IF(C149="","",VLOOKUP(C149,Referentie!$A$2:$B$19,2,0))</f>
        <v/>
      </c>
      <c r="E149" s="7"/>
      <c r="F149" s="4"/>
      <c r="G149" s="4"/>
      <c r="H149" s="4"/>
      <c r="I149" s="4"/>
      <c r="J149" s="4"/>
      <c r="K149" s="4"/>
      <c r="L149" s="4"/>
      <c r="M149" s="4"/>
      <c r="N149" s="4" t="str">
        <f>IF(M149="","",VLOOKUP(M149,Referentie!$G$2:$I$26,2,0))</f>
        <v/>
      </c>
      <c r="O149" s="4" t="str">
        <f>IF(M149="","",VLOOKUP(M149,Referentie!$G$2:$I$26,3,0))</f>
        <v/>
      </c>
      <c r="P149" s="4" t="str">
        <f t="shared" si="38"/>
        <v/>
      </c>
      <c r="Q149" s="4" t="str">
        <f t="shared" si="39"/>
        <v/>
      </c>
      <c r="R149" s="4" t="str">
        <f t="shared" si="40"/>
        <v/>
      </c>
      <c r="S149" s="4" t="str">
        <f t="shared" si="41"/>
        <v/>
      </c>
      <c r="T149" s="4" t="str">
        <f t="shared" si="36"/>
        <v/>
      </c>
      <c r="U149" s="4" t="str">
        <f t="shared" si="42"/>
        <v/>
      </c>
      <c r="V149" s="4" t="str">
        <f t="shared" si="37"/>
        <v/>
      </c>
      <c r="W149" s="69" t="str" cm="1">
        <f t="array" ref="W149">IF(A149="","", IF(COUNTIF(Referentie!$L$2:$L$21,A149)&lt;=1, "", IFERROR(INDEX(Referentie!$M$2:$M$21, MATCH(1,(Referentie!$L$2:$L$21=A149)*(Referentie!$N$2:$N$21=S149),0)), IF(S149="Bench","", "Geen match gevonden"))) )</f>
        <v/>
      </c>
    </row>
    <row r="150" spans="1:23" ht="15" customHeight="1">
      <c r="A150" s="2"/>
      <c r="B150" s="2"/>
      <c r="C150" s="2"/>
      <c r="D150" s="4" t="str">
        <f>IF(C150="","",VLOOKUP(C150,Referentie!$A$2:$B$19,2,0))</f>
        <v/>
      </c>
      <c r="E150" s="7"/>
      <c r="F150" s="4"/>
      <c r="G150" s="4"/>
      <c r="H150" s="4"/>
      <c r="I150" s="4"/>
      <c r="J150" s="4"/>
      <c r="K150" s="4"/>
      <c r="L150" s="4"/>
      <c r="M150" s="4"/>
      <c r="N150" s="4" t="str">
        <f>IF(M150="","",VLOOKUP(M150,Referentie!$G$2:$I$26,2,0))</f>
        <v/>
      </c>
      <c r="O150" s="4" t="str">
        <f>IF(M150="","",VLOOKUP(M150,Referentie!$G$2:$I$26,3,0))</f>
        <v/>
      </c>
      <c r="P150" s="4" t="str">
        <f t="shared" si="38"/>
        <v/>
      </c>
      <c r="Q150" s="4" t="str">
        <f t="shared" si="39"/>
        <v/>
      </c>
      <c r="R150" s="4" t="str">
        <f t="shared" si="40"/>
        <v/>
      </c>
      <c r="S150" s="4" t="str">
        <f t="shared" si="41"/>
        <v/>
      </c>
      <c r="T150" s="4" t="str">
        <f t="shared" si="36"/>
        <v/>
      </c>
      <c r="U150" s="4" t="str">
        <f t="shared" si="42"/>
        <v/>
      </c>
      <c r="V150" s="4" t="str">
        <f t="shared" si="37"/>
        <v/>
      </c>
      <c r="W150" s="69" t="str" cm="1">
        <f t="array" ref="W150">IF(A150="","", IF(COUNTIF(Referentie!$L$2:$L$21,A150)&lt;=1, "", IFERROR(INDEX(Referentie!$M$2:$M$21, MATCH(1,(Referentie!$L$2:$L$21=A150)*(Referentie!$N$2:$N$21=S150),0)), IF(S150="Bench","", "Geen match gevonden"))) )</f>
        <v/>
      </c>
    </row>
    <row r="151" spans="1:23" ht="15" customHeight="1">
      <c r="A151" s="2"/>
      <c r="B151" s="2"/>
      <c r="C151" s="2"/>
      <c r="D151" s="4" t="str">
        <f>IF(C151="","",VLOOKUP(C151,Referentie!$A$2:$B$19,2,0))</f>
        <v/>
      </c>
      <c r="E151" s="7"/>
      <c r="F151" s="4"/>
      <c r="G151" s="4"/>
      <c r="H151" s="4"/>
      <c r="I151" s="4"/>
      <c r="J151" s="4"/>
      <c r="K151" s="4"/>
      <c r="L151" s="4"/>
      <c r="M151" s="4"/>
      <c r="N151" s="4" t="str">
        <f>IF(M151="","",VLOOKUP(M151,Referentie!$G$2:$I$26,2,0))</f>
        <v/>
      </c>
      <c r="O151" s="4" t="str">
        <f>IF(M151="","",VLOOKUP(M151,Referentie!$G$2:$I$26,3,0))</f>
        <v/>
      </c>
      <c r="P151" s="4" t="str">
        <f t="shared" si="38"/>
        <v/>
      </c>
      <c r="Q151" s="4" t="str">
        <f t="shared" si="39"/>
        <v/>
      </c>
      <c r="R151" s="4" t="str">
        <f t="shared" si="40"/>
        <v/>
      </c>
      <c r="S151" s="4" t="str">
        <f t="shared" si="41"/>
        <v/>
      </c>
      <c r="T151" s="4" t="str">
        <f t="shared" si="36"/>
        <v/>
      </c>
      <c r="U151" s="4" t="str">
        <f t="shared" si="42"/>
        <v/>
      </c>
      <c r="V151" s="4" t="str">
        <f t="shared" si="37"/>
        <v/>
      </c>
      <c r="W151" s="69" t="str" cm="1">
        <f t="array" ref="W151">IF(A151="","", IF(COUNTIF(Referentie!$L$2:$L$21,A151)&lt;=1, "", IFERROR(INDEX(Referentie!$M$2:$M$21, MATCH(1,(Referentie!$L$2:$L$21=A151)*(Referentie!$N$2:$N$21=S151),0)), IF(S151="Bench","", "Geen match gevonden"))) )</f>
        <v/>
      </c>
    </row>
    <row r="152" spans="1:23" ht="15" customHeight="1">
      <c r="A152" s="2"/>
      <c r="B152" s="2"/>
      <c r="C152" s="2"/>
      <c r="D152" s="4" t="str">
        <f>IF(C152="","",VLOOKUP(C152,Referentie!$A$2:$B$19,2,0))</f>
        <v/>
      </c>
      <c r="E152" s="7"/>
      <c r="F152" s="4"/>
      <c r="G152" s="4"/>
      <c r="H152" s="4"/>
      <c r="I152" s="4"/>
      <c r="J152" s="4"/>
      <c r="K152" s="4"/>
      <c r="L152" s="4"/>
      <c r="M152" s="4"/>
      <c r="N152" s="4" t="str">
        <f>IF(M152="","",VLOOKUP(M152,Referentie!$G$2:$I$26,2,0))</f>
        <v/>
      </c>
      <c r="O152" s="4" t="str">
        <f>IF(M152="","",VLOOKUP(M152,Referentie!$G$2:$I$26,3,0))</f>
        <v/>
      </c>
      <c r="P152" s="4" t="str">
        <f t="shared" si="38"/>
        <v/>
      </c>
      <c r="Q152" s="4" t="str">
        <f t="shared" si="39"/>
        <v/>
      </c>
      <c r="R152" s="4" t="str">
        <f t="shared" si="40"/>
        <v/>
      </c>
      <c r="S152" s="4" t="str">
        <f t="shared" si="41"/>
        <v/>
      </c>
      <c r="T152" s="4" t="str">
        <f t="shared" si="36"/>
        <v/>
      </c>
      <c r="U152" s="4" t="str">
        <f t="shared" si="42"/>
        <v/>
      </c>
      <c r="V152" s="4" t="str">
        <f t="shared" si="37"/>
        <v/>
      </c>
      <c r="W152" s="69" t="str" cm="1">
        <f t="array" ref="W152">IF(A152="","", IF(COUNTIF(Referentie!$L$2:$L$21,A152)&lt;=1, "", IFERROR(INDEX(Referentie!$M$2:$M$21, MATCH(1,(Referentie!$L$2:$L$21=A152)*(Referentie!$N$2:$N$21=S152),0)), IF(S152="Bench","", "Geen match gevonden"))) )</f>
        <v/>
      </c>
    </row>
    <row r="153" spans="1:23" ht="15" customHeight="1">
      <c r="A153" s="2"/>
      <c r="B153" s="2"/>
      <c r="C153" s="2"/>
      <c r="D153" s="4" t="str">
        <f>IF(C153="","",VLOOKUP(C153,Referentie!$A$2:$B$19,2,0))</f>
        <v/>
      </c>
      <c r="E153" s="7"/>
      <c r="F153" s="4"/>
      <c r="G153" s="4"/>
      <c r="H153" s="4"/>
      <c r="I153" s="4"/>
      <c r="J153" s="4"/>
      <c r="K153" s="4"/>
      <c r="L153" s="4"/>
      <c r="M153" s="4"/>
      <c r="N153" s="4" t="str">
        <f>IF(M153="","",VLOOKUP(M153,Referentie!$G$2:$I$26,2,0))</f>
        <v/>
      </c>
      <c r="O153" s="4" t="str">
        <f>IF(M153="","",VLOOKUP(M153,Referentie!$G$2:$I$26,3,0))</f>
        <v/>
      </c>
      <c r="P153" s="4" t="str">
        <f t="shared" si="38"/>
        <v/>
      </c>
      <c r="Q153" s="4" t="str">
        <f t="shared" si="39"/>
        <v/>
      </c>
      <c r="R153" s="4" t="str">
        <f t="shared" si="40"/>
        <v/>
      </c>
      <c r="S153" s="4" t="str">
        <f t="shared" si="41"/>
        <v/>
      </c>
      <c r="T153" s="4" t="str">
        <f t="shared" si="36"/>
        <v/>
      </c>
      <c r="U153" s="4" t="str">
        <f t="shared" si="42"/>
        <v/>
      </c>
      <c r="V153" s="4" t="str">
        <f t="shared" si="37"/>
        <v/>
      </c>
      <c r="W153" s="69" t="str" cm="1">
        <f t="array" ref="W153">IF(A153="","", IF(COUNTIF(Referentie!$L$2:$L$21,A153)&lt;=1, "", IFERROR(INDEX(Referentie!$M$2:$M$21, MATCH(1,(Referentie!$L$2:$L$21=A153)*(Referentie!$N$2:$N$21=S153),0)), IF(S153="Bench","", "Geen match gevonden"))) )</f>
        <v/>
      </c>
    </row>
    <row r="154" spans="1:23" ht="15" customHeight="1">
      <c r="A154" s="2"/>
      <c r="B154" s="2"/>
      <c r="C154" s="2"/>
      <c r="D154" s="4" t="str">
        <f>IF(C154="","",VLOOKUP(C154,Referentie!$A$2:$B$19,2,0))</f>
        <v/>
      </c>
      <c r="E154" s="7"/>
      <c r="F154" s="4"/>
      <c r="G154" s="4"/>
      <c r="H154" s="4"/>
      <c r="I154" s="4"/>
      <c r="J154" s="4"/>
      <c r="K154" s="4"/>
      <c r="L154" s="4"/>
      <c r="M154" s="4"/>
      <c r="N154" s="4" t="str">
        <f>IF(M154="","",VLOOKUP(M154,Referentie!$G$2:$I$26,2,0))</f>
        <v/>
      </c>
      <c r="O154" s="4" t="str">
        <f>IF(M154="","",VLOOKUP(M154,Referentie!$G$2:$I$26,3,0))</f>
        <v/>
      </c>
      <c r="P154" s="4" t="str">
        <f t="shared" si="38"/>
        <v/>
      </c>
      <c r="Q154" s="4" t="str">
        <f t="shared" si="39"/>
        <v/>
      </c>
      <c r="R154" s="4" t="str">
        <f t="shared" si="40"/>
        <v/>
      </c>
      <c r="S154" s="4" t="str">
        <f t="shared" si="41"/>
        <v/>
      </c>
      <c r="T154" s="4" t="str">
        <f t="shared" si="36"/>
        <v/>
      </c>
      <c r="U154" s="4" t="str">
        <f t="shared" si="42"/>
        <v/>
      </c>
      <c r="V154" s="4" t="str">
        <f t="shared" si="37"/>
        <v/>
      </c>
      <c r="W154" s="69" t="str" cm="1">
        <f t="array" ref="W154">IF(A154="","", IF(COUNTIF(Referentie!$L$2:$L$21,A154)&lt;=1, "", IFERROR(INDEX(Referentie!$M$2:$M$21, MATCH(1,(Referentie!$L$2:$L$21=A154)*(Referentie!$N$2:$N$21=S154),0)), IF(S154="Bench","", "Geen match gevonden"))) )</f>
        <v/>
      </c>
    </row>
    <row r="155" spans="1:23" ht="15" customHeight="1">
      <c r="A155" s="2"/>
      <c r="B155" s="2"/>
      <c r="C155" s="2"/>
      <c r="D155" s="4" t="str">
        <f>IF(C155="","",VLOOKUP(C155,Referentie!$A$2:$B$19,2,0))</f>
        <v/>
      </c>
      <c r="E155" s="7"/>
      <c r="F155" s="4"/>
      <c r="G155" s="4"/>
      <c r="H155" s="4"/>
      <c r="I155" s="4"/>
      <c r="J155" s="4"/>
      <c r="K155" s="4"/>
      <c r="L155" s="4"/>
      <c r="M155" s="4"/>
      <c r="N155" s="4" t="str">
        <f>IF(M155="","",VLOOKUP(M155,Referentie!$G$2:$I$26,2,0))</f>
        <v/>
      </c>
      <c r="O155" s="4" t="str">
        <f>IF(M155="","",VLOOKUP(M155,Referentie!$G$2:$I$26,3,0))</f>
        <v/>
      </c>
      <c r="P155" s="4" t="str">
        <f t="shared" si="38"/>
        <v/>
      </c>
      <c r="Q155" s="4" t="str">
        <f t="shared" si="39"/>
        <v/>
      </c>
      <c r="R155" s="4" t="str">
        <f t="shared" si="40"/>
        <v/>
      </c>
      <c r="S155" s="4" t="str">
        <f t="shared" si="41"/>
        <v/>
      </c>
      <c r="T155" s="4" t="str">
        <f t="shared" si="36"/>
        <v/>
      </c>
      <c r="U155" s="4" t="str">
        <f t="shared" si="42"/>
        <v/>
      </c>
      <c r="V155" s="4" t="str">
        <f t="shared" si="37"/>
        <v/>
      </c>
      <c r="W155" s="69" t="str" cm="1">
        <f t="array" ref="W155">IF(A155="","", IF(COUNTIF(Referentie!$L$2:$L$21,A155)&lt;=1, "", IFERROR(INDEX(Referentie!$M$2:$M$21, MATCH(1,(Referentie!$L$2:$L$21=A155)*(Referentie!$N$2:$N$21=S155),0)), IF(S155="Bench","", "Geen match gevonden"))) )</f>
        <v/>
      </c>
    </row>
    <row r="156" spans="1:23" ht="15" customHeight="1">
      <c r="A156" s="2"/>
      <c r="B156" s="2"/>
      <c r="C156" s="2"/>
      <c r="D156" s="4" t="str">
        <f>IF(C156="","",VLOOKUP(C156,Referentie!$A$2:$B$19,2,0))</f>
        <v/>
      </c>
      <c r="E156" s="7"/>
      <c r="F156" s="4"/>
      <c r="G156" s="4"/>
      <c r="H156" s="4"/>
      <c r="I156" s="4"/>
      <c r="J156" s="4"/>
      <c r="K156" s="4"/>
      <c r="L156" s="4"/>
      <c r="M156" s="4"/>
      <c r="N156" s="4" t="str">
        <f>IF(M156="","",VLOOKUP(M156,Referentie!$G$2:$I$26,2,0))</f>
        <v/>
      </c>
      <c r="O156" s="4" t="str">
        <f>IF(M156="","",VLOOKUP(M156,Referentie!$G$2:$I$26,3,0))</f>
        <v/>
      </c>
      <c r="P156" s="4" t="str">
        <f t="shared" si="38"/>
        <v/>
      </c>
      <c r="Q156" s="4" t="str">
        <f t="shared" si="39"/>
        <v/>
      </c>
      <c r="R156" s="4" t="str">
        <f t="shared" si="40"/>
        <v/>
      </c>
      <c r="S156" s="4" t="str">
        <f t="shared" si="41"/>
        <v/>
      </c>
      <c r="T156" s="4" t="str">
        <f t="shared" si="36"/>
        <v/>
      </c>
      <c r="U156" s="4" t="str">
        <f t="shared" si="42"/>
        <v/>
      </c>
      <c r="V156" s="4" t="str">
        <f t="shared" si="37"/>
        <v/>
      </c>
      <c r="W156" s="69" t="str" cm="1">
        <f t="array" ref="W156">IF(A156="","", IF(COUNTIF(Referentie!$L$2:$L$21,A156)&lt;=1, "", IFERROR(INDEX(Referentie!$M$2:$M$21, MATCH(1,(Referentie!$L$2:$L$21=A156)*(Referentie!$N$2:$N$21=S156),0)), IF(S156="Bench","", "Geen match gevonden"))) )</f>
        <v/>
      </c>
    </row>
    <row r="157" spans="1:23" ht="15" customHeight="1">
      <c r="A157" s="2"/>
      <c r="B157" s="2"/>
      <c r="C157" s="2"/>
      <c r="D157" s="4" t="str">
        <f>IF(C157="","",VLOOKUP(C157,Referentie!$A$2:$B$19,2,0))</f>
        <v/>
      </c>
      <c r="E157" s="7"/>
      <c r="F157" s="4"/>
      <c r="G157" s="4"/>
      <c r="H157" s="4"/>
      <c r="I157" s="4"/>
      <c r="J157" s="4"/>
      <c r="K157" s="4"/>
      <c r="L157" s="4"/>
      <c r="M157" s="4"/>
      <c r="N157" s="4" t="str">
        <f>IF(M157="","",VLOOKUP(M157,Referentie!$G$2:$I$26,2,0))</f>
        <v/>
      </c>
      <c r="O157" s="4" t="str">
        <f>IF(M157="","",VLOOKUP(M157,Referentie!$G$2:$I$26,3,0))</f>
        <v/>
      </c>
      <c r="P157" s="4" t="str">
        <f t="shared" si="38"/>
        <v/>
      </c>
      <c r="Q157" s="4" t="str">
        <f t="shared" si="39"/>
        <v/>
      </c>
      <c r="R157" s="4" t="str">
        <f t="shared" si="40"/>
        <v/>
      </c>
      <c r="S157" s="4" t="str">
        <f t="shared" si="41"/>
        <v/>
      </c>
      <c r="T157" s="4" t="str">
        <f t="shared" si="36"/>
        <v/>
      </c>
      <c r="U157" s="4" t="str">
        <f t="shared" si="42"/>
        <v/>
      </c>
      <c r="V157" s="4" t="str">
        <f t="shared" si="37"/>
        <v/>
      </c>
      <c r="W157" s="69" t="str" cm="1">
        <f t="array" ref="W157">IF(A157="","", IF(COUNTIF(Referentie!$L$2:$L$21,A157)&lt;=1, "", IFERROR(INDEX(Referentie!$M$2:$M$21, MATCH(1,(Referentie!$L$2:$L$21=A157)*(Referentie!$N$2:$N$21=S157),0)), IF(S157="Bench","", "Geen match gevonden"))) )</f>
        <v/>
      </c>
    </row>
    <row r="158" spans="1:23" ht="15" customHeight="1">
      <c r="A158" s="2"/>
      <c r="B158" s="2"/>
      <c r="C158" s="2"/>
      <c r="D158" s="4" t="str">
        <f>IF(C158="","",VLOOKUP(C158,Referentie!$A$2:$B$19,2,0))</f>
        <v/>
      </c>
      <c r="E158" s="7"/>
      <c r="F158" s="4"/>
      <c r="G158" s="4"/>
      <c r="H158" s="4"/>
      <c r="I158" s="4"/>
      <c r="J158" s="4"/>
      <c r="K158" s="4"/>
      <c r="L158" s="4"/>
      <c r="M158" s="4"/>
      <c r="N158" s="4" t="str">
        <f>IF(M158="","",VLOOKUP(M158,Referentie!$G$2:$I$26,2,0))</f>
        <v/>
      </c>
      <c r="O158" s="4" t="str">
        <f>IF(M158="","",VLOOKUP(M158,Referentie!$G$2:$I$26,3,0))</f>
        <v/>
      </c>
      <c r="P158" s="4" t="str">
        <f t="shared" si="38"/>
        <v/>
      </c>
      <c r="Q158" s="4" t="str">
        <f t="shared" si="39"/>
        <v/>
      </c>
      <c r="R158" s="4" t="str">
        <f t="shared" si="40"/>
        <v/>
      </c>
      <c r="S158" s="4" t="str">
        <f t="shared" si="41"/>
        <v/>
      </c>
      <c r="T158" s="4" t="str">
        <f t="shared" si="36"/>
        <v/>
      </c>
      <c r="U158" s="4" t="str">
        <f t="shared" si="42"/>
        <v/>
      </c>
      <c r="V158" s="4" t="str">
        <f t="shared" si="37"/>
        <v/>
      </c>
      <c r="W158" s="69" t="str" cm="1">
        <f t="array" ref="W158">IF(A158="","", IF(COUNTIF(Referentie!$L$2:$L$21,A158)&lt;=1, "", IFERROR(INDEX(Referentie!$M$2:$M$21, MATCH(1,(Referentie!$L$2:$L$21=A158)*(Referentie!$N$2:$N$21=S158),0)), IF(S158="Bench","", "Geen match gevonden"))) )</f>
        <v/>
      </c>
    </row>
    <row r="159" spans="1:23" ht="15" customHeight="1">
      <c r="A159" s="2"/>
      <c r="B159" s="2"/>
      <c r="C159" s="2"/>
      <c r="D159" s="4" t="str">
        <f>IF(C159="","",VLOOKUP(C159,Referentie!$A$2:$B$19,2,0))</f>
        <v/>
      </c>
      <c r="E159" s="7"/>
      <c r="F159" s="4"/>
      <c r="G159" s="4"/>
      <c r="H159" s="4"/>
      <c r="I159" s="4"/>
      <c r="J159" s="4"/>
      <c r="K159" s="4"/>
      <c r="L159" s="4"/>
      <c r="M159" s="4"/>
      <c r="N159" s="4" t="str">
        <f>IF(M159="","",VLOOKUP(M159,Referentie!$G$2:$I$26,2,0))</f>
        <v/>
      </c>
      <c r="O159" s="4" t="str">
        <f>IF(M159="","",VLOOKUP(M159,Referentie!$G$2:$I$26,3,0))</f>
        <v/>
      </c>
      <c r="P159" s="4" t="str">
        <f t="shared" si="38"/>
        <v/>
      </c>
      <c r="Q159" s="4" t="str">
        <f t="shared" si="39"/>
        <v/>
      </c>
      <c r="R159" s="4" t="str">
        <f t="shared" si="40"/>
        <v/>
      </c>
      <c r="S159" s="4" t="str">
        <f t="shared" si="41"/>
        <v/>
      </c>
      <c r="T159" s="4" t="str">
        <f t="shared" si="36"/>
        <v/>
      </c>
      <c r="U159" s="4" t="str">
        <f t="shared" si="42"/>
        <v/>
      </c>
      <c r="V159" s="4" t="str">
        <f t="shared" si="37"/>
        <v/>
      </c>
      <c r="W159" s="69" t="str" cm="1">
        <f t="array" ref="W159">IF(A159="","", IF(COUNTIF(Referentie!$L$2:$L$21,A159)&lt;=1, "", IFERROR(INDEX(Referentie!$M$2:$M$21, MATCH(1,(Referentie!$L$2:$L$21=A159)*(Referentie!$N$2:$N$21=S159),0)), IF(S159="Bench","", "Geen match gevonden"))) )</f>
        <v/>
      </c>
    </row>
    <row r="160" spans="1:23" ht="15" customHeight="1">
      <c r="A160" s="2"/>
      <c r="B160" s="2"/>
      <c r="C160" s="2"/>
      <c r="D160" s="4" t="str">
        <f>IF(C160="","",VLOOKUP(C160,Referentie!$A$2:$B$19,2,0))</f>
        <v/>
      </c>
      <c r="E160" s="7"/>
      <c r="F160" s="4"/>
      <c r="G160" s="4"/>
      <c r="H160" s="4"/>
      <c r="I160" s="4"/>
      <c r="J160" s="4"/>
      <c r="K160" s="4"/>
      <c r="L160" s="4"/>
      <c r="M160" s="4"/>
      <c r="N160" s="4" t="str">
        <f>IF(M160="","",VLOOKUP(M160,Referentie!$G$2:$I$26,2,0))</f>
        <v/>
      </c>
      <c r="O160" s="4" t="str">
        <f>IF(M160="","",VLOOKUP(M160,Referentie!$G$2:$I$26,3,0))</f>
        <v/>
      </c>
      <c r="P160" s="4" t="str">
        <f t="shared" si="38"/>
        <v/>
      </c>
      <c r="Q160" s="4" t="str">
        <f t="shared" si="39"/>
        <v/>
      </c>
      <c r="R160" s="4" t="str">
        <f t="shared" si="40"/>
        <v/>
      </c>
      <c r="S160" s="4" t="str">
        <f t="shared" si="41"/>
        <v/>
      </c>
      <c r="T160" s="4" t="str">
        <f t="shared" si="36"/>
        <v/>
      </c>
      <c r="U160" s="4" t="str">
        <f t="shared" si="42"/>
        <v/>
      </c>
      <c r="V160" s="4" t="str">
        <f t="shared" si="37"/>
        <v/>
      </c>
      <c r="W160" s="69" t="str" cm="1">
        <f t="array" ref="W160">IF(A160="","", IF(COUNTIF(Referentie!$L$2:$L$21,A160)&lt;=1, "", IFERROR(INDEX(Referentie!$M$2:$M$21, MATCH(1,(Referentie!$L$2:$L$21=A160)*(Referentie!$N$2:$N$21=S160),0)), IF(S160="Bench","", "Geen match gevonden"))) )</f>
        <v/>
      </c>
    </row>
    <row r="161" spans="1:23" ht="15" customHeight="1">
      <c r="A161" s="2"/>
      <c r="B161" s="2"/>
      <c r="C161" s="2"/>
      <c r="D161" s="4" t="str">
        <f>IF(C161="","",VLOOKUP(C161,Referentie!$A$2:$B$19,2,0))</f>
        <v/>
      </c>
      <c r="E161" s="7"/>
      <c r="F161" s="4"/>
      <c r="G161" s="4"/>
      <c r="H161" s="4"/>
      <c r="I161" s="4"/>
      <c r="J161" s="4"/>
      <c r="K161" s="4"/>
      <c r="L161" s="4"/>
      <c r="M161" s="4"/>
      <c r="N161" s="4" t="str">
        <f>IF(M161="","",VLOOKUP(M161,Referentie!$G$2:$I$26,2,0))</f>
        <v/>
      </c>
      <c r="O161" s="4" t="str">
        <f>IF(M161="","",VLOOKUP(M161,Referentie!$G$2:$I$26,3,0))</f>
        <v/>
      </c>
      <c r="P161" s="4" t="str">
        <f t="shared" si="38"/>
        <v/>
      </c>
      <c r="Q161" s="4" t="str">
        <f t="shared" si="39"/>
        <v/>
      </c>
      <c r="R161" s="4" t="str">
        <f t="shared" si="40"/>
        <v/>
      </c>
      <c r="S161" s="4" t="str">
        <f t="shared" si="41"/>
        <v/>
      </c>
      <c r="T161" s="4" t="str">
        <f t="shared" si="36"/>
        <v/>
      </c>
      <c r="U161" s="4" t="str">
        <f t="shared" si="42"/>
        <v/>
      </c>
      <c r="V161" s="4" t="str">
        <f t="shared" si="37"/>
        <v/>
      </c>
      <c r="W161" s="69" t="str" cm="1">
        <f t="array" ref="W161">IF(A161="","", IF(COUNTIF(Referentie!$L$2:$L$21,A161)&lt;=1, "", IFERROR(INDEX(Referentie!$M$2:$M$21, MATCH(1,(Referentie!$L$2:$L$21=A161)*(Referentie!$N$2:$N$21=S161),0)), IF(S161="Bench","", "Geen match gevonden"))) )</f>
        <v/>
      </c>
    </row>
    <row r="162" spans="1:23" ht="15" customHeight="1">
      <c r="A162" s="2"/>
      <c r="B162" s="2"/>
      <c r="C162" s="2"/>
      <c r="D162" s="4" t="str">
        <f>IF(C162="","",VLOOKUP(C162,Referentie!$A$2:$B$19,2,0))</f>
        <v/>
      </c>
      <c r="E162" s="7"/>
      <c r="F162" s="4"/>
      <c r="G162" s="4"/>
      <c r="H162" s="4"/>
      <c r="I162" s="4"/>
      <c r="J162" s="4"/>
      <c r="K162" s="4"/>
      <c r="L162" s="4"/>
      <c r="M162" s="4"/>
      <c r="N162" s="4" t="str">
        <f>IF(M162="","",VLOOKUP(M162,Referentie!$G$2:$I$26,2,0))</f>
        <v/>
      </c>
      <c r="O162" s="4" t="str">
        <f>IF(M162="","",VLOOKUP(M162,Referentie!$G$2:$I$26,3,0))</f>
        <v/>
      </c>
      <c r="P162" s="4" t="str">
        <f t="shared" si="38"/>
        <v/>
      </c>
      <c r="Q162" s="4" t="str">
        <f t="shared" si="39"/>
        <v/>
      </c>
      <c r="R162" s="4" t="str">
        <f t="shared" si="40"/>
        <v/>
      </c>
      <c r="S162" s="4" t="str">
        <f t="shared" si="41"/>
        <v/>
      </c>
      <c r="T162" s="4" t="str">
        <f t="shared" si="36"/>
        <v/>
      </c>
      <c r="U162" s="4" t="str">
        <f t="shared" si="42"/>
        <v/>
      </c>
      <c r="V162" s="4" t="str">
        <f t="shared" si="37"/>
        <v/>
      </c>
      <c r="W162" s="69" t="str" cm="1">
        <f t="array" ref="W162">IF(A162="","", IF(COUNTIF(Referentie!$L$2:$L$21,A162)&lt;=1, "", IFERROR(INDEX(Referentie!$M$2:$M$21, MATCH(1,(Referentie!$L$2:$L$21=A162)*(Referentie!$N$2:$N$21=S162),0)), IF(S162="Bench","", "Geen match gevonden"))) )</f>
        <v/>
      </c>
    </row>
    <row r="163" spans="1:23" ht="15" customHeight="1">
      <c r="A163" s="2"/>
      <c r="B163" s="2"/>
      <c r="C163" s="2"/>
      <c r="D163" s="4" t="str">
        <f>IF(C163="","",VLOOKUP(C163,Referentie!$A$2:$B$19,2,0))</f>
        <v/>
      </c>
      <c r="E163" s="7"/>
      <c r="F163" s="4"/>
      <c r="G163" s="4"/>
      <c r="H163" s="4"/>
      <c r="I163" s="4"/>
      <c r="J163" s="4"/>
      <c r="K163" s="4"/>
      <c r="L163" s="4"/>
      <c r="M163" s="4"/>
      <c r="N163" s="4" t="str">
        <f>IF(M163="","",VLOOKUP(M163,Referentie!$G$2:$I$26,2,0))</f>
        <v/>
      </c>
      <c r="O163" s="4" t="str">
        <f>IF(M163="","",VLOOKUP(M163,Referentie!$G$2:$I$26,3,0))</f>
        <v/>
      </c>
      <c r="P163" s="4" t="str">
        <f t="shared" ref="P163:P193" si="43">IF(A163="","", (IF(N163="Speed of Help",2,0)) + (IF(O163="Speed of Help",-2,0)) + (IF(N163="EXP Gains",1,0)) + (IF(O163="EXP Gains",-1,0)) + (COUNTIF(H163:L163,"Helping Speed S")*1) + (COUNTIF(H163:L163,"Helping Speed M")*2) + (COUNTIF(H163:L163,"Berry Finding S")*2) + (COUNTIF(H163:L163,"Helping Bonus")*1) + (IF(O163="Ingredient Finding",0,0)) + (IF(O163="Main Skill Chance",0,0)) )</f>
        <v/>
      </c>
      <c r="Q163" s="4" t="str">
        <f t="shared" ref="Q163:Q193" si="44">IF(A163="","", (IF(N163="Ingredient Finding",2,0)) + (IF(O163="Ingredient Finding",-2,0)) + (IF(N163="EXP Gains",1,0)) + (IF(O163="EXP Gains",-1,0)) + (COUNTIF(H163:L163,"Ingredient Finder S")*1) + (COUNTIF(H163:L163,"Ingredient Finder M")*2) + (COUNTIF(H163:L163,"Inventory Up S")*0.5) + (COUNTIF(H163:L163,"Inventory Up M")*1) + (COUNTIF(H163:L163,"Inventory Up L")*1.5) + (IF(E163=F163,1,0)) + (IF(F163=G163,1,0)) )</f>
        <v/>
      </c>
      <c r="R163" s="4" t="str">
        <f t="shared" ref="R163:R193" si="45">IF(A163="","", (IF(N163="Main Skill Chance",2,0)) + (IF(O163="Main Skill Chance",-2,0)) + (IF(N163="EXP Gains",1,0)) + (IF(O163="EXP Gains",-1,0)) + (COUNTIF(H163:L163,"Skill Trigger S")*1) + (COUNTIF(H163:L163,"Skill Trigger M")*2) + (COUNTIF(H163:L163,"Skill Level Up S")*1) + (COUNTIF(H163:L163,"Skill Level Up M")*2) + (COUNTIF(H163:L163,"Energy Recovery Bonus")*1.5) + (COUNTIF(H163:L163,"Sleep EXP Bonus")*1) + (COUNTIF(H163:L163,"Research EXP Bonus")*1) )</f>
        <v/>
      </c>
      <c r="S163" s="4" t="str">
        <f t="shared" ref="S163:S193" si="46">IF(A163="","", IF(AND(P163&lt;=1, Q163&lt;=1, R163&lt;=1), "Bench", IF(AND(P163&gt;=Q163, P163&gt;=R163), "Berry", IF(AND(Q163&gt;=P163, Q163&gt;=R163), "Ingredient", "Skill"))) )</f>
        <v/>
      </c>
      <c r="T163" s="4" t="str">
        <f t="shared" si="36"/>
        <v/>
      </c>
      <c r="U163" s="4" t="str">
        <f t="shared" ref="U163:U193" si="47">IF(A163="","", IF(T163&gt;=7, "⭐ Keep", IF(T163&gt;=5, "📈 Level Up", IF(T163&gt;=3, "🤔 Bench", "❌ Transfer"))) )</f>
        <v/>
      </c>
      <c r="V163" s="4" t="str">
        <f t="shared" si="37"/>
        <v/>
      </c>
      <c r="W163" s="69" t="str" cm="1">
        <f t="array" ref="W163">IF(A163="","", IF(COUNTIF(Referentie!$L$2:$L$21,A163)&lt;=1, "", IFERROR(INDEX(Referentie!$M$2:$M$21, MATCH(1,(Referentie!$L$2:$L$21=A163)*(Referentie!$N$2:$N$21=S163),0)), IF(S163="Bench","", "Geen match gevonden"))) )</f>
        <v/>
      </c>
    </row>
    <row r="164" spans="1:23" ht="15" customHeight="1">
      <c r="A164" s="2"/>
      <c r="B164" s="2"/>
      <c r="C164" s="2"/>
      <c r="D164" s="4" t="str">
        <f>IF(C164="","",VLOOKUP(C164,Referentie!$A$2:$B$19,2,0))</f>
        <v/>
      </c>
      <c r="E164" s="7"/>
      <c r="F164" s="4"/>
      <c r="G164" s="4"/>
      <c r="H164" s="4"/>
      <c r="I164" s="4"/>
      <c r="J164" s="4"/>
      <c r="K164" s="4"/>
      <c r="L164" s="4"/>
      <c r="M164" s="4"/>
      <c r="N164" s="4" t="str">
        <f>IF(M164="","",VLOOKUP(M164,Referentie!$G$2:$I$26,2,0))</f>
        <v/>
      </c>
      <c r="O164" s="4" t="str">
        <f>IF(M164="","",VLOOKUP(M164,Referentie!$G$2:$I$26,3,0))</f>
        <v/>
      </c>
      <c r="P164" s="4" t="str">
        <f t="shared" si="43"/>
        <v/>
      </c>
      <c r="Q164" s="4" t="str">
        <f t="shared" si="44"/>
        <v/>
      </c>
      <c r="R164" s="4" t="str">
        <f t="shared" si="45"/>
        <v/>
      </c>
      <c r="S164" s="4" t="str">
        <f t="shared" si="46"/>
        <v/>
      </c>
      <c r="T164" s="4" t="str">
        <f t="shared" si="36"/>
        <v/>
      </c>
      <c r="U164" s="4" t="str">
        <f t="shared" si="47"/>
        <v/>
      </c>
      <c r="V164" s="4" t="str">
        <f t="shared" si="37"/>
        <v/>
      </c>
      <c r="W164" s="69" t="str" cm="1">
        <f t="array" ref="W164">IF(A164="","", IF(COUNTIF(Referentie!$L$2:$L$21,A164)&lt;=1, "", IFERROR(INDEX(Referentie!$M$2:$M$21, MATCH(1,(Referentie!$L$2:$L$21=A164)*(Referentie!$N$2:$N$21=S164),0)), IF(S164="Bench","", "Geen match gevonden"))) )</f>
        <v/>
      </c>
    </row>
    <row r="165" spans="1:23" ht="15" customHeight="1">
      <c r="A165" s="2"/>
      <c r="B165" s="2"/>
      <c r="C165" s="2"/>
      <c r="D165" s="4" t="str">
        <f>IF(C165="","",VLOOKUP(C165,Referentie!$A$2:$B$19,2,0))</f>
        <v/>
      </c>
      <c r="E165" s="7"/>
      <c r="F165" s="4"/>
      <c r="G165" s="4"/>
      <c r="H165" s="4"/>
      <c r="I165" s="4"/>
      <c r="J165" s="4"/>
      <c r="K165" s="4"/>
      <c r="L165" s="4"/>
      <c r="M165" s="4"/>
      <c r="N165" s="4" t="str">
        <f>IF(M165="","",VLOOKUP(M165,Referentie!$G$2:$I$26,2,0))</f>
        <v/>
      </c>
      <c r="O165" s="4" t="str">
        <f>IF(M165="","",VLOOKUP(M165,Referentie!$G$2:$I$26,3,0))</f>
        <v/>
      </c>
      <c r="P165" s="4" t="str">
        <f t="shared" si="43"/>
        <v/>
      </c>
      <c r="Q165" s="4" t="str">
        <f t="shared" si="44"/>
        <v/>
      </c>
      <c r="R165" s="4" t="str">
        <f t="shared" si="45"/>
        <v/>
      </c>
      <c r="S165" s="4" t="str">
        <f t="shared" si="46"/>
        <v/>
      </c>
      <c r="T165" s="4" t="str">
        <f t="shared" si="36"/>
        <v/>
      </c>
      <c r="U165" s="4" t="str">
        <f t="shared" si="47"/>
        <v/>
      </c>
      <c r="V165" s="4" t="str">
        <f t="shared" si="37"/>
        <v/>
      </c>
      <c r="W165" s="69" t="str" cm="1">
        <f t="array" ref="W165">IF(A165="","", IF(COUNTIF(Referentie!$L$2:$L$21,A165)&lt;=1, "", IFERROR(INDEX(Referentie!$M$2:$M$21, MATCH(1,(Referentie!$L$2:$L$21=A165)*(Referentie!$N$2:$N$21=S165),0)), IF(S165="Bench","", "Geen match gevonden"))) )</f>
        <v/>
      </c>
    </row>
    <row r="166" spans="1:23" ht="15" customHeight="1">
      <c r="A166" s="2"/>
      <c r="B166" s="2"/>
      <c r="C166" s="2"/>
      <c r="D166" s="4" t="str">
        <f>IF(C166="","",VLOOKUP(C166,Referentie!$A$2:$B$19,2,0))</f>
        <v/>
      </c>
      <c r="E166" s="7"/>
      <c r="F166" s="4"/>
      <c r="G166" s="4"/>
      <c r="H166" s="4"/>
      <c r="I166" s="4"/>
      <c r="J166" s="4"/>
      <c r="K166" s="4"/>
      <c r="L166" s="4"/>
      <c r="M166" s="4"/>
      <c r="N166" s="4" t="str">
        <f>IF(M166="","",VLOOKUP(M166,Referentie!$G$2:$I$26,2,0))</f>
        <v/>
      </c>
      <c r="O166" s="4" t="str">
        <f>IF(M166="","",VLOOKUP(M166,Referentie!$G$2:$I$26,3,0))</f>
        <v/>
      </c>
      <c r="P166" s="4" t="str">
        <f t="shared" si="43"/>
        <v/>
      </c>
      <c r="Q166" s="4" t="str">
        <f t="shared" si="44"/>
        <v/>
      </c>
      <c r="R166" s="4" t="str">
        <f t="shared" si="45"/>
        <v/>
      </c>
      <c r="S166" s="4" t="str">
        <f t="shared" si="46"/>
        <v/>
      </c>
      <c r="T166" s="4" t="str">
        <f t="shared" si="36"/>
        <v/>
      </c>
      <c r="U166" s="4" t="str">
        <f t="shared" si="47"/>
        <v/>
      </c>
      <c r="V166" s="4" t="str">
        <f t="shared" si="37"/>
        <v/>
      </c>
      <c r="W166" s="69" t="str" cm="1">
        <f t="array" ref="W166">IF(A166="","", IF(COUNTIF(Referentie!$L$2:$L$21,A166)&lt;=1, "", IFERROR(INDEX(Referentie!$M$2:$M$21, MATCH(1,(Referentie!$L$2:$L$21=A166)*(Referentie!$N$2:$N$21=S166),0)), IF(S166="Bench","", "Geen match gevonden"))) )</f>
        <v/>
      </c>
    </row>
    <row r="167" spans="1:23" ht="15" customHeight="1">
      <c r="A167" s="2"/>
      <c r="B167" s="2"/>
      <c r="C167" s="2"/>
      <c r="D167" s="4" t="str">
        <f>IF(C167="","",VLOOKUP(C167,Referentie!$A$2:$B$19,2,0))</f>
        <v/>
      </c>
      <c r="E167" s="7"/>
      <c r="F167" s="4"/>
      <c r="G167" s="4"/>
      <c r="H167" s="4"/>
      <c r="I167" s="4"/>
      <c r="J167" s="4"/>
      <c r="K167" s="4"/>
      <c r="L167" s="4"/>
      <c r="M167" s="4"/>
      <c r="N167" s="4" t="str">
        <f>IF(M167="","",VLOOKUP(M167,Referentie!$G$2:$I$26,2,0))</f>
        <v/>
      </c>
      <c r="O167" s="4" t="str">
        <f>IF(M167="","",VLOOKUP(M167,Referentie!$G$2:$I$26,3,0))</f>
        <v/>
      </c>
      <c r="P167" s="4" t="str">
        <f t="shared" si="43"/>
        <v/>
      </c>
      <c r="Q167" s="4" t="str">
        <f t="shared" si="44"/>
        <v/>
      </c>
      <c r="R167" s="4" t="str">
        <f t="shared" si="45"/>
        <v/>
      </c>
      <c r="S167" s="4" t="str">
        <f t="shared" si="46"/>
        <v/>
      </c>
      <c r="T167" s="4" t="str">
        <f t="shared" si="36"/>
        <v/>
      </c>
      <c r="U167" s="4" t="str">
        <f t="shared" si="47"/>
        <v/>
      </c>
      <c r="V167" s="4" t="str">
        <f t="shared" si="37"/>
        <v/>
      </c>
      <c r="W167" s="69" t="str" cm="1">
        <f t="array" ref="W167">IF(A167="","", IF(COUNTIF(Referentie!$L$2:$L$21,A167)&lt;=1, "", IFERROR(INDEX(Referentie!$M$2:$M$21, MATCH(1,(Referentie!$L$2:$L$21=A167)*(Referentie!$N$2:$N$21=S167),0)), IF(S167="Bench","", "Geen match gevonden"))) )</f>
        <v/>
      </c>
    </row>
    <row r="168" spans="1:23" ht="15" customHeight="1">
      <c r="A168" s="2"/>
      <c r="B168" s="2"/>
      <c r="C168" s="2"/>
      <c r="D168" s="4" t="str">
        <f>IF(C168="","",VLOOKUP(C168,Referentie!$A$2:$B$19,2,0))</f>
        <v/>
      </c>
      <c r="E168" s="7"/>
      <c r="F168" s="4"/>
      <c r="G168" s="4"/>
      <c r="H168" s="4"/>
      <c r="I168" s="4"/>
      <c r="J168" s="4"/>
      <c r="K168" s="4"/>
      <c r="L168" s="4"/>
      <c r="M168" s="4"/>
      <c r="N168" s="4" t="str">
        <f>IF(M168="","",VLOOKUP(M168,Referentie!$G$2:$I$26,2,0))</f>
        <v/>
      </c>
      <c r="O168" s="4" t="str">
        <f>IF(M168="","",VLOOKUP(M168,Referentie!$G$2:$I$26,3,0))</f>
        <v/>
      </c>
      <c r="P168" s="4" t="str">
        <f t="shared" si="43"/>
        <v/>
      </c>
      <c r="Q168" s="4" t="str">
        <f t="shared" si="44"/>
        <v/>
      </c>
      <c r="R168" s="4" t="str">
        <f t="shared" si="45"/>
        <v/>
      </c>
      <c r="S168" s="4" t="str">
        <f t="shared" si="46"/>
        <v/>
      </c>
      <c r="T168" s="4" t="str">
        <f t="shared" si="36"/>
        <v/>
      </c>
      <c r="U168" s="4" t="str">
        <f t="shared" si="47"/>
        <v/>
      </c>
      <c r="V168" s="4" t="str">
        <f t="shared" si="37"/>
        <v/>
      </c>
      <c r="W168" s="69" t="str" cm="1">
        <f t="array" ref="W168">IF(A168="","", IF(COUNTIF(Referentie!$L$2:$L$21,A168)&lt;=1, "", IFERROR(INDEX(Referentie!$M$2:$M$21, MATCH(1,(Referentie!$L$2:$L$21=A168)*(Referentie!$N$2:$N$21=S168),0)), IF(S168="Bench","", "Geen match gevonden"))) )</f>
        <v/>
      </c>
    </row>
    <row r="169" spans="1:23" ht="15" customHeight="1">
      <c r="A169" s="2"/>
      <c r="B169" s="2"/>
      <c r="C169" s="2"/>
      <c r="D169" s="4" t="str">
        <f>IF(C169="","",VLOOKUP(C169,Referentie!$A$2:$B$19,2,0))</f>
        <v/>
      </c>
      <c r="E169" s="7"/>
      <c r="F169" s="4"/>
      <c r="G169" s="4"/>
      <c r="H169" s="4"/>
      <c r="I169" s="4"/>
      <c r="J169" s="4"/>
      <c r="K169" s="4"/>
      <c r="L169" s="4"/>
      <c r="M169" s="4"/>
      <c r="N169" s="4" t="str">
        <f>IF(M169="","",VLOOKUP(M169,Referentie!$G$2:$I$26,2,0))</f>
        <v/>
      </c>
      <c r="O169" s="4" t="str">
        <f>IF(M169="","",VLOOKUP(M169,Referentie!$G$2:$I$26,3,0))</f>
        <v/>
      </c>
      <c r="P169" s="4" t="str">
        <f t="shared" si="43"/>
        <v/>
      </c>
      <c r="Q169" s="4" t="str">
        <f t="shared" si="44"/>
        <v/>
      </c>
      <c r="R169" s="4" t="str">
        <f t="shared" si="45"/>
        <v/>
      </c>
      <c r="S169" s="4" t="str">
        <f t="shared" si="46"/>
        <v/>
      </c>
      <c r="T169" s="4" t="str">
        <f t="shared" si="36"/>
        <v/>
      </c>
      <c r="U169" s="4" t="str">
        <f t="shared" si="47"/>
        <v/>
      </c>
      <c r="V169" s="4" t="str">
        <f t="shared" si="37"/>
        <v/>
      </c>
      <c r="W169" s="69" t="str" cm="1">
        <f t="array" ref="W169">IF(A169="","", IF(COUNTIF(Referentie!$L$2:$L$21,A169)&lt;=1, "", IFERROR(INDEX(Referentie!$M$2:$M$21, MATCH(1,(Referentie!$L$2:$L$21=A169)*(Referentie!$N$2:$N$21=S169),0)), IF(S169="Bench","", "Geen match gevonden"))) )</f>
        <v/>
      </c>
    </row>
    <row r="170" spans="1:23" ht="15" customHeight="1">
      <c r="A170" s="2"/>
      <c r="B170" s="2"/>
      <c r="C170" s="2"/>
      <c r="D170" s="4" t="str">
        <f>IF(C170="","",VLOOKUP(C170,Referentie!$A$2:$B$19,2,0))</f>
        <v/>
      </c>
      <c r="E170" s="7"/>
      <c r="F170" s="4"/>
      <c r="G170" s="4"/>
      <c r="H170" s="4"/>
      <c r="I170" s="4"/>
      <c r="J170" s="4"/>
      <c r="K170" s="4"/>
      <c r="L170" s="4"/>
      <c r="M170" s="4"/>
      <c r="N170" s="4" t="str">
        <f>IF(M170="","",VLOOKUP(M170,Referentie!$G$2:$I$26,2,0))</f>
        <v/>
      </c>
      <c r="O170" s="4" t="str">
        <f>IF(M170="","",VLOOKUP(M170,Referentie!$G$2:$I$26,3,0))</f>
        <v/>
      </c>
      <c r="P170" s="4" t="str">
        <f t="shared" si="43"/>
        <v/>
      </c>
      <c r="Q170" s="4" t="str">
        <f t="shared" si="44"/>
        <v/>
      </c>
      <c r="R170" s="4" t="str">
        <f t="shared" si="45"/>
        <v/>
      </c>
      <c r="S170" s="4" t="str">
        <f t="shared" si="46"/>
        <v/>
      </c>
      <c r="T170" s="4" t="str">
        <f t="shared" si="36"/>
        <v/>
      </c>
      <c r="U170" s="4" t="str">
        <f t="shared" si="47"/>
        <v/>
      </c>
      <c r="V170" s="4" t="str">
        <f t="shared" si="37"/>
        <v/>
      </c>
      <c r="W170" s="69" t="str" cm="1">
        <f t="array" ref="W170">IF(A170="","", IF(COUNTIF(Referentie!$L$2:$L$21,A170)&lt;=1, "", IFERROR(INDEX(Referentie!$M$2:$M$21, MATCH(1,(Referentie!$L$2:$L$21=A170)*(Referentie!$N$2:$N$21=S170),0)), IF(S170="Bench","", "Geen match gevonden"))) )</f>
        <v/>
      </c>
    </row>
    <row r="171" spans="1:23" ht="15" customHeight="1">
      <c r="A171" s="2"/>
      <c r="B171" s="2"/>
      <c r="C171" s="2"/>
      <c r="D171" s="4" t="str">
        <f>IF(C171="","",VLOOKUP(C171,Referentie!$A$2:$B$19,2,0))</f>
        <v/>
      </c>
      <c r="E171" s="7"/>
      <c r="F171" s="4"/>
      <c r="G171" s="4"/>
      <c r="H171" s="4"/>
      <c r="I171" s="4"/>
      <c r="J171" s="4"/>
      <c r="K171" s="4"/>
      <c r="L171" s="4"/>
      <c r="M171" s="4"/>
      <c r="N171" s="4" t="str">
        <f>IF(M171="","",VLOOKUP(M171,Referentie!$G$2:$I$26,2,0))</f>
        <v/>
      </c>
      <c r="O171" s="4" t="str">
        <f>IF(M171="","",VLOOKUP(M171,Referentie!$G$2:$I$26,3,0))</f>
        <v/>
      </c>
      <c r="P171" s="4" t="str">
        <f t="shared" si="43"/>
        <v/>
      </c>
      <c r="Q171" s="4" t="str">
        <f t="shared" si="44"/>
        <v/>
      </c>
      <c r="R171" s="4" t="str">
        <f t="shared" si="45"/>
        <v/>
      </c>
      <c r="S171" s="4" t="str">
        <f t="shared" si="46"/>
        <v/>
      </c>
      <c r="T171" s="4" t="str">
        <f t="shared" si="36"/>
        <v/>
      </c>
      <c r="U171" s="4" t="str">
        <f t="shared" si="47"/>
        <v/>
      </c>
      <c r="V171" s="4" t="str">
        <f t="shared" si="37"/>
        <v/>
      </c>
      <c r="W171" s="69" t="str" cm="1">
        <f t="array" ref="W171">IF(A171="","", IF(COUNTIF(Referentie!$L$2:$L$21,A171)&lt;=1, "", IFERROR(INDEX(Referentie!$M$2:$M$21, MATCH(1,(Referentie!$L$2:$L$21=A171)*(Referentie!$N$2:$N$21=S171),0)), IF(S171="Bench","", "Geen match gevonden"))) )</f>
        <v/>
      </c>
    </row>
    <row r="172" spans="1:23" ht="15" customHeight="1">
      <c r="A172" s="2"/>
      <c r="B172" s="2"/>
      <c r="C172" s="2"/>
      <c r="D172" s="4" t="str">
        <f>IF(C172="","",VLOOKUP(C172,Referentie!$A$2:$B$19,2,0))</f>
        <v/>
      </c>
      <c r="E172" s="7"/>
      <c r="F172" s="4"/>
      <c r="G172" s="4"/>
      <c r="H172" s="4"/>
      <c r="I172" s="4"/>
      <c r="J172" s="4"/>
      <c r="K172" s="4"/>
      <c r="L172" s="4"/>
      <c r="M172" s="4"/>
      <c r="N172" s="4" t="str">
        <f>IF(M172="","",VLOOKUP(M172,Referentie!$G$2:$I$26,2,0))</f>
        <v/>
      </c>
      <c r="O172" s="4" t="str">
        <f>IF(M172="","",VLOOKUP(M172,Referentie!$G$2:$I$26,3,0))</f>
        <v/>
      </c>
      <c r="P172" s="4" t="str">
        <f t="shared" si="43"/>
        <v/>
      </c>
      <c r="Q172" s="4" t="str">
        <f t="shared" si="44"/>
        <v/>
      </c>
      <c r="R172" s="4" t="str">
        <f t="shared" si="45"/>
        <v/>
      </c>
      <c r="S172" s="4" t="str">
        <f t="shared" si="46"/>
        <v/>
      </c>
      <c r="T172" s="4" t="str">
        <f t="shared" si="36"/>
        <v/>
      </c>
      <c r="U172" s="4" t="str">
        <f t="shared" si="47"/>
        <v/>
      </c>
      <c r="V172" s="4" t="str">
        <f t="shared" si="37"/>
        <v/>
      </c>
      <c r="W172" s="69" t="str" cm="1">
        <f t="array" ref="W172">IF(A172="","", IF(COUNTIF(Referentie!$L$2:$L$21,A172)&lt;=1, "", IFERROR(INDEX(Referentie!$M$2:$M$21, MATCH(1,(Referentie!$L$2:$L$21=A172)*(Referentie!$N$2:$N$21=S172),0)), IF(S172="Bench","", "Geen match gevonden"))) )</f>
        <v/>
      </c>
    </row>
    <row r="173" spans="1:23" ht="15" customHeight="1">
      <c r="A173" s="2"/>
      <c r="B173" s="2"/>
      <c r="C173" s="2"/>
      <c r="D173" s="4" t="str">
        <f>IF(C173="","",VLOOKUP(C173,Referentie!$A$2:$B$19,2,0))</f>
        <v/>
      </c>
      <c r="E173" s="7"/>
      <c r="F173" s="4"/>
      <c r="G173" s="4"/>
      <c r="H173" s="4"/>
      <c r="I173" s="4"/>
      <c r="J173" s="4"/>
      <c r="K173" s="4"/>
      <c r="L173" s="4"/>
      <c r="M173" s="4"/>
      <c r="N173" s="4" t="str">
        <f>IF(M173="","",VLOOKUP(M173,Referentie!$G$2:$I$26,2,0))</f>
        <v/>
      </c>
      <c r="O173" s="4" t="str">
        <f>IF(M173="","",VLOOKUP(M173,Referentie!$G$2:$I$26,3,0))</f>
        <v/>
      </c>
      <c r="P173" s="4" t="str">
        <f t="shared" si="43"/>
        <v/>
      </c>
      <c r="Q173" s="4" t="str">
        <f t="shared" si="44"/>
        <v/>
      </c>
      <c r="R173" s="4" t="str">
        <f t="shared" si="45"/>
        <v/>
      </c>
      <c r="S173" s="4" t="str">
        <f t="shared" si="46"/>
        <v/>
      </c>
      <c r="T173" s="4" t="str">
        <f t="shared" si="36"/>
        <v/>
      </c>
      <c r="U173" s="4" t="str">
        <f t="shared" si="47"/>
        <v/>
      </c>
      <c r="V173" s="4" t="str">
        <f t="shared" si="37"/>
        <v/>
      </c>
      <c r="W173" s="69" t="str" cm="1">
        <f t="array" ref="W173">IF(A173="","", IF(COUNTIF(Referentie!$L$2:$L$21,A173)&lt;=1, "", IFERROR(INDEX(Referentie!$M$2:$M$21, MATCH(1,(Referentie!$L$2:$L$21=A173)*(Referentie!$N$2:$N$21=S173),0)), IF(S173="Bench","", "Geen match gevonden"))) )</f>
        <v/>
      </c>
    </row>
    <row r="174" spans="1:23" ht="15" customHeight="1">
      <c r="A174" s="2"/>
      <c r="B174" s="2"/>
      <c r="C174" s="2"/>
      <c r="D174" s="4" t="str">
        <f>IF(C174="","",VLOOKUP(C174,Referentie!$A$2:$B$19,2,0))</f>
        <v/>
      </c>
      <c r="E174" s="7"/>
      <c r="F174" s="4"/>
      <c r="G174" s="4"/>
      <c r="H174" s="4"/>
      <c r="I174" s="4"/>
      <c r="J174" s="4"/>
      <c r="K174" s="4"/>
      <c r="L174" s="4"/>
      <c r="M174" s="4"/>
      <c r="N174" s="4" t="str">
        <f>IF(M174="","",VLOOKUP(M174,Referentie!$G$2:$I$26,2,0))</f>
        <v/>
      </c>
      <c r="O174" s="4" t="str">
        <f>IF(M174="","",VLOOKUP(M174,Referentie!$G$2:$I$26,3,0))</f>
        <v/>
      </c>
      <c r="P174" s="4" t="str">
        <f t="shared" si="43"/>
        <v/>
      </c>
      <c r="Q174" s="4" t="str">
        <f t="shared" si="44"/>
        <v/>
      </c>
      <c r="R174" s="4" t="str">
        <f t="shared" si="45"/>
        <v/>
      </c>
      <c r="S174" s="4" t="str">
        <f t="shared" si="46"/>
        <v/>
      </c>
      <c r="T174" s="4" t="str">
        <f t="shared" si="36"/>
        <v/>
      </c>
      <c r="U174" s="4" t="str">
        <f t="shared" si="47"/>
        <v/>
      </c>
      <c r="V174" s="4" t="str">
        <f t="shared" si="37"/>
        <v/>
      </c>
      <c r="W174" s="69" t="str" cm="1">
        <f t="array" ref="W174">IF(A174="","", IF(COUNTIF(Referentie!$L$2:$L$21,A174)&lt;=1, "", IFERROR(INDEX(Referentie!$M$2:$M$21, MATCH(1,(Referentie!$L$2:$L$21=A174)*(Referentie!$N$2:$N$21=S174),0)), IF(S174="Bench","", "Geen match gevonden"))) )</f>
        <v/>
      </c>
    </row>
    <row r="175" spans="1:23" ht="15" customHeight="1">
      <c r="A175" s="2"/>
      <c r="B175" s="2"/>
      <c r="C175" s="2"/>
      <c r="D175" s="4" t="str">
        <f>IF(C175="","",VLOOKUP(C175,Referentie!$A$2:$B$19,2,0))</f>
        <v/>
      </c>
      <c r="E175" s="7"/>
      <c r="F175" s="4"/>
      <c r="G175" s="4"/>
      <c r="H175" s="4"/>
      <c r="I175" s="4"/>
      <c r="J175" s="4"/>
      <c r="K175" s="4"/>
      <c r="L175" s="4"/>
      <c r="M175" s="4"/>
      <c r="N175" s="4" t="str">
        <f>IF(M175="","",VLOOKUP(M175,Referentie!$G$2:$I$26,2,0))</f>
        <v/>
      </c>
      <c r="O175" s="4" t="str">
        <f>IF(M175="","",VLOOKUP(M175,Referentie!$G$2:$I$26,3,0))</f>
        <v/>
      </c>
      <c r="P175" s="4" t="str">
        <f t="shared" si="43"/>
        <v/>
      </c>
      <c r="Q175" s="4" t="str">
        <f t="shared" si="44"/>
        <v/>
      </c>
      <c r="R175" s="4" t="str">
        <f t="shared" si="45"/>
        <v/>
      </c>
      <c r="S175" s="4" t="str">
        <f t="shared" si="46"/>
        <v/>
      </c>
      <c r="T175" s="4" t="str">
        <f t="shared" si="36"/>
        <v/>
      </c>
      <c r="U175" s="4" t="str">
        <f t="shared" si="47"/>
        <v/>
      </c>
      <c r="V175" s="4" t="str">
        <f t="shared" si="37"/>
        <v/>
      </c>
      <c r="W175" s="69" t="str" cm="1">
        <f t="array" ref="W175">IF(A175="","", IF(COUNTIF(Referentie!$L$2:$L$21,A175)&lt;=1, "", IFERROR(INDEX(Referentie!$M$2:$M$21, MATCH(1,(Referentie!$L$2:$L$21=A175)*(Referentie!$N$2:$N$21=S175),0)), IF(S175="Bench","", "Geen match gevonden"))) )</f>
        <v/>
      </c>
    </row>
    <row r="176" spans="1:23" ht="15" customHeight="1">
      <c r="A176" s="2"/>
      <c r="B176" s="2"/>
      <c r="C176" s="2"/>
      <c r="D176" s="4" t="str">
        <f>IF(C176="","",VLOOKUP(C176,Referentie!$A$2:$B$19,2,0))</f>
        <v/>
      </c>
      <c r="E176" s="7"/>
      <c r="F176" s="4"/>
      <c r="G176" s="4"/>
      <c r="H176" s="4"/>
      <c r="I176" s="4"/>
      <c r="J176" s="4"/>
      <c r="K176" s="4"/>
      <c r="L176" s="4"/>
      <c r="M176" s="4"/>
      <c r="N176" s="4" t="str">
        <f>IF(M176="","",VLOOKUP(M176,Referentie!$G$2:$I$26,2,0))</f>
        <v/>
      </c>
      <c r="O176" s="4" t="str">
        <f>IF(M176="","",VLOOKUP(M176,Referentie!$G$2:$I$26,3,0))</f>
        <v/>
      </c>
      <c r="P176" s="4" t="str">
        <f t="shared" si="43"/>
        <v/>
      </c>
      <c r="Q176" s="4" t="str">
        <f t="shared" si="44"/>
        <v/>
      </c>
      <c r="R176" s="4" t="str">
        <f t="shared" si="45"/>
        <v/>
      </c>
      <c r="S176" s="4" t="str">
        <f t="shared" si="46"/>
        <v/>
      </c>
      <c r="T176" s="4" t="str">
        <f t="shared" si="36"/>
        <v/>
      </c>
      <c r="U176" s="4" t="str">
        <f t="shared" si="47"/>
        <v/>
      </c>
      <c r="V176" s="4" t="str">
        <f t="shared" si="37"/>
        <v/>
      </c>
      <c r="W176" s="69" t="str" cm="1">
        <f t="array" ref="W176">IF(A176="","", IF(COUNTIF(Referentie!$L$2:$L$21,A176)&lt;=1, "", IFERROR(INDEX(Referentie!$M$2:$M$21, MATCH(1,(Referentie!$L$2:$L$21=A176)*(Referentie!$N$2:$N$21=S176),0)), IF(S176="Bench","", "Geen match gevonden"))) )</f>
        <v/>
      </c>
    </row>
    <row r="177" spans="1:23" ht="15" customHeight="1">
      <c r="A177" s="2"/>
      <c r="B177" s="2"/>
      <c r="C177" s="2"/>
      <c r="D177" s="4" t="str">
        <f>IF(C177="","",VLOOKUP(C177,Referentie!$A$2:$B$19,2,0))</f>
        <v/>
      </c>
      <c r="E177" s="7"/>
      <c r="F177" s="4"/>
      <c r="G177" s="4"/>
      <c r="H177" s="4"/>
      <c r="I177" s="4"/>
      <c r="J177" s="4"/>
      <c r="K177" s="4"/>
      <c r="L177" s="4"/>
      <c r="M177" s="4"/>
      <c r="N177" s="4" t="str">
        <f>IF(M177="","",VLOOKUP(M177,Referentie!$G$2:$I$26,2,0))</f>
        <v/>
      </c>
      <c r="O177" s="4" t="str">
        <f>IF(M177="","",VLOOKUP(M177,Referentie!$G$2:$I$26,3,0))</f>
        <v/>
      </c>
      <c r="P177" s="4" t="str">
        <f t="shared" si="43"/>
        <v/>
      </c>
      <c r="Q177" s="4" t="str">
        <f t="shared" si="44"/>
        <v/>
      </c>
      <c r="R177" s="4" t="str">
        <f t="shared" si="45"/>
        <v/>
      </c>
      <c r="S177" s="4" t="str">
        <f t="shared" si="46"/>
        <v/>
      </c>
      <c r="T177" s="4" t="str">
        <f t="shared" si="36"/>
        <v/>
      </c>
      <c r="U177" s="4" t="str">
        <f t="shared" si="47"/>
        <v/>
      </c>
      <c r="V177" s="4" t="str">
        <f t="shared" si="37"/>
        <v/>
      </c>
      <c r="W177" s="69" t="str" cm="1">
        <f t="array" ref="W177">IF(A177="","", IF(COUNTIF(Referentie!$L$2:$L$21,A177)&lt;=1, "", IFERROR(INDEX(Referentie!$M$2:$M$21, MATCH(1,(Referentie!$L$2:$L$21=A177)*(Referentie!$N$2:$N$21=S177),0)), IF(S177="Bench","", "Geen match gevonden"))) )</f>
        <v/>
      </c>
    </row>
    <row r="178" spans="1:23" ht="15" customHeight="1">
      <c r="A178" s="2"/>
      <c r="B178" s="2"/>
      <c r="C178" s="2"/>
      <c r="D178" s="4" t="str">
        <f>IF(C178="","",VLOOKUP(C178,Referentie!$A$2:$B$19,2,0))</f>
        <v/>
      </c>
      <c r="E178" s="7"/>
      <c r="F178" s="4"/>
      <c r="G178" s="4"/>
      <c r="H178" s="4"/>
      <c r="I178" s="4"/>
      <c r="J178" s="4"/>
      <c r="K178" s="4"/>
      <c r="L178" s="4"/>
      <c r="M178" s="4"/>
      <c r="N178" s="4" t="str">
        <f>IF(M178="","",VLOOKUP(M178,Referentie!$G$2:$I$26,2,0))</f>
        <v/>
      </c>
      <c r="O178" s="4" t="str">
        <f>IF(M178="","",VLOOKUP(M178,Referentie!$G$2:$I$26,3,0))</f>
        <v/>
      </c>
      <c r="P178" s="4" t="str">
        <f t="shared" si="43"/>
        <v/>
      </c>
      <c r="Q178" s="4" t="str">
        <f t="shared" si="44"/>
        <v/>
      </c>
      <c r="R178" s="4" t="str">
        <f t="shared" si="45"/>
        <v/>
      </c>
      <c r="S178" s="4" t="str">
        <f t="shared" si="46"/>
        <v/>
      </c>
      <c r="T178" s="4" t="str">
        <f t="shared" si="36"/>
        <v/>
      </c>
      <c r="U178" s="4" t="str">
        <f t="shared" si="47"/>
        <v/>
      </c>
      <c r="V178" s="4" t="str">
        <f t="shared" si="37"/>
        <v/>
      </c>
      <c r="W178" s="69" t="str" cm="1">
        <f t="array" ref="W178">IF(A178="","", IF(COUNTIF(Referentie!$L$2:$L$21,A178)&lt;=1, "", IFERROR(INDEX(Referentie!$M$2:$M$21, MATCH(1,(Referentie!$L$2:$L$21=A178)*(Referentie!$N$2:$N$21=S178),0)), IF(S178="Bench","", "Geen match gevonden"))) )</f>
        <v/>
      </c>
    </row>
    <row r="179" spans="1:23" ht="15" customHeight="1">
      <c r="A179" s="2"/>
      <c r="B179" s="2"/>
      <c r="C179" s="2"/>
      <c r="D179" s="4" t="str">
        <f>IF(C179="","",VLOOKUP(C179,Referentie!$A$2:$B$19,2,0))</f>
        <v/>
      </c>
      <c r="E179" s="7"/>
      <c r="F179" s="4"/>
      <c r="G179" s="4"/>
      <c r="H179" s="4"/>
      <c r="I179" s="4"/>
      <c r="J179" s="4"/>
      <c r="K179" s="4"/>
      <c r="L179" s="4"/>
      <c r="M179" s="4"/>
      <c r="N179" s="4" t="str">
        <f>IF(M179="","",VLOOKUP(M179,Referentie!$G$2:$I$26,2,0))</f>
        <v/>
      </c>
      <c r="O179" s="4" t="str">
        <f>IF(M179="","",VLOOKUP(M179,Referentie!$G$2:$I$26,3,0))</f>
        <v/>
      </c>
      <c r="P179" s="4" t="str">
        <f t="shared" si="43"/>
        <v/>
      </c>
      <c r="Q179" s="4" t="str">
        <f t="shared" si="44"/>
        <v/>
      </c>
      <c r="R179" s="4" t="str">
        <f t="shared" si="45"/>
        <v/>
      </c>
      <c r="S179" s="4" t="str">
        <f t="shared" si="46"/>
        <v/>
      </c>
      <c r="T179" s="4" t="str">
        <f t="shared" si="36"/>
        <v/>
      </c>
      <c r="U179" s="4" t="str">
        <f t="shared" si="47"/>
        <v/>
      </c>
      <c r="V179" s="4" t="str">
        <f t="shared" si="37"/>
        <v/>
      </c>
      <c r="W179" s="69" t="str" cm="1">
        <f t="array" ref="W179">IF(A179="","", IF(COUNTIF(Referentie!$L$2:$L$21,A179)&lt;=1, "", IFERROR(INDEX(Referentie!$M$2:$M$21, MATCH(1,(Referentie!$L$2:$L$21=A179)*(Referentie!$N$2:$N$21=S179),0)), IF(S179="Bench","", "Geen match gevonden"))) )</f>
        <v/>
      </c>
    </row>
    <row r="180" spans="1:23" ht="15" customHeight="1">
      <c r="A180" s="2"/>
      <c r="B180" s="2"/>
      <c r="C180" s="2"/>
      <c r="D180" s="4" t="str">
        <f>IF(C180="","",VLOOKUP(C180,Referentie!$A$2:$B$19,2,0))</f>
        <v/>
      </c>
      <c r="E180" s="7"/>
      <c r="F180" s="4"/>
      <c r="G180" s="4"/>
      <c r="H180" s="4"/>
      <c r="I180" s="4"/>
      <c r="J180" s="4"/>
      <c r="K180" s="4"/>
      <c r="L180" s="4"/>
      <c r="M180" s="4"/>
      <c r="N180" s="4" t="str">
        <f>IF(M180="","",VLOOKUP(M180,Referentie!$G$2:$I$26,2,0))</f>
        <v/>
      </c>
      <c r="O180" s="4" t="str">
        <f>IF(M180="","",VLOOKUP(M180,Referentie!$G$2:$I$26,3,0))</f>
        <v/>
      </c>
      <c r="P180" s="4" t="str">
        <f t="shared" si="43"/>
        <v/>
      </c>
      <c r="Q180" s="4" t="str">
        <f t="shared" si="44"/>
        <v/>
      </c>
      <c r="R180" s="4" t="str">
        <f t="shared" si="45"/>
        <v/>
      </c>
      <c r="S180" s="4" t="str">
        <f t="shared" si="46"/>
        <v/>
      </c>
      <c r="T180" s="4" t="str">
        <f t="shared" si="36"/>
        <v/>
      </c>
      <c r="U180" s="4" t="str">
        <f t="shared" si="47"/>
        <v/>
      </c>
      <c r="V180" s="4" t="str">
        <f t="shared" si="37"/>
        <v/>
      </c>
      <c r="W180" s="69" t="str" cm="1">
        <f t="array" ref="W180">IF(A180="","", IF(COUNTIF(Referentie!$L$2:$L$21,A180)&lt;=1, "", IFERROR(INDEX(Referentie!$M$2:$M$21, MATCH(1,(Referentie!$L$2:$L$21=A180)*(Referentie!$N$2:$N$21=S180),0)), IF(S180="Bench","", "Geen match gevonden"))) )</f>
        <v/>
      </c>
    </row>
    <row r="181" spans="1:23" ht="15" customHeight="1">
      <c r="A181" s="2"/>
      <c r="B181" s="2"/>
      <c r="C181" s="2"/>
      <c r="D181" s="4" t="str">
        <f>IF(C181="","",VLOOKUP(C181,Referentie!$A$2:$B$19,2,0))</f>
        <v/>
      </c>
      <c r="E181" s="7"/>
      <c r="F181" s="4"/>
      <c r="G181" s="4"/>
      <c r="H181" s="4"/>
      <c r="I181" s="4"/>
      <c r="J181" s="4"/>
      <c r="K181" s="4"/>
      <c r="L181" s="4"/>
      <c r="M181" s="4"/>
      <c r="N181" s="4" t="str">
        <f>IF(M181="","",VLOOKUP(M181,Referentie!$G$2:$I$26,2,0))</f>
        <v/>
      </c>
      <c r="O181" s="4" t="str">
        <f>IF(M181="","",VLOOKUP(M181,Referentie!$G$2:$I$26,3,0))</f>
        <v/>
      </c>
      <c r="P181" s="4" t="str">
        <f t="shared" si="43"/>
        <v/>
      </c>
      <c r="Q181" s="4" t="str">
        <f t="shared" si="44"/>
        <v/>
      </c>
      <c r="R181" s="4" t="str">
        <f t="shared" si="45"/>
        <v/>
      </c>
      <c r="S181" s="4" t="str">
        <f t="shared" si="46"/>
        <v/>
      </c>
      <c r="T181" s="4" t="str">
        <f t="shared" si="36"/>
        <v/>
      </c>
      <c r="U181" s="4" t="str">
        <f t="shared" si="47"/>
        <v/>
      </c>
      <c r="V181" s="4" t="str">
        <f t="shared" si="37"/>
        <v/>
      </c>
      <c r="W181" s="69" t="str" cm="1">
        <f t="array" ref="W181">IF(A181="","", IF(COUNTIF(Referentie!$L$2:$L$21,A181)&lt;=1, "", IFERROR(INDEX(Referentie!$M$2:$M$21, MATCH(1,(Referentie!$L$2:$L$21=A181)*(Referentie!$N$2:$N$21=S181),0)), IF(S181="Bench","", "Geen match gevonden"))) )</f>
        <v/>
      </c>
    </row>
    <row r="182" spans="1:23" ht="15" customHeight="1">
      <c r="A182" s="2"/>
      <c r="B182" s="2"/>
      <c r="C182" s="2"/>
      <c r="D182" s="4" t="str">
        <f>IF(C182="","",VLOOKUP(C182,Referentie!$A$2:$B$19,2,0))</f>
        <v/>
      </c>
      <c r="E182" s="7"/>
      <c r="F182" s="4"/>
      <c r="G182" s="4"/>
      <c r="H182" s="4"/>
      <c r="I182" s="4"/>
      <c r="J182" s="4"/>
      <c r="K182" s="4"/>
      <c r="L182" s="4"/>
      <c r="M182" s="4"/>
      <c r="N182" s="4" t="str">
        <f>IF(M182="","",VLOOKUP(M182,Referentie!$G$2:$I$26,2,0))</f>
        <v/>
      </c>
      <c r="O182" s="4" t="str">
        <f>IF(M182="","",VLOOKUP(M182,Referentie!$G$2:$I$26,3,0))</f>
        <v/>
      </c>
      <c r="P182" s="4" t="str">
        <f t="shared" si="43"/>
        <v/>
      </c>
      <c r="Q182" s="4" t="str">
        <f t="shared" si="44"/>
        <v/>
      </c>
      <c r="R182" s="4" t="str">
        <f t="shared" si="45"/>
        <v/>
      </c>
      <c r="S182" s="4" t="str">
        <f t="shared" si="46"/>
        <v/>
      </c>
      <c r="T182" s="4" t="str">
        <f t="shared" si="36"/>
        <v/>
      </c>
      <c r="U182" s="4" t="str">
        <f t="shared" si="47"/>
        <v/>
      </c>
      <c r="V182" s="4" t="str">
        <f t="shared" si="37"/>
        <v/>
      </c>
      <c r="W182" s="69" t="str" cm="1">
        <f t="array" ref="W182">IF(A182="","", IF(COUNTIF(Referentie!$L$2:$L$21,A182)&lt;=1, "", IFERROR(INDEX(Referentie!$M$2:$M$21, MATCH(1,(Referentie!$L$2:$L$21=A182)*(Referentie!$N$2:$N$21=S182),0)), IF(S182="Bench","", "Geen match gevonden"))) )</f>
        <v/>
      </c>
    </row>
    <row r="183" spans="1:23" ht="15" customHeight="1">
      <c r="A183" s="2"/>
      <c r="B183" s="2"/>
      <c r="C183" s="2"/>
      <c r="D183" s="4" t="str">
        <f>IF(C183="","",VLOOKUP(C183,Referentie!$A$2:$B$19,2,0))</f>
        <v/>
      </c>
      <c r="E183" s="7"/>
      <c r="F183" s="4"/>
      <c r="G183" s="4"/>
      <c r="H183" s="4"/>
      <c r="I183" s="4"/>
      <c r="J183" s="4"/>
      <c r="K183" s="4"/>
      <c r="L183" s="4"/>
      <c r="M183" s="4"/>
      <c r="N183" s="4" t="str">
        <f>IF(M183="","",VLOOKUP(M183,Referentie!$G$2:$I$26,2,0))</f>
        <v/>
      </c>
      <c r="O183" s="4" t="str">
        <f>IF(M183="","",VLOOKUP(M183,Referentie!$G$2:$I$26,3,0))</f>
        <v/>
      </c>
      <c r="P183" s="4" t="str">
        <f t="shared" si="43"/>
        <v/>
      </c>
      <c r="Q183" s="4" t="str">
        <f t="shared" si="44"/>
        <v/>
      </c>
      <c r="R183" s="4" t="str">
        <f t="shared" si="45"/>
        <v/>
      </c>
      <c r="S183" s="4" t="str">
        <f t="shared" si="46"/>
        <v/>
      </c>
      <c r="T183" s="4" t="str">
        <f t="shared" si="36"/>
        <v/>
      </c>
      <c r="U183" s="4" t="str">
        <f t="shared" si="47"/>
        <v/>
      </c>
      <c r="V183" s="4" t="str">
        <f t="shared" si="37"/>
        <v/>
      </c>
      <c r="W183" s="69" t="str" cm="1">
        <f t="array" ref="W183">IF(A183="","", IF(COUNTIF(Referentie!$L$2:$L$21,A183)&lt;=1, "", IFERROR(INDEX(Referentie!$M$2:$M$21, MATCH(1,(Referentie!$L$2:$L$21=A183)*(Referentie!$N$2:$N$21=S183),0)), IF(S183="Bench","", "Geen match gevonden"))) )</f>
        <v/>
      </c>
    </row>
    <row r="184" spans="1:23" ht="15" customHeight="1">
      <c r="A184" s="2"/>
      <c r="B184" s="2"/>
      <c r="C184" s="2"/>
      <c r="D184" s="4" t="str">
        <f>IF(C184="","",VLOOKUP(C184,Referentie!$A$2:$B$19,2,0))</f>
        <v/>
      </c>
      <c r="E184" s="7"/>
      <c r="F184" s="4"/>
      <c r="G184" s="4"/>
      <c r="H184" s="4"/>
      <c r="I184" s="4"/>
      <c r="J184" s="4"/>
      <c r="K184" s="4"/>
      <c r="L184" s="4"/>
      <c r="M184" s="4"/>
      <c r="N184" s="4" t="str">
        <f>IF(M184="","",VLOOKUP(M184,Referentie!$G$2:$I$26,2,0))</f>
        <v/>
      </c>
      <c r="O184" s="4" t="str">
        <f>IF(M184="","",VLOOKUP(M184,Referentie!$G$2:$I$26,3,0))</f>
        <v/>
      </c>
      <c r="P184" s="4" t="str">
        <f t="shared" si="43"/>
        <v/>
      </c>
      <c r="Q184" s="4" t="str">
        <f t="shared" si="44"/>
        <v/>
      </c>
      <c r="R184" s="4" t="str">
        <f t="shared" si="45"/>
        <v/>
      </c>
      <c r="S184" s="4" t="str">
        <f t="shared" si="46"/>
        <v/>
      </c>
      <c r="T184" s="4" t="str">
        <f t="shared" si="36"/>
        <v/>
      </c>
      <c r="U184" s="4" t="str">
        <f t="shared" si="47"/>
        <v/>
      </c>
      <c r="V184" s="4" t="str">
        <f t="shared" si="37"/>
        <v/>
      </c>
      <c r="W184" s="69" t="str" cm="1">
        <f t="array" ref="W184">IF(A184="","", IF(COUNTIF(Referentie!$L$2:$L$21,A184)&lt;=1, "", IFERROR(INDEX(Referentie!$M$2:$M$21, MATCH(1,(Referentie!$L$2:$L$21=A184)*(Referentie!$N$2:$N$21=S184),0)), IF(S184="Bench","", "Geen match gevonden"))) )</f>
        <v/>
      </c>
    </row>
    <row r="185" spans="1:23" ht="15" customHeight="1">
      <c r="A185" s="2"/>
      <c r="B185" s="2"/>
      <c r="C185" s="2"/>
      <c r="D185" s="4" t="str">
        <f>IF(C185="","",VLOOKUP(C185,Referentie!$A$2:$B$19,2,0))</f>
        <v/>
      </c>
      <c r="E185" s="7"/>
      <c r="F185" s="4"/>
      <c r="G185" s="4"/>
      <c r="H185" s="4"/>
      <c r="I185" s="4"/>
      <c r="J185" s="4"/>
      <c r="K185" s="4"/>
      <c r="L185" s="4"/>
      <c r="M185" s="4"/>
      <c r="N185" s="4" t="str">
        <f>IF(M185="","",VLOOKUP(M185,Referentie!$G$2:$I$26,2,0))</f>
        <v/>
      </c>
      <c r="O185" s="4" t="str">
        <f>IF(M185="","",VLOOKUP(M185,Referentie!$G$2:$I$26,3,0))</f>
        <v/>
      </c>
      <c r="P185" s="4" t="str">
        <f t="shared" si="43"/>
        <v/>
      </c>
      <c r="Q185" s="4" t="str">
        <f t="shared" si="44"/>
        <v/>
      </c>
      <c r="R185" s="4" t="str">
        <f t="shared" si="45"/>
        <v/>
      </c>
      <c r="S185" s="4" t="str">
        <f t="shared" si="46"/>
        <v/>
      </c>
      <c r="T185" s="4" t="str">
        <f t="shared" si="36"/>
        <v/>
      </c>
      <c r="U185" s="4" t="str">
        <f t="shared" si="47"/>
        <v/>
      </c>
      <c r="V185" s="4" t="str">
        <f t="shared" si="37"/>
        <v/>
      </c>
      <c r="W185" s="69" t="str" cm="1">
        <f t="array" ref="W185">IF(A185="","", IF(COUNTIF(Referentie!$L$2:$L$21,A185)&lt;=1, "", IFERROR(INDEX(Referentie!$M$2:$M$21, MATCH(1,(Referentie!$L$2:$L$21=A185)*(Referentie!$N$2:$N$21=S185),0)), IF(S185="Bench","", "Geen match gevonden"))) )</f>
        <v/>
      </c>
    </row>
    <row r="186" spans="1:23" ht="15" customHeight="1">
      <c r="A186" s="2"/>
      <c r="B186" s="2"/>
      <c r="C186" s="2"/>
      <c r="D186" s="4" t="str">
        <f>IF(C186="","",VLOOKUP(C186,Referentie!$A$2:$B$19,2,0))</f>
        <v/>
      </c>
      <c r="E186" s="7"/>
      <c r="F186" s="4"/>
      <c r="G186" s="4"/>
      <c r="H186" s="4"/>
      <c r="I186" s="4"/>
      <c r="J186" s="4"/>
      <c r="K186" s="4"/>
      <c r="L186" s="4"/>
      <c r="M186" s="4"/>
      <c r="N186" s="4" t="str">
        <f>IF(M186="","",VLOOKUP(M186,Referentie!$G$2:$I$26,2,0))</f>
        <v/>
      </c>
      <c r="O186" s="4" t="str">
        <f>IF(M186="","",VLOOKUP(M186,Referentie!$G$2:$I$26,3,0))</f>
        <v/>
      </c>
      <c r="P186" s="4" t="str">
        <f t="shared" si="43"/>
        <v/>
      </c>
      <c r="Q186" s="4" t="str">
        <f t="shared" si="44"/>
        <v/>
      </c>
      <c r="R186" s="4" t="str">
        <f t="shared" si="45"/>
        <v/>
      </c>
      <c r="S186" s="4" t="str">
        <f t="shared" si="46"/>
        <v/>
      </c>
      <c r="T186" s="4" t="str">
        <f t="shared" si="36"/>
        <v/>
      </c>
      <c r="U186" s="4" t="str">
        <f t="shared" si="47"/>
        <v/>
      </c>
      <c r="V186" s="4" t="str">
        <f t="shared" si="37"/>
        <v/>
      </c>
      <c r="W186" s="69" t="str" cm="1">
        <f t="array" ref="W186">IF(A186="","", IF(COUNTIF(Referentie!$L$2:$L$21,A186)&lt;=1, "", IFERROR(INDEX(Referentie!$M$2:$M$21, MATCH(1,(Referentie!$L$2:$L$21=A186)*(Referentie!$N$2:$N$21=S186),0)), IF(S186="Bench","", "Geen match gevonden"))) )</f>
        <v/>
      </c>
    </row>
    <row r="187" spans="1:23" ht="15" customHeight="1">
      <c r="A187" s="2"/>
      <c r="B187" s="2"/>
      <c r="C187" s="2"/>
      <c r="D187" s="4" t="str">
        <f>IF(C187="","",VLOOKUP(C187,Referentie!$A$2:$B$19,2,0))</f>
        <v/>
      </c>
      <c r="E187" s="7"/>
      <c r="F187" s="4"/>
      <c r="G187" s="4"/>
      <c r="H187" s="4"/>
      <c r="I187" s="4"/>
      <c r="J187" s="4"/>
      <c r="K187" s="4"/>
      <c r="L187" s="4"/>
      <c r="M187" s="4"/>
      <c r="N187" s="4" t="str">
        <f>IF(M187="","",VLOOKUP(M187,Referentie!$G$2:$I$26,2,0))</f>
        <v/>
      </c>
      <c r="O187" s="4" t="str">
        <f>IF(M187="","",VLOOKUP(M187,Referentie!$G$2:$I$26,3,0))</f>
        <v/>
      </c>
      <c r="P187" s="4" t="str">
        <f t="shared" si="43"/>
        <v/>
      </c>
      <c r="Q187" s="4" t="str">
        <f t="shared" si="44"/>
        <v/>
      </c>
      <c r="R187" s="4" t="str">
        <f t="shared" si="45"/>
        <v/>
      </c>
      <c r="S187" s="4" t="str">
        <f t="shared" si="46"/>
        <v/>
      </c>
      <c r="T187" s="4" t="str">
        <f t="shared" si="36"/>
        <v/>
      </c>
      <c r="U187" s="4" t="str">
        <f t="shared" si="47"/>
        <v/>
      </c>
      <c r="V187" s="4" t="str">
        <f t="shared" si="37"/>
        <v/>
      </c>
      <c r="W187" s="69" t="str" cm="1">
        <f t="array" ref="W187">IF(A187="","", IF(COUNTIF(Referentie!$L$2:$L$21,A187)&lt;=1, "", IFERROR(INDEX(Referentie!$M$2:$M$21, MATCH(1,(Referentie!$L$2:$L$21=A187)*(Referentie!$N$2:$N$21=S187),0)), IF(S187="Bench","", "Geen match gevonden"))) )</f>
        <v/>
      </c>
    </row>
    <row r="188" spans="1:23" ht="15" customHeight="1">
      <c r="A188" s="2"/>
      <c r="B188" s="2"/>
      <c r="C188" s="2"/>
      <c r="D188" s="4" t="str">
        <f>IF(C188="","",VLOOKUP(C188,Referentie!$A$2:$B$19,2,0))</f>
        <v/>
      </c>
      <c r="E188" s="7"/>
      <c r="F188" s="4"/>
      <c r="G188" s="4"/>
      <c r="H188" s="4"/>
      <c r="I188" s="4"/>
      <c r="J188" s="4"/>
      <c r="K188" s="4"/>
      <c r="L188" s="4"/>
      <c r="M188" s="4"/>
      <c r="N188" s="4" t="str">
        <f>IF(M188="","",VLOOKUP(M188,Referentie!$G$2:$I$26,2,0))</f>
        <v/>
      </c>
      <c r="O188" s="4" t="str">
        <f>IF(M188="","",VLOOKUP(M188,Referentie!$G$2:$I$26,3,0))</f>
        <v/>
      </c>
      <c r="P188" s="4" t="str">
        <f t="shared" si="43"/>
        <v/>
      </c>
      <c r="Q188" s="4" t="str">
        <f t="shared" si="44"/>
        <v/>
      </c>
      <c r="R188" s="4" t="str">
        <f t="shared" si="45"/>
        <v/>
      </c>
      <c r="S188" s="4" t="str">
        <f t="shared" si="46"/>
        <v/>
      </c>
      <c r="T188" s="4" t="str">
        <f t="shared" si="36"/>
        <v/>
      </c>
      <c r="U188" s="4" t="str">
        <f t="shared" si="47"/>
        <v/>
      </c>
      <c r="V188" s="4" t="str">
        <f t="shared" si="37"/>
        <v/>
      </c>
      <c r="W188" s="69" t="str" cm="1">
        <f t="array" ref="W188">IF(A188="","", IF(COUNTIF(Referentie!$L$2:$L$21,A188)&lt;=1, "", IFERROR(INDEX(Referentie!$M$2:$M$21, MATCH(1,(Referentie!$L$2:$L$21=A188)*(Referentie!$N$2:$N$21=S188),0)), IF(S188="Bench","", "Geen match gevonden"))) )</f>
        <v/>
      </c>
    </row>
    <row r="189" spans="1:23" ht="15" customHeight="1">
      <c r="A189" s="2"/>
      <c r="B189" s="2"/>
      <c r="C189" s="2"/>
      <c r="D189" s="4" t="str">
        <f>IF(C189="","",VLOOKUP(C189,Referentie!$A$2:$B$19,2,0))</f>
        <v/>
      </c>
      <c r="E189" s="7"/>
      <c r="F189" s="4"/>
      <c r="G189" s="4"/>
      <c r="H189" s="4"/>
      <c r="I189" s="4"/>
      <c r="J189" s="4"/>
      <c r="K189" s="4"/>
      <c r="L189" s="4"/>
      <c r="M189" s="4"/>
      <c r="N189" s="4" t="str">
        <f>IF(M189="","",VLOOKUP(M189,Referentie!$G$2:$I$26,2,0))</f>
        <v/>
      </c>
      <c r="O189" s="4" t="str">
        <f>IF(M189="","",VLOOKUP(M189,Referentie!$G$2:$I$26,3,0))</f>
        <v/>
      </c>
      <c r="P189" s="4" t="str">
        <f t="shared" si="43"/>
        <v/>
      </c>
      <c r="Q189" s="4" t="str">
        <f t="shared" si="44"/>
        <v/>
      </c>
      <c r="R189" s="4" t="str">
        <f t="shared" si="45"/>
        <v/>
      </c>
      <c r="S189" s="4" t="str">
        <f t="shared" si="46"/>
        <v/>
      </c>
      <c r="T189" s="4" t="str">
        <f t="shared" si="36"/>
        <v/>
      </c>
      <c r="U189" s="4" t="str">
        <f t="shared" si="47"/>
        <v/>
      </c>
      <c r="V189" s="4" t="str">
        <f t="shared" si="37"/>
        <v/>
      </c>
      <c r="W189" s="69" t="str" cm="1">
        <f t="array" ref="W189">IF(A189="","", IF(COUNTIF(Referentie!$L$2:$L$21,A189)&lt;=1, "", IFERROR(INDEX(Referentie!$M$2:$M$21, MATCH(1,(Referentie!$L$2:$L$21=A189)*(Referentie!$N$2:$N$21=S189),0)), IF(S189="Bench","", "Geen match gevonden"))) )</f>
        <v/>
      </c>
    </row>
    <row r="190" spans="1:23" ht="15" customHeight="1">
      <c r="A190" s="2"/>
      <c r="B190" s="2"/>
      <c r="C190" s="2"/>
      <c r="D190" s="4" t="str">
        <f>IF(C190="","",VLOOKUP(C190,Referentie!$A$2:$B$19,2,0))</f>
        <v/>
      </c>
      <c r="E190" s="7"/>
      <c r="F190" s="4"/>
      <c r="G190" s="4"/>
      <c r="H190" s="4"/>
      <c r="I190" s="4"/>
      <c r="J190" s="4"/>
      <c r="K190" s="4"/>
      <c r="L190" s="4"/>
      <c r="M190" s="4"/>
      <c r="N190" s="4" t="str">
        <f>IF(M190="","",VLOOKUP(M190,Referentie!$G$2:$I$26,2,0))</f>
        <v/>
      </c>
      <c r="O190" s="4" t="str">
        <f>IF(M190="","",VLOOKUP(M190,Referentie!$G$2:$I$26,3,0))</f>
        <v/>
      </c>
      <c r="P190" s="4" t="str">
        <f t="shared" si="43"/>
        <v/>
      </c>
      <c r="Q190" s="4" t="str">
        <f t="shared" si="44"/>
        <v/>
      </c>
      <c r="R190" s="4" t="str">
        <f t="shared" si="45"/>
        <v/>
      </c>
      <c r="S190" s="4" t="str">
        <f t="shared" si="46"/>
        <v/>
      </c>
      <c r="T190" s="4" t="str">
        <f t="shared" si="36"/>
        <v/>
      </c>
      <c r="U190" s="4" t="str">
        <f t="shared" si="47"/>
        <v/>
      </c>
      <c r="V190" s="4" t="str">
        <f t="shared" si="37"/>
        <v/>
      </c>
      <c r="W190" s="69" t="str" cm="1">
        <f t="array" ref="W190">IF(A190="","", IF(COUNTIF(Referentie!$L$2:$L$21,A190)&lt;=1, "", IFERROR(INDEX(Referentie!$M$2:$M$21, MATCH(1,(Referentie!$L$2:$L$21=A190)*(Referentie!$N$2:$N$21=S190),0)), IF(S190="Bench","", "Geen match gevonden"))) )</f>
        <v/>
      </c>
    </row>
    <row r="191" spans="1:23" ht="15" customHeight="1">
      <c r="A191" s="2"/>
      <c r="B191" s="2"/>
      <c r="C191" s="2"/>
      <c r="D191" s="4" t="str">
        <f>IF(C191="","",VLOOKUP(C191,Referentie!$A$2:$B$19,2,0))</f>
        <v/>
      </c>
      <c r="E191" s="7"/>
      <c r="F191" s="4"/>
      <c r="G191" s="4"/>
      <c r="H191" s="4"/>
      <c r="I191" s="4"/>
      <c r="J191" s="4"/>
      <c r="K191" s="4"/>
      <c r="L191" s="4"/>
      <c r="M191" s="4"/>
      <c r="N191" s="4" t="str">
        <f>IF(M191="","",VLOOKUP(M191,Referentie!$G$2:$I$26,2,0))</f>
        <v/>
      </c>
      <c r="O191" s="4" t="str">
        <f>IF(M191="","",VLOOKUP(M191,Referentie!$G$2:$I$26,3,0))</f>
        <v/>
      </c>
      <c r="P191" s="4" t="str">
        <f t="shared" si="43"/>
        <v/>
      </c>
      <c r="Q191" s="4" t="str">
        <f t="shared" si="44"/>
        <v/>
      </c>
      <c r="R191" s="4" t="str">
        <f t="shared" si="45"/>
        <v/>
      </c>
      <c r="S191" s="4" t="str">
        <f t="shared" si="46"/>
        <v/>
      </c>
      <c r="T191" s="4" t="str">
        <f t="shared" si="36"/>
        <v/>
      </c>
      <c r="U191" s="4" t="str">
        <f t="shared" si="47"/>
        <v/>
      </c>
      <c r="V191" s="4" t="str">
        <f t="shared" si="37"/>
        <v/>
      </c>
      <c r="W191" s="69" t="str" cm="1">
        <f t="array" ref="W191">IF(A191="","", IF(COUNTIF(Referentie!$L$2:$L$21,A191)&lt;=1, "", IFERROR(INDEX(Referentie!$M$2:$M$21, MATCH(1,(Referentie!$L$2:$L$21=A191)*(Referentie!$N$2:$N$21=S191),0)), IF(S191="Bench","", "Geen match gevonden"))) )</f>
        <v/>
      </c>
    </row>
    <row r="192" spans="1:23" ht="15" customHeight="1">
      <c r="A192" s="2"/>
      <c r="B192" s="2"/>
      <c r="C192" s="2"/>
      <c r="D192" s="4" t="str">
        <f>IF(C192="","",VLOOKUP(C192,Referentie!$A$2:$B$19,2,0))</f>
        <v/>
      </c>
      <c r="E192" s="7"/>
      <c r="F192" s="4"/>
      <c r="G192" s="4"/>
      <c r="H192" s="4"/>
      <c r="I192" s="4"/>
      <c r="J192" s="4"/>
      <c r="K192" s="4"/>
      <c r="L192" s="4"/>
      <c r="M192" s="4"/>
      <c r="N192" s="4" t="str">
        <f>IF(M192="","",VLOOKUP(M192,Referentie!$G$2:$I$26,2,0))</f>
        <v/>
      </c>
      <c r="O192" s="4" t="str">
        <f>IF(M192="","",VLOOKUP(M192,Referentie!$G$2:$I$26,3,0))</f>
        <v/>
      </c>
      <c r="P192" s="4" t="str">
        <f t="shared" si="43"/>
        <v/>
      </c>
      <c r="Q192" s="4" t="str">
        <f t="shared" si="44"/>
        <v/>
      </c>
      <c r="R192" s="4" t="str">
        <f t="shared" si="45"/>
        <v/>
      </c>
      <c r="S192" s="4" t="str">
        <f t="shared" si="46"/>
        <v/>
      </c>
      <c r="T192" s="4" t="str">
        <f t="shared" si="36"/>
        <v/>
      </c>
      <c r="U192" s="4" t="str">
        <f t="shared" si="47"/>
        <v/>
      </c>
      <c r="V192" s="4" t="str">
        <f t="shared" si="37"/>
        <v/>
      </c>
      <c r="W192" s="69" t="str" cm="1">
        <f t="array" ref="W192">IF(A192="","", IF(COUNTIF(Referentie!$L$2:$L$21,A192)&lt;=1, "", IFERROR(INDEX(Referentie!$M$2:$M$21, MATCH(1,(Referentie!$L$2:$L$21=A192)*(Referentie!$N$2:$N$21=S192),0)), IF(S192="Bench","", "Geen match gevonden"))) )</f>
        <v/>
      </c>
    </row>
    <row r="193" spans="1:23" ht="15" customHeight="1">
      <c r="A193" s="2"/>
      <c r="B193" s="2"/>
      <c r="C193" s="2"/>
      <c r="D193" s="4" t="str">
        <f>IF(C193="","",VLOOKUP(C193,Referentie!$A$2:$B$19,2,0))</f>
        <v/>
      </c>
      <c r="E193" s="7"/>
      <c r="F193" s="4"/>
      <c r="G193" s="4"/>
      <c r="H193" s="4"/>
      <c r="I193" s="4"/>
      <c r="J193" s="4"/>
      <c r="K193" s="4"/>
      <c r="L193" s="4"/>
      <c r="M193" s="4"/>
      <c r="N193" s="4" t="str">
        <f>IF(M193="","",VLOOKUP(M193,Referentie!$G$2:$I$26,2,0))</f>
        <v/>
      </c>
      <c r="O193" s="4" t="str">
        <f>IF(M193="","",VLOOKUP(M193,Referentie!$G$2:$I$26,3,0))</f>
        <v/>
      </c>
      <c r="P193" s="4" t="str">
        <f t="shared" si="43"/>
        <v/>
      </c>
      <c r="Q193" s="4" t="str">
        <f t="shared" si="44"/>
        <v/>
      </c>
      <c r="R193" s="4" t="str">
        <f t="shared" si="45"/>
        <v/>
      </c>
      <c r="S193" s="4" t="str">
        <f t="shared" si="46"/>
        <v/>
      </c>
      <c r="T193" s="4" t="str">
        <f t="shared" si="36"/>
        <v/>
      </c>
      <c r="U193" s="4" t="str">
        <f t="shared" si="47"/>
        <v/>
      </c>
      <c r="V193" s="4" t="str">
        <f t="shared" si="37"/>
        <v/>
      </c>
      <c r="W193" s="69" t="str" cm="1">
        <f t="array" ref="W193">IF(A193="","", IF(COUNTIF(Referentie!$L$2:$L$21,A193)&lt;=1, "", IFERROR(INDEX(Referentie!$M$2:$M$21, MATCH(1,(Referentie!$L$2:$L$21=A193)*(Referentie!$N$2:$N$21=S193),0)), IF(S193="Bench","", "Geen match gevonden"))) )</f>
        <v/>
      </c>
    </row>
    <row r="194" spans="1:23" ht="15" customHeight="1">
      <c r="A194" s="2"/>
      <c r="B194" s="2"/>
      <c r="C194" s="2"/>
      <c r="D194" s="4" t="str">
        <f>IF(C194="","",VLOOKUP(C194,Referentie!$A$2:$B$19,2,0))</f>
        <v/>
      </c>
      <c r="E194" s="7"/>
      <c r="F194" s="4"/>
      <c r="G194" s="4"/>
      <c r="H194" s="4"/>
      <c r="I194" s="4"/>
      <c r="J194" s="4"/>
      <c r="K194" s="4"/>
      <c r="L194" s="4"/>
      <c r="M194" s="4"/>
      <c r="N194" s="4" t="str">
        <f>IF(M194="","",VLOOKUP(M194,Referentie!$G$2:$I$26,2,0))</f>
        <v/>
      </c>
      <c r="O194" s="4" t="str">
        <f>IF(M194="","",VLOOKUP(M194,Referentie!$G$2:$I$26,3,0))</f>
        <v/>
      </c>
      <c r="P194" s="4" t="str">
        <f>IF(A194="","",  (IF(N194="Speed of Help",2,0)) + (IF(O194="Speed of Help",-2,0)) + (IF(N194="EXP Gains",1,0)) + (IF(O194="EXP Gains",-1,0)) +  (COUNTIF(H194:L194,"Helping Speed S")*1) + (COUNTIF(H194:L194,"Helping Speed M")*2) + (COUNTIF(H194:L194,"Berry Finding S")*2) + (COUNTIF(H194:L194,"Helping Bonus")*1) +  (IF(O194="Ingredient Finding",0,0)) + (IF(O194="Main Skill Chance",0,0))  )</f>
        <v/>
      </c>
      <c r="Q194" s="4" t="str">
        <f>IF(A194="","",  (IF(N194="Ingredient Finding",2,0)) + (IF(O194="Ingredient Finding",-2,0)) + (IF(N194="EXP Gains",1,0)) + (IF(O194="EXP Gains",-1,0)) +  (COUNTIF(H194:L194,"Ingredient Finder S")*1) + (COUNTIF(H194:L194,"Ingredient Finder M")*2) + (COUNTIF(H194:L194,"Inventory Up S")*0.5) + (COUNTIF(H194:L194,"Inventory Up M")*1) + (COUNTIF(H194:L194,"Inventory Up L")*1.5) +  (IF(E194=F194,1,0)) + (IF(F194=G194,1,0))  )</f>
        <v/>
      </c>
      <c r="R194" s="4" t="str">
        <f>IF(A194="","",  (IF(N194="Main Skill Chance",2,0)) + (IF(O194="Main Skill Chance",-2,0)) + (IF(N194="EXP Gains",1,0)) + (IF(O194="EXP Gains",-1,0)) +  (COUNTIF(H194:L194,"Skill Trigger S")*1) + (COUNTIF(H194:L194,"Skill Trigger M")*2) + (COUNTIF(H194:L194,"Skill Level Up S")*1) + (COUNTIF(H194:L194,"Skill Level Up M")*2) + (COUNTIF(H194:L194,"Energy Recovery Bonus")*1.5) + (COUNTIF(H194:L194,"Sleep EXP Bonus")*1) + (COUNTIF(H194:L194,"Research EXP Bonus")*1)  )</f>
        <v/>
      </c>
      <c r="S194" s="4" t="str">
        <f>IF(A194="","",  IF(AND(P194&lt;=1, Q194&lt;=1, R194&lt;=1), "Bench",  IF(AND(P194&gt;=Q194, P194&gt;=R194), "Berry",  IF(AND(Q194&gt;=P194, Q194&gt;=R194), "Ingredient",  "Skill")))  )</f>
        <v/>
      </c>
      <c r="T194" s="4" t="str">
        <f t="shared" ref="T194:T250" si="48">IF(A194="","", MAX(P194,Q194,R194) + IF(OR(N194="Speed of Help",N194="Ingredient Finding",N194="Main Skill Chance"),1,0) + IF(N194="Neutral",0, IF(O194="Neutral",0.5,0)) + IF(B194&gt;=10,0.5,0) + IF(AND(W194&lt;&gt;"",W194&lt;&gt;"Geen match gevonden"),1.5,0) )</f>
        <v/>
      </c>
      <c r="U194" s="4" t="str">
        <f>IF(A194="","", IF(T194&gt;=7, "⭐ Keep", IF(T194&gt;=5, "📈 Level Up", IF(T194&gt;=3, "🤔 Bench", "❌ Transfer")))  )</f>
        <v/>
      </c>
      <c r="V194" s="4" t="str">
        <f t="shared" ref="V194:V250" si="49">IF(A194="","", _xlfn.TEXTJOIN("; ",TRUE, IF(A194="Pikachu","Evolve naar Raichu = snelste berry helper!",""), IF(A194="Pichu","Evolve → Pikachu → Raichu (top berry)",""), IF(A194="Eevee","Sylveon (skill) of Jolteon (berry) = top evoluties",""), IF(A194="Igglybuff","Evolve → Wigglytuff = Energy for Everyone S (top skill!)",""), IF(A194="Squirtle","Kanto starter: 2x ingrediënten + Ingredient Magnet S",""), IF(A194="Charmander","Evolve → Charizard = snelle berry+ingredient verzamelaar",""), IF(A194="Bulbasaur","Kanto starter: 2x ingrediënten + Ingredient Magnet S",""), IF(A194="Growlithe","Evolve → Arcanine = sterke all-rounder",""), IF(A194="Mareep","Evolve → Ampharos = hoge frequentie + waardevolle ingrediënten",""), IF(A194="Spheal","Evolve → Walrein = key voor Snowdrop Tundra (berry+ingr)",""), IF(A194="Riolu","Evolve → Lucario = sterke fighter",""), IF(A194="Togepi","Let op: Togekiss Metronome is onbetrouwbaar",""), IF(A194="Totodile","Evolve → Feraligatr = top berry voor Cyan Beach",""), IF(A194="Magnemite","Evolve → Magnezone = sterke skill helper",""), IF(A194="Ivysaur","Evolve → Venusaur = 2x ingrediënten specialist",""), IF(OR(N194="Neutral",O194="Neutral"),"Neutrale nature = ok maar niet ideaal",""), IF(AND(N194="Speed of Help",OR(S194="Berry",S194="Ingredient")),"Perfecte nature voor "&amp;S194&amp;" team!",""), IF(AND(N194="Ingredient Finding",S194="Ingredient"),"Perfecte nature voor Ingredient team!",""), IF(AND(N194="Main Skill Chance",S194="Skill"),"Perfecte nature voor Skill team!",""), IF(AND(O194="Speed of Help",S194="Berry"),"Let op: Speed of Help NEGATIEF schaadt berry-prestatie",""), IF(AND(O194="Ingredient Finding",S194="Ingredient"),"Let op: Ingredient Finding NEGATIEF schaadt ingredient-prestatie","") ))</f>
        <v/>
      </c>
      <c r="W194" s="69" t="str" cm="1">
        <f t="array" ref="W194">IF(A194="","", IF(COUNTIF(Referentie!$L$2:$L$21,A194)&lt;=1, "", IFERROR(INDEX(Referentie!$M$2:$M$21, MATCH(1,(Referentie!$L$2:$L$21=A194)*(Referentie!$N$2:$N$21=S194),0)), IF(S194="Bench","", "Geen match gevonden"))) )</f>
        <v/>
      </c>
    </row>
    <row r="195" spans="1:23" ht="15" customHeight="1">
      <c r="A195" s="2"/>
      <c r="B195" s="2"/>
      <c r="C195" s="2"/>
      <c r="D195" s="4" t="str">
        <f>IF(C195="","",VLOOKUP(C195,Referentie!$A$2:$B$19,2,0))</f>
        <v/>
      </c>
      <c r="E195" s="7"/>
      <c r="F195" s="4"/>
      <c r="G195" s="4"/>
      <c r="H195" s="4"/>
      <c r="I195" s="4"/>
      <c r="J195" s="4"/>
      <c r="K195" s="4"/>
      <c r="L195" s="4"/>
      <c r="M195" s="4"/>
      <c r="N195" s="4" t="str">
        <f>IF(M195="","",VLOOKUP(M195,Referentie!$G$2:$I$26,2,0))</f>
        <v/>
      </c>
      <c r="O195" s="4" t="str">
        <f>IF(M195="","",VLOOKUP(M195,Referentie!$G$2:$I$26,3,0))</f>
        <v/>
      </c>
      <c r="P195" s="4" t="str">
        <f t="shared" ref="P195:P226" si="50">IF(A195="","", (IF(N195="Speed of Help",2,0)) + (IF(O195="Speed of Help",-2,0)) + (IF(N195="EXP Gains",1,0)) + (IF(O195="EXP Gains",-1,0)) + (COUNTIF(H195:L195,"Helping Speed S")*1) + (COUNTIF(H195:L195,"Helping Speed M")*2) + (COUNTIF(H195:L195,"Berry Finding S")*2) + (COUNTIF(H195:L195,"Helping Bonus")*1) + (IF(O195="Ingredient Finding",0,0)) + (IF(O195="Main Skill Chance",0,0)) )</f>
        <v/>
      </c>
      <c r="Q195" s="4" t="str">
        <f t="shared" ref="Q195:Q226" si="51">IF(A195="","", (IF(N195="Ingredient Finding",2,0)) + (IF(O195="Ingredient Finding",-2,0)) + (IF(N195="EXP Gains",1,0)) + (IF(O195="EXP Gains",-1,0)) + (COUNTIF(H195:L195,"Ingredient Finder S")*1) + (COUNTIF(H195:L195,"Ingredient Finder M")*2) + (COUNTIF(H195:L195,"Inventory Up S")*0.5) + (COUNTIF(H195:L195,"Inventory Up M")*1) + (COUNTIF(H195:L195,"Inventory Up L")*1.5) + (IF(E195=F195,1,0)) + (IF(F195=G195,1,0)) )</f>
        <v/>
      </c>
      <c r="R195" s="4" t="str">
        <f t="shared" ref="R195:R226" si="52">IF(A195="","", (IF(N195="Main Skill Chance",2,0)) + (IF(O195="Main Skill Chance",-2,0)) + (IF(N195="EXP Gains",1,0)) + (IF(O195="EXP Gains",-1,0)) + (COUNTIF(H195:L195,"Skill Trigger S")*1) + (COUNTIF(H195:L195,"Skill Trigger M")*2) + (COUNTIF(H195:L195,"Skill Level Up S")*1) + (COUNTIF(H195:L195,"Skill Level Up M")*2) + (COUNTIF(H195:L195,"Energy Recovery Bonus")*1.5) + (COUNTIF(H195:L195,"Sleep EXP Bonus")*1) + (COUNTIF(H195:L195,"Research EXP Bonus")*1) )</f>
        <v/>
      </c>
      <c r="S195" s="4" t="str">
        <f t="shared" ref="S195:S226" si="53">IF(A195="","", IF(AND(P195&lt;=1, Q195&lt;=1, R195&lt;=1), "Bench", IF(AND(P195&gt;=Q195, P195&gt;=R195), "Berry", IF(AND(Q195&gt;=P195, Q195&gt;=R195), "Ingredient", "Skill"))) )</f>
        <v/>
      </c>
      <c r="T195" s="4" t="str">
        <f t="shared" si="48"/>
        <v/>
      </c>
      <c r="U195" s="4" t="str">
        <f t="shared" ref="U195:U226" si="54">IF(A195="","", IF(T195&gt;=7, "⭐ Keep", IF(T195&gt;=5, "📈 Level Up", IF(T195&gt;=3, "🤔 Bench", "❌ Transfer"))) )</f>
        <v/>
      </c>
      <c r="V195" s="4" t="str">
        <f t="shared" si="49"/>
        <v/>
      </c>
      <c r="W195" s="69" t="str" cm="1">
        <f t="array" ref="W195">IF(A195="","", IF(COUNTIF(Referentie!$L$2:$L$21,A195)&lt;=1, "", IFERROR(INDEX(Referentie!$M$2:$M$21, MATCH(1,(Referentie!$L$2:$L$21=A195)*(Referentie!$N$2:$N$21=S195),0)), IF(S195="Bench","", "Geen match gevonden"))) )</f>
        <v/>
      </c>
    </row>
    <row r="196" spans="1:23" ht="15" customHeight="1">
      <c r="A196" s="2"/>
      <c r="B196" s="2"/>
      <c r="C196" s="2"/>
      <c r="D196" s="4" t="str">
        <f>IF(C196="","",VLOOKUP(C196,Referentie!$A$2:$B$19,2,0))</f>
        <v/>
      </c>
      <c r="E196" s="7"/>
      <c r="F196" s="4"/>
      <c r="G196" s="4"/>
      <c r="H196" s="4"/>
      <c r="I196" s="4"/>
      <c r="J196" s="4"/>
      <c r="K196" s="4"/>
      <c r="L196" s="4"/>
      <c r="M196" s="4"/>
      <c r="N196" s="4" t="str">
        <f>IF(M196="","",VLOOKUP(M196,Referentie!$G$2:$I$26,2,0))</f>
        <v/>
      </c>
      <c r="O196" s="4" t="str">
        <f>IF(M196="","",VLOOKUP(M196,Referentie!$G$2:$I$26,3,0))</f>
        <v/>
      </c>
      <c r="P196" s="4" t="str">
        <f t="shared" si="50"/>
        <v/>
      </c>
      <c r="Q196" s="4" t="str">
        <f t="shared" si="51"/>
        <v/>
      </c>
      <c r="R196" s="4" t="str">
        <f t="shared" si="52"/>
        <v/>
      </c>
      <c r="S196" s="4" t="str">
        <f t="shared" si="53"/>
        <v/>
      </c>
      <c r="T196" s="4" t="str">
        <f t="shared" si="48"/>
        <v/>
      </c>
      <c r="U196" s="4" t="str">
        <f t="shared" si="54"/>
        <v/>
      </c>
      <c r="V196" s="4" t="str">
        <f t="shared" si="49"/>
        <v/>
      </c>
      <c r="W196" s="69" t="str" cm="1">
        <f t="array" ref="W196">IF(A196="","", IF(COUNTIF(Referentie!$L$2:$L$21,A196)&lt;=1, "", IFERROR(INDEX(Referentie!$M$2:$M$21, MATCH(1,(Referentie!$L$2:$L$21=A196)*(Referentie!$N$2:$N$21=S196),0)), IF(S196="Bench","", "Geen match gevonden"))) )</f>
        <v/>
      </c>
    </row>
    <row r="197" spans="1:23" ht="15" customHeight="1">
      <c r="A197" s="2"/>
      <c r="B197" s="2"/>
      <c r="C197" s="2"/>
      <c r="D197" s="4" t="str">
        <f>IF(C197="","",VLOOKUP(C197,Referentie!$A$2:$B$19,2,0))</f>
        <v/>
      </c>
      <c r="E197" s="7"/>
      <c r="F197" s="4"/>
      <c r="G197" s="4"/>
      <c r="H197" s="4"/>
      <c r="I197" s="4"/>
      <c r="J197" s="4"/>
      <c r="K197" s="4"/>
      <c r="L197" s="4"/>
      <c r="M197" s="4"/>
      <c r="N197" s="4" t="str">
        <f>IF(M197="","",VLOOKUP(M197,Referentie!$G$2:$I$26,2,0))</f>
        <v/>
      </c>
      <c r="O197" s="4" t="str">
        <f>IF(M197="","",VLOOKUP(M197,Referentie!$G$2:$I$26,3,0))</f>
        <v/>
      </c>
      <c r="P197" s="4" t="str">
        <f t="shared" si="50"/>
        <v/>
      </c>
      <c r="Q197" s="4" t="str">
        <f t="shared" si="51"/>
        <v/>
      </c>
      <c r="R197" s="4" t="str">
        <f t="shared" si="52"/>
        <v/>
      </c>
      <c r="S197" s="4" t="str">
        <f t="shared" si="53"/>
        <v/>
      </c>
      <c r="T197" s="4" t="str">
        <f t="shared" si="48"/>
        <v/>
      </c>
      <c r="U197" s="4" t="str">
        <f t="shared" si="54"/>
        <v/>
      </c>
      <c r="V197" s="4" t="str">
        <f t="shared" si="49"/>
        <v/>
      </c>
      <c r="W197" s="69" t="str" cm="1">
        <f t="array" ref="W197">IF(A197="","", IF(COUNTIF(Referentie!$L$2:$L$21,A197)&lt;=1, "", IFERROR(INDEX(Referentie!$M$2:$M$21, MATCH(1,(Referentie!$L$2:$L$21=A197)*(Referentie!$N$2:$N$21=S197),0)), IF(S197="Bench","", "Geen match gevonden"))) )</f>
        <v/>
      </c>
    </row>
    <row r="198" spans="1:23" ht="15" customHeight="1">
      <c r="A198" s="2"/>
      <c r="B198" s="2"/>
      <c r="C198" s="2"/>
      <c r="D198" s="4" t="str">
        <f>IF(C198="","",VLOOKUP(C198,Referentie!$A$2:$B$19,2,0))</f>
        <v/>
      </c>
      <c r="E198" s="7"/>
      <c r="F198" s="4"/>
      <c r="G198" s="4"/>
      <c r="H198" s="4"/>
      <c r="I198" s="4"/>
      <c r="J198" s="4"/>
      <c r="K198" s="4"/>
      <c r="L198" s="4"/>
      <c r="M198" s="4"/>
      <c r="N198" s="4" t="str">
        <f>IF(M198="","",VLOOKUP(M198,Referentie!$G$2:$I$26,2,0))</f>
        <v/>
      </c>
      <c r="O198" s="4" t="str">
        <f>IF(M198="","",VLOOKUP(M198,Referentie!$G$2:$I$26,3,0))</f>
        <v/>
      </c>
      <c r="P198" s="4" t="str">
        <f t="shared" si="50"/>
        <v/>
      </c>
      <c r="Q198" s="4" t="str">
        <f t="shared" si="51"/>
        <v/>
      </c>
      <c r="R198" s="4" t="str">
        <f t="shared" si="52"/>
        <v/>
      </c>
      <c r="S198" s="4" t="str">
        <f t="shared" si="53"/>
        <v/>
      </c>
      <c r="T198" s="4" t="str">
        <f t="shared" si="48"/>
        <v/>
      </c>
      <c r="U198" s="4" t="str">
        <f t="shared" si="54"/>
        <v/>
      </c>
      <c r="V198" s="4" t="str">
        <f t="shared" si="49"/>
        <v/>
      </c>
      <c r="W198" s="69" t="str" cm="1">
        <f t="array" ref="W198">IF(A198="","", IF(COUNTIF(Referentie!$L$2:$L$21,A198)&lt;=1, "", IFERROR(INDEX(Referentie!$M$2:$M$21, MATCH(1,(Referentie!$L$2:$L$21=A198)*(Referentie!$N$2:$N$21=S198),0)), IF(S198="Bench","", "Geen match gevonden"))) )</f>
        <v/>
      </c>
    </row>
    <row r="199" spans="1:23" ht="15" customHeight="1">
      <c r="A199" s="2"/>
      <c r="B199" s="2"/>
      <c r="C199" s="2"/>
      <c r="D199" s="4" t="str">
        <f>IF(C199="","",VLOOKUP(C199,Referentie!$A$2:$B$19,2,0))</f>
        <v/>
      </c>
      <c r="E199" s="7"/>
      <c r="F199" s="4"/>
      <c r="G199" s="4"/>
      <c r="H199" s="4"/>
      <c r="I199" s="4"/>
      <c r="J199" s="4"/>
      <c r="K199" s="4"/>
      <c r="L199" s="4"/>
      <c r="M199" s="4"/>
      <c r="N199" s="4" t="str">
        <f>IF(M199="","",VLOOKUP(M199,Referentie!$G$2:$I$26,2,0))</f>
        <v/>
      </c>
      <c r="O199" s="4" t="str">
        <f>IF(M199="","",VLOOKUP(M199,Referentie!$G$2:$I$26,3,0))</f>
        <v/>
      </c>
      <c r="P199" s="4" t="str">
        <f t="shared" si="50"/>
        <v/>
      </c>
      <c r="Q199" s="4" t="str">
        <f t="shared" si="51"/>
        <v/>
      </c>
      <c r="R199" s="4" t="str">
        <f t="shared" si="52"/>
        <v/>
      </c>
      <c r="S199" s="4" t="str">
        <f t="shared" si="53"/>
        <v/>
      </c>
      <c r="T199" s="4" t="str">
        <f t="shared" si="48"/>
        <v/>
      </c>
      <c r="U199" s="4" t="str">
        <f t="shared" si="54"/>
        <v/>
      </c>
      <c r="V199" s="4" t="str">
        <f t="shared" si="49"/>
        <v/>
      </c>
      <c r="W199" s="69" t="str" cm="1">
        <f t="array" ref="W199">IF(A199="","", IF(COUNTIF(Referentie!$L$2:$L$21,A199)&lt;=1, "", IFERROR(INDEX(Referentie!$M$2:$M$21, MATCH(1,(Referentie!$L$2:$L$21=A199)*(Referentie!$N$2:$N$21=S199),0)), IF(S199="Bench","", "Geen match gevonden"))) )</f>
        <v/>
      </c>
    </row>
    <row r="200" spans="1:23" ht="15" customHeight="1">
      <c r="A200" s="2"/>
      <c r="B200" s="2"/>
      <c r="C200" s="2"/>
      <c r="D200" s="4" t="str">
        <f>IF(C200="","",VLOOKUP(C200,Referentie!$A$2:$B$19,2,0))</f>
        <v/>
      </c>
      <c r="E200" s="7"/>
      <c r="F200" s="4"/>
      <c r="G200" s="4"/>
      <c r="H200" s="4"/>
      <c r="I200" s="4"/>
      <c r="J200" s="4"/>
      <c r="K200" s="4"/>
      <c r="L200" s="4"/>
      <c r="M200" s="4"/>
      <c r="N200" s="4" t="str">
        <f>IF(M200="","",VLOOKUP(M200,Referentie!$G$2:$I$26,2,0))</f>
        <v/>
      </c>
      <c r="O200" s="4" t="str">
        <f>IF(M200="","",VLOOKUP(M200,Referentie!$G$2:$I$26,3,0))</f>
        <v/>
      </c>
      <c r="P200" s="4" t="str">
        <f t="shared" si="50"/>
        <v/>
      </c>
      <c r="Q200" s="4" t="str">
        <f t="shared" si="51"/>
        <v/>
      </c>
      <c r="R200" s="4" t="str">
        <f t="shared" si="52"/>
        <v/>
      </c>
      <c r="S200" s="4" t="str">
        <f t="shared" si="53"/>
        <v/>
      </c>
      <c r="T200" s="4" t="str">
        <f t="shared" si="48"/>
        <v/>
      </c>
      <c r="U200" s="4" t="str">
        <f t="shared" si="54"/>
        <v/>
      </c>
      <c r="V200" s="4" t="str">
        <f t="shared" si="49"/>
        <v/>
      </c>
      <c r="W200" s="69" t="str" cm="1">
        <f t="array" ref="W200">IF(A200="","", IF(COUNTIF(Referentie!$L$2:$L$21,A200)&lt;=1, "", IFERROR(INDEX(Referentie!$M$2:$M$21, MATCH(1,(Referentie!$L$2:$L$21=A200)*(Referentie!$N$2:$N$21=S200),0)), IF(S200="Bench","", "Geen match gevonden"))) )</f>
        <v/>
      </c>
    </row>
    <row r="201" spans="1:23" ht="15" customHeight="1">
      <c r="A201" s="2"/>
      <c r="B201" s="2"/>
      <c r="C201" s="2"/>
      <c r="D201" s="4" t="str">
        <f>IF(C201="","",VLOOKUP(C201,Referentie!$A$2:$B$19,2,0))</f>
        <v/>
      </c>
      <c r="E201" s="7"/>
      <c r="F201" s="4"/>
      <c r="G201" s="4"/>
      <c r="H201" s="4"/>
      <c r="I201" s="4"/>
      <c r="J201" s="4"/>
      <c r="K201" s="4"/>
      <c r="L201" s="4"/>
      <c r="M201" s="4"/>
      <c r="N201" s="4" t="str">
        <f>IF(M201="","",VLOOKUP(M201,Referentie!$G$2:$I$26,2,0))</f>
        <v/>
      </c>
      <c r="O201" s="4" t="str">
        <f>IF(M201="","",VLOOKUP(M201,Referentie!$G$2:$I$26,3,0))</f>
        <v/>
      </c>
      <c r="P201" s="4" t="str">
        <f t="shared" si="50"/>
        <v/>
      </c>
      <c r="Q201" s="4" t="str">
        <f t="shared" si="51"/>
        <v/>
      </c>
      <c r="R201" s="4" t="str">
        <f t="shared" si="52"/>
        <v/>
      </c>
      <c r="S201" s="4" t="str">
        <f t="shared" si="53"/>
        <v/>
      </c>
      <c r="T201" s="4" t="str">
        <f t="shared" si="48"/>
        <v/>
      </c>
      <c r="U201" s="4" t="str">
        <f t="shared" si="54"/>
        <v/>
      </c>
      <c r="V201" s="4" t="str">
        <f t="shared" si="49"/>
        <v/>
      </c>
      <c r="W201" s="69" t="str" cm="1">
        <f t="array" ref="W201">IF(A201="","", IF(COUNTIF(Referentie!$L$2:$L$21,A201)&lt;=1, "", IFERROR(INDEX(Referentie!$M$2:$M$21, MATCH(1,(Referentie!$L$2:$L$21=A201)*(Referentie!$N$2:$N$21=S201),0)), IF(S201="Bench","", "Geen match gevonden"))) )</f>
        <v/>
      </c>
    </row>
    <row r="202" spans="1:23" ht="15" customHeight="1">
      <c r="A202" s="2"/>
      <c r="B202" s="2"/>
      <c r="C202" s="2"/>
      <c r="D202" s="4" t="str">
        <f>IF(C202="","",VLOOKUP(C202,Referentie!$A$2:$B$19,2,0))</f>
        <v/>
      </c>
      <c r="E202" s="7"/>
      <c r="F202" s="4"/>
      <c r="G202" s="4"/>
      <c r="H202" s="4"/>
      <c r="I202" s="4"/>
      <c r="J202" s="4"/>
      <c r="K202" s="4"/>
      <c r="L202" s="4"/>
      <c r="M202" s="4"/>
      <c r="N202" s="4" t="str">
        <f>IF(M202="","",VLOOKUP(M202,Referentie!$G$2:$I$26,2,0))</f>
        <v/>
      </c>
      <c r="O202" s="4" t="str">
        <f>IF(M202="","",VLOOKUP(M202,Referentie!$G$2:$I$26,3,0))</f>
        <v/>
      </c>
      <c r="P202" s="4" t="str">
        <f t="shared" si="50"/>
        <v/>
      </c>
      <c r="Q202" s="4" t="str">
        <f t="shared" si="51"/>
        <v/>
      </c>
      <c r="R202" s="4" t="str">
        <f t="shared" si="52"/>
        <v/>
      </c>
      <c r="S202" s="4" t="str">
        <f t="shared" si="53"/>
        <v/>
      </c>
      <c r="T202" s="4" t="str">
        <f t="shared" si="48"/>
        <v/>
      </c>
      <c r="U202" s="4" t="str">
        <f t="shared" si="54"/>
        <v/>
      </c>
      <c r="V202" s="4" t="str">
        <f t="shared" si="49"/>
        <v/>
      </c>
      <c r="W202" s="69" t="str" cm="1">
        <f t="array" ref="W202">IF(A202="","", IF(COUNTIF(Referentie!$L$2:$L$21,A202)&lt;=1, "", IFERROR(INDEX(Referentie!$M$2:$M$21, MATCH(1,(Referentie!$L$2:$L$21=A202)*(Referentie!$N$2:$N$21=S202),0)), IF(S202="Bench","", "Geen match gevonden"))) )</f>
        <v/>
      </c>
    </row>
    <row r="203" spans="1:23" ht="15" customHeight="1">
      <c r="A203" s="2"/>
      <c r="B203" s="2"/>
      <c r="C203" s="2"/>
      <c r="D203" s="4" t="str">
        <f>IF(C203="","",VLOOKUP(C203,Referentie!$A$2:$B$19,2,0))</f>
        <v/>
      </c>
      <c r="E203" s="7"/>
      <c r="F203" s="4"/>
      <c r="G203" s="4"/>
      <c r="H203" s="4"/>
      <c r="I203" s="4"/>
      <c r="J203" s="4"/>
      <c r="K203" s="4"/>
      <c r="L203" s="4"/>
      <c r="M203" s="4"/>
      <c r="N203" s="4" t="str">
        <f>IF(M203="","",VLOOKUP(M203,Referentie!$G$2:$I$26,2,0))</f>
        <v/>
      </c>
      <c r="O203" s="4" t="str">
        <f>IF(M203="","",VLOOKUP(M203,Referentie!$G$2:$I$26,3,0))</f>
        <v/>
      </c>
      <c r="P203" s="4" t="str">
        <f t="shared" si="50"/>
        <v/>
      </c>
      <c r="Q203" s="4" t="str">
        <f t="shared" si="51"/>
        <v/>
      </c>
      <c r="R203" s="4" t="str">
        <f t="shared" si="52"/>
        <v/>
      </c>
      <c r="S203" s="4" t="str">
        <f t="shared" si="53"/>
        <v/>
      </c>
      <c r="T203" s="4" t="str">
        <f t="shared" si="48"/>
        <v/>
      </c>
      <c r="U203" s="4" t="str">
        <f t="shared" si="54"/>
        <v/>
      </c>
      <c r="V203" s="4" t="str">
        <f t="shared" si="49"/>
        <v/>
      </c>
      <c r="W203" s="69" t="str" cm="1">
        <f t="array" ref="W203">IF(A203="","", IF(COUNTIF(Referentie!$L$2:$L$21,A203)&lt;=1, "", IFERROR(INDEX(Referentie!$M$2:$M$21, MATCH(1,(Referentie!$L$2:$L$21=A203)*(Referentie!$N$2:$N$21=S203),0)), IF(S203="Bench","", "Geen match gevonden"))) )</f>
        <v/>
      </c>
    </row>
    <row r="204" spans="1:23" ht="15" customHeight="1">
      <c r="A204" s="2"/>
      <c r="B204" s="2"/>
      <c r="C204" s="2"/>
      <c r="D204" s="4" t="str">
        <f>IF(C204="","",VLOOKUP(C204,Referentie!$A$2:$B$19,2,0))</f>
        <v/>
      </c>
      <c r="E204" s="7"/>
      <c r="F204" s="4"/>
      <c r="G204" s="4"/>
      <c r="H204" s="4"/>
      <c r="I204" s="4"/>
      <c r="J204" s="4"/>
      <c r="K204" s="4"/>
      <c r="L204" s="4"/>
      <c r="M204" s="4"/>
      <c r="N204" s="4" t="str">
        <f>IF(M204="","",VLOOKUP(M204,Referentie!$G$2:$I$26,2,0))</f>
        <v/>
      </c>
      <c r="O204" s="4" t="str">
        <f>IF(M204="","",VLOOKUP(M204,Referentie!$G$2:$I$26,3,0))</f>
        <v/>
      </c>
      <c r="P204" s="4" t="str">
        <f t="shared" si="50"/>
        <v/>
      </c>
      <c r="Q204" s="4" t="str">
        <f t="shared" si="51"/>
        <v/>
      </c>
      <c r="R204" s="4" t="str">
        <f t="shared" si="52"/>
        <v/>
      </c>
      <c r="S204" s="4" t="str">
        <f t="shared" si="53"/>
        <v/>
      </c>
      <c r="T204" s="4" t="str">
        <f t="shared" si="48"/>
        <v/>
      </c>
      <c r="U204" s="4" t="str">
        <f t="shared" si="54"/>
        <v/>
      </c>
      <c r="V204" s="4" t="str">
        <f t="shared" si="49"/>
        <v/>
      </c>
      <c r="W204" s="69" t="str" cm="1">
        <f t="array" ref="W204">IF(A204="","", IF(COUNTIF(Referentie!$L$2:$L$21,A204)&lt;=1, "", IFERROR(INDEX(Referentie!$M$2:$M$21, MATCH(1,(Referentie!$L$2:$L$21=A204)*(Referentie!$N$2:$N$21=S204),0)), IF(S204="Bench","", "Geen match gevonden"))) )</f>
        <v/>
      </c>
    </row>
    <row r="205" spans="1:23" ht="15" customHeight="1">
      <c r="A205" s="2"/>
      <c r="B205" s="2"/>
      <c r="C205" s="2"/>
      <c r="D205" s="4" t="str">
        <f>IF(C205="","",VLOOKUP(C205,Referentie!$A$2:$B$19,2,0))</f>
        <v/>
      </c>
      <c r="E205" s="7"/>
      <c r="F205" s="4"/>
      <c r="G205" s="4"/>
      <c r="H205" s="4"/>
      <c r="I205" s="4"/>
      <c r="J205" s="4"/>
      <c r="K205" s="4"/>
      <c r="L205" s="4"/>
      <c r="M205" s="4"/>
      <c r="N205" s="4" t="str">
        <f>IF(M205="","",VLOOKUP(M205,Referentie!$G$2:$I$26,2,0))</f>
        <v/>
      </c>
      <c r="O205" s="4" t="str">
        <f>IF(M205="","",VLOOKUP(M205,Referentie!$G$2:$I$26,3,0))</f>
        <v/>
      </c>
      <c r="P205" s="4" t="str">
        <f t="shared" si="50"/>
        <v/>
      </c>
      <c r="Q205" s="4" t="str">
        <f t="shared" si="51"/>
        <v/>
      </c>
      <c r="R205" s="4" t="str">
        <f t="shared" si="52"/>
        <v/>
      </c>
      <c r="S205" s="4" t="str">
        <f t="shared" si="53"/>
        <v/>
      </c>
      <c r="T205" s="4" t="str">
        <f t="shared" si="48"/>
        <v/>
      </c>
      <c r="U205" s="4" t="str">
        <f t="shared" si="54"/>
        <v/>
      </c>
      <c r="V205" s="4" t="str">
        <f t="shared" si="49"/>
        <v/>
      </c>
      <c r="W205" s="69" t="str" cm="1">
        <f t="array" ref="W205">IF(A205="","", IF(COUNTIF(Referentie!$L$2:$L$21,A205)&lt;=1, "", IFERROR(INDEX(Referentie!$M$2:$M$21, MATCH(1,(Referentie!$L$2:$L$21=A205)*(Referentie!$N$2:$N$21=S205),0)), IF(S205="Bench","", "Geen match gevonden"))) )</f>
        <v/>
      </c>
    </row>
    <row r="206" spans="1:23" ht="15" customHeight="1">
      <c r="A206" s="2"/>
      <c r="B206" s="2"/>
      <c r="C206" s="2"/>
      <c r="D206" s="4" t="str">
        <f>IF(C206="","",VLOOKUP(C206,Referentie!$A$2:$B$19,2,0))</f>
        <v/>
      </c>
      <c r="E206" s="7"/>
      <c r="F206" s="4"/>
      <c r="G206" s="4"/>
      <c r="H206" s="4"/>
      <c r="I206" s="4"/>
      <c r="J206" s="4"/>
      <c r="K206" s="4"/>
      <c r="L206" s="4"/>
      <c r="M206" s="4"/>
      <c r="N206" s="4" t="str">
        <f>IF(M206="","",VLOOKUP(M206,Referentie!$G$2:$I$26,2,0))</f>
        <v/>
      </c>
      <c r="O206" s="4" t="str">
        <f>IF(M206="","",VLOOKUP(M206,Referentie!$G$2:$I$26,3,0))</f>
        <v/>
      </c>
      <c r="P206" s="4" t="str">
        <f t="shared" si="50"/>
        <v/>
      </c>
      <c r="Q206" s="4" t="str">
        <f t="shared" si="51"/>
        <v/>
      </c>
      <c r="R206" s="4" t="str">
        <f t="shared" si="52"/>
        <v/>
      </c>
      <c r="S206" s="4" t="str">
        <f t="shared" si="53"/>
        <v/>
      </c>
      <c r="T206" s="4" t="str">
        <f t="shared" si="48"/>
        <v/>
      </c>
      <c r="U206" s="4" t="str">
        <f t="shared" si="54"/>
        <v/>
      </c>
      <c r="V206" s="4" t="str">
        <f t="shared" si="49"/>
        <v/>
      </c>
      <c r="W206" s="69" t="str" cm="1">
        <f t="array" ref="W206">IF(A206="","", IF(COUNTIF(Referentie!$L$2:$L$21,A206)&lt;=1, "", IFERROR(INDEX(Referentie!$M$2:$M$21, MATCH(1,(Referentie!$L$2:$L$21=A206)*(Referentie!$N$2:$N$21=S206),0)), IF(S206="Bench","", "Geen match gevonden"))) )</f>
        <v/>
      </c>
    </row>
    <row r="207" spans="1:23" ht="15" customHeight="1">
      <c r="A207" s="2"/>
      <c r="B207" s="2"/>
      <c r="C207" s="2"/>
      <c r="D207" s="4" t="str">
        <f>IF(C207="","",VLOOKUP(C207,Referentie!$A$2:$B$19,2,0))</f>
        <v/>
      </c>
      <c r="E207" s="7"/>
      <c r="F207" s="4"/>
      <c r="G207" s="4"/>
      <c r="H207" s="4"/>
      <c r="I207" s="4"/>
      <c r="J207" s="4"/>
      <c r="K207" s="4"/>
      <c r="L207" s="4"/>
      <c r="M207" s="4"/>
      <c r="N207" s="4" t="str">
        <f>IF(M207="","",VLOOKUP(M207,Referentie!$G$2:$I$26,2,0))</f>
        <v/>
      </c>
      <c r="O207" s="4" t="str">
        <f>IF(M207="","",VLOOKUP(M207,Referentie!$G$2:$I$26,3,0))</f>
        <v/>
      </c>
      <c r="P207" s="4" t="str">
        <f t="shared" si="50"/>
        <v/>
      </c>
      <c r="Q207" s="4" t="str">
        <f t="shared" si="51"/>
        <v/>
      </c>
      <c r="R207" s="4" t="str">
        <f t="shared" si="52"/>
        <v/>
      </c>
      <c r="S207" s="4" t="str">
        <f t="shared" si="53"/>
        <v/>
      </c>
      <c r="T207" s="4" t="str">
        <f t="shared" si="48"/>
        <v/>
      </c>
      <c r="U207" s="4" t="str">
        <f t="shared" si="54"/>
        <v/>
      </c>
      <c r="V207" s="4" t="str">
        <f t="shared" si="49"/>
        <v/>
      </c>
      <c r="W207" s="69" t="str" cm="1">
        <f t="array" ref="W207">IF(A207="","", IF(COUNTIF(Referentie!$L$2:$L$21,A207)&lt;=1, "", IFERROR(INDEX(Referentie!$M$2:$M$21, MATCH(1,(Referentie!$L$2:$L$21=A207)*(Referentie!$N$2:$N$21=S207),0)), IF(S207="Bench","", "Geen match gevonden"))) )</f>
        <v/>
      </c>
    </row>
    <row r="208" spans="1:23" ht="15" customHeight="1">
      <c r="A208" s="2"/>
      <c r="B208" s="2"/>
      <c r="C208" s="2"/>
      <c r="D208" s="4" t="str">
        <f>IF(C208="","",VLOOKUP(C208,Referentie!$A$2:$B$19,2,0))</f>
        <v/>
      </c>
      <c r="E208" s="7"/>
      <c r="F208" s="4"/>
      <c r="G208" s="4"/>
      <c r="H208" s="4"/>
      <c r="I208" s="4"/>
      <c r="J208" s="4"/>
      <c r="K208" s="4"/>
      <c r="L208" s="4"/>
      <c r="M208" s="4"/>
      <c r="N208" s="4" t="str">
        <f>IF(M208="","",VLOOKUP(M208,Referentie!$G$2:$I$26,2,0))</f>
        <v/>
      </c>
      <c r="O208" s="4" t="str">
        <f>IF(M208="","",VLOOKUP(M208,Referentie!$G$2:$I$26,3,0))</f>
        <v/>
      </c>
      <c r="P208" s="4" t="str">
        <f t="shared" si="50"/>
        <v/>
      </c>
      <c r="Q208" s="4" t="str">
        <f t="shared" si="51"/>
        <v/>
      </c>
      <c r="R208" s="4" t="str">
        <f t="shared" si="52"/>
        <v/>
      </c>
      <c r="S208" s="4" t="str">
        <f t="shared" si="53"/>
        <v/>
      </c>
      <c r="T208" s="4" t="str">
        <f t="shared" si="48"/>
        <v/>
      </c>
      <c r="U208" s="4" t="str">
        <f t="shared" si="54"/>
        <v/>
      </c>
      <c r="V208" s="4" t="str">
        <f t="shared" si="49"/>
        <v/>
      </c>
      <c r="W208" s="69" t="str" cm="1">
        <f t="array" ref="W208">IF(A208="","", IF(COUNTIF(Referentie!$L$2:$L$21,A208)&lt;=1, "", IFERROR(INDEX(Referentie!$M$2:$M$21, MATCH(1,(Referentie!$L$2:$L$21=A208)*(Referentie!$N$2:$N$21=S208),0)), IF(S208="Bench","", "Geen match gevonden"))) )</f>
        <v/>
      </c>
    </row>
    <row r="209" spans="1:23" ht="15" customHeight="1">
      <c r="A209" s="2"/>
      <c r="B209" s="2"/>
      <c r="C209" s="2"/>
      <c r="D209" s="4" t="str">
        <f>IF(C209="","",VLOOKUP(C209,Referentie!$A$2:$B$19,2,0))</f>
        <v/>
      </c>
      <c r="E209" s="7"/>
      <c r="F209" s="4"/>
      <c r="G209" s="4"/>
      <c r="H209" s="4"/>
      <c r="I209" s="4"/>
      <c r="J209" s="4"/>
      <c r="K209" s="4"/>
      <c r="L209" s="4"/>
      <c r="M209" s="4"/>
      <c r="N209" s="4" t="str">
        <f>IF(M209="","",VLOOKUP(M209,Referentie!$G$2:$I$26,2,0))</f>
        <v/>
      </c>
      <c r="O209" s="4" t="str">
        <f>IF(M209="","",VLOOKUP(M209,Referentie!$G$2:$I$26,3,0))</f>
        <v/>
      </c>
      <c r="P209" s="4" t="str">
        <f t="shared" si="50"/>
        <v/>
      </c>
      <c r="Q209" s="4" t="str">
        <f t="shared" si="51"/>
        <v/>
      </c>
      <c r="R209" s="4" t="str">
        <f t="shared" si="52"/>
        <v/>
      </c>
      <c r="S209" s="4" t="str">
        <f t="shared" si="53"/>
        <v/>
      </c>
      <c r="T209" s="4" t="str">
        <f t="shared" si="48"/>
        <v/>
      </c>
      <c r="U209" s="4" t="str">
        <f t="shared" si="54"/>
        <v/>
      </c>
      <c r="V209" s="4" t="str">
        <f t="shared" si="49"/>
        <v/>
      </c>
      <c r="W209" s="69" t="str" cm="1">
        <f t="array" ref="W209">IF(A209="","", IF(COUNTIF(Referentie!$L$2:$L$21,A209)&lt;=1, "", IFERROR(INDEX(Referentie!$M$2:$M$21, MATCH(1,(Referentie!$L$2:$L$21=A209)*(Referentie!$N$2:$N$21=S209),0)), IF(S209="Bench","", "Geen match gevonden"))) )</f>
        <v/>
      </c>
    </row>
    <row r="210" spans="1:23" ht="15" customHeight="1">
      <c r="A210" s="2"/>
      <c r="B210" s="2"/>
      <c r="C210" s="2"/>
      <c r="D210" s="4" t="str">
        <f>IF(C210="","",VLOOKUP(C210,Referentie!$A$2:$B$19,2,0))</f>
        <v/>
      </c>
      <c r="E210" s="7"/>
      <c r="F210" s="4"/>
      <c r="G210" s="4"/>
      <c r="H210" s="4"/>
      <c r="I210" s="4"/>
      <c r="J210" s="4"/>
      <c r="K210" s="4"/>
      <c r="L210" s="4"/>
      <c r="M210" s="4"/>
      <c r="N210" s="4" t="str">
        <f>IF(M210="","",VLOOKUP(M210,Referentie!$G$2:$I$26,2,0))</f>
        <v/>
      </c>
      <c r="O210" s="4" t="str">
        <f>IF(M210="","",VLOOKUP(M210,Referentie!$G$2:$I$26,3,0))</f>
        <v/>
      </c>
      <c r="P210" s="4" t="str">
        <f t="shared" si="50"/>
        <v/>
      </c>
      <c r="Q210" s="4" t="str">
        <f t="shared" si="51"/>
        <v/>
      </c>
      <c r="R210" s="4" t="str">
        <f t="shared" si="52"/>
        <v/>
      </c>
      <c r="S210" s="4" t="str">
        <f t="shared" si="53"/>
        <v/>
      </c>
      <c r="T210" s="4" t="str">
        <f t="shared" si="48"/>
        <v/>
      </c>
      <c r="U210" s="4" t="str">
        <f t="shared" si="54"/>
        <v/>
      </c>
      <c r="V210" s="4" t="str">
        <f t="shared" si="49"/>
        <v/>
      </c>
      <c r="W210" s="69" t="str" cm="1">
        <f t="array" ref="W210">IF(A210="","", IF(COUNTIF(Referentie!$L$2:$L$21,A210)&lt;=1, "", IFERROR(INDEX(Referentie!$M$2:$M$21, MATCH(1,(Referentie!$L$2:$L$21=A210)*(Referentie!$N$2:$N$21=S210),0)), IF(S210="Bench","", "Geen match gevonden"))) )</f>
        <v/>
      </c>
    </row>
    <row r="211" spans="1:23" ht="15" customHeight="1">
      <c r="A211" s="2"/>
      <c r="B211" s="2"/>
      <c r="C211" s="2"/>
      <c r="D211" s="4" t="str">
        <f>IF(C211="","",VLOOKUP(C211,Referentie!$A$2:$B$19,2,0))</f>
        <v/>
      </c>
      <c r="E211" s="7"/>
      <c r="F211" s="4"/>
      <c r="G211" s="4"/>
      <c r="H211" s="4"/>
      <c r="I211" s="4"/>
      <c r="J211" s="4"/>
      <c r="K211" s="4"/>
      <c r="L211" s="4"/>
      <c r="M211" s="4"/>
      <c r="N211" s="4" t="str">
        <f>IF(M211="","",VLOOKUP(M211,Referentie!$G$2:$I$26,2,0))</f>
        <v/>
      </c>
      <c r="O211" s="4" t="str">
        <f>IF(M211="","",VLOOKUP(M211,Referentie!$G$2:$I$26,3,0))</f>
        <v/>
      </c>
      <c r="P211" s="4" t="str">
        <f t="shared" si="50"/>
        <v/>
      </c>
      <c r="Q211" s="4" t="str">
        <f t="shared" si="51"/>
        <v/>
      </c>
      <c r="R211" s="4" t="str">
        <f t="shared" si="52"/>
        <v/>
      </c>
      <c r="S211" s="4" t="str">
        <f t="shared" si="53"/>
        <v/>
      </c>
      <c r="T211" s="4" t="str">
        <f t="shared" si="48"/>
        <v/>
      </c>
      <c r="U211" s="4" t="str">
        <f t="shared" si="54"/>
        <v/>
      </c>
      <c r="V211" s="4" t="str">
        <f t="shared" si="49"/>
        <v/>
      </c>
      <c r="W211" s="69" t="str" cm="1">
        <f t="array" ref="W211">IF(A211="","", IF(COUNTIF(Referentie!$L$2:$L$21,A211)&lt;=1, "", IFERROR(INDEX(Referentie!$M$2:$M$21, MATCH(1,(Referentie!$L$2:$L$21=A211)*(Referentie!$N$2:$N$21=S211),0)), IF(S211="Bench","", "Geen match gevonden"))) )</f>
        <v/>
      </c>
    </row>
    <row r="212" spans="1:23" ht="15" customHeight="1">
      <c r="A212" s="2"/>
      <c r="B212" s="2"/>
      <c r="C212" s="2"/>
      <c r="D212" s="4" t="str">
        <f>IF(C212="","",VLOOKUP(C212,Referentie!$A$2:$B$19,2,0))</f>
        <v/>
      </c>
      <c r="E212" s="7"/>
      <c r="F212" s="4"/>
      <c r="G212" s="4"/>
      <c r="H212" s="4"/>
      <c r="I212" s="4"/>
      <c r="J212" s="4"/>
      <c r="K212" s="4"/>
      <c r="L212" s="4"/>
      <c r="M212" s="4"/>
      <c r="N212" s="4" t="str">
        <f>IF(M212="","",VLOOKUP(M212,Referentie!$G$2:$I$26,2,0))</f>
        <v/>
      </c>
      <c r="O212" s="4" t="str">
        <f>IF(M212="","",VLOOKUP(M212,Referentie!$G$2:$I$26,3,0))</f>
        <v/>
      </c>
      <c r="P212" s="4" t="str">
        <f t="shared" si="50"/>
        <v/>
      </c>
      <c r="Q212" s="4" t="str">
        <f t="shared" si="51"/>
        <v/>
      </c>
      <c r="R212" s="4" t="str">
        <f t="shared" si="52"/>
        <v/>
      </c>
      <c r="S212" s="4" t="str">
        <f t="shared" si="53"/>
        <v/>
      </c>
      <c r="T212" s="4" t="str">
        <f t="shared" si="48"/>
        <v/>
      </c>
      <c r="U212" s="4" t="str">
        <f t="shared" si="54"/>
        <v/>
      </c>
      <c r="V212" s="4" t="str">
        <f t="shared" si="49"/>
        <v/>
      </c>
      <c r="W212" s="69" t="str" cm="1">
        <f t="array" ref="W212">IF(A212="","", IF(COUNTIF(Referentie!$L$2:$L$21,A212)&lt;=1, "", IFERROR(INDEX(Referentie!$M$2:$M$21, MATCH(1,(Referentie!$L$2:$L$21=A212)*(Referentie!$N$2:$N$21=S212),0)), IF(S212="Bench","", "Geen match gevonden"))) )</f>
        <v/>
      </c>
    </row>
    <row r="213" spans="1:23" ht="15" customHeight="1">
      <c r="A213" s="2"/>
      <c r="B213" s="2"/>
      <c r="C213" s="2"/>
      <c r="D213" s="4" t="str">
        <f>IF(C213="","",VLOOKUP(C213,Referentie!$A$2:$B$19,2,0))</f>
        <v/>
      </c>
      <c r="E213" s="7"/>
      <c r="F213" s="4"/>
      <c r="G213" s="4"/>
      <c r="H213" s="4"/>
      <c r="I213" s="4"/>
      <c r="J213" s="4"/>
      <c r="K213" s="4"/>
      <c r="L213" s="4"/>
      <c r="M213" s="4"/>
      <c r="N213" s="4" t="str">
        <f>IF(M213="","",VLOOKUP(M213,Referentie!$G$2:$I$26,2,0))</f>
        <v/>
      </c>
      <c r="O213" s="4" t="str">
        <f>IF(M213="","",VLOOKUP(M213,Referentie!$G$2:$I$26,3,0))</f>
        <v/>
      </c>
      <c r="P213" s="4" t="str">
        <f t="shared" si="50"/>
        <v/>
      </c>
      <c r="Q213" s="4" t="str">
        <f t="shared" si="51"/>
        <v/>
      </c>
      <c r="R213" s="4" t="str">
        <f t="shared" si="52"/>
        <v/>
      </c>
      <c r="S213" s="4" t="str">
        <f t="shared" si="53"/>
        <v/>
      </c>
      <c r="T213" s="4" t="str">
        <f t="shared" si="48"/>
        <v/>
      </c>
      <c r="U213" s="4" t="str">
        <f t="shared" si="54"/>
        <v/>
      </c>
      <c r="V213" s="4" t="str">
        <f t="shared" si="49"/>
        <v/>
      </c>
      <c r="W213" s="69" t="str" cm="1">
        <f t="array" ref="W213">IF(A213="","", IF(COUNTIF(Referentie!$L$2:$L$21,A213)&lt;=1, "", IFERROR(INDEX(Referentie!$M$2:$M$21, MATCH(1,(Referentie!$L$2:$L$21=A213)*(Referentie!$N$2:$N$21=S213),0)), IF(S213="Bench","", "Geen match gevonden"))) )</f>
        <v/>
      </c>
    </row>
    <row r="214" spans="1:23" ht="15" customHeight="1">
      <c r="A214" s="2"/>
      <c r="B214" s="2"/>
      <c r="C214" s="2"/>
      <c r="D214" s="4" t="str">
        <f>IF(C214="","",VLOOKUP(C214,Referentie!$A$2:$B$19,2,0))</f>
        <v/>
      </c>
      <c r="E214" s="7"/>
      <c r="F214" s="4"/>
      <c r="G214" s="4"/>
      <c r="H214" s="4"/>
      <c r="I214" s="4"/>
      <c r="J214" s="4"/>
      <c r="K214" s="4"/>
      <c r="L214" s="4"/>
      <c r="M214" s="4"/>
      <c r="N214" s="4" t="str">
        <f>IF(M214="","",VLOOKUP(M214,Referentie!$G$2:$I$26,2,0))</f>
        <v/>
      </c>
      <c r="O214" s="4" t="str">
        <f>IF(M214="","",VLOOKUP(M214,Referentie!$G$2:$I$26,3,0))</f>
        <v/>
      </c>
      <c r="P214" s="4" t="str">
        <f t="shared" si="50"/>
        <v/>
      </c>
      <c r="Q214" s="4" t="str">
        <f t="shared" si="51"/>
        <v/>
      </c>
      <c r="R214" s="4" t="str">
        <f t="shared" si="52"/>
        <v/>
      </c>
      <c r="S214" s="4" t="str">
        <f t="shared" si="53"/>
        <v/>
      </c>
      <c r="T214" s="4" t="str">
        <f t="shared" si="48"/>
        <v/>
      </c>
      <c r="U214" s="4" t="str">
        <f t="shared" si="54"/>
        <v/>
      </c>
      <c r="V214" s="4" t="str">
        <f t="shared" si="49"/>
        <v/>
      </c>
      <c r="W214" s="69" t="str" cm="1">
        <f t="array" ref="W214">IF(A214="","", IF(COUNTIF(Referentie!$L$2:$L$21,A214)&lt;=1, "", IFERROR(INDEX(Referentie!$M$2:$M$21, MATCH(1,(Referentie!$L$2:$L$21=A214)*(Referentie!$N$2:$N$21=S214),0)), IF(S214="Bench","", "Geen match gevonden"))) )</f>
        <v/>
      </c>
    </row>
    <row r="215" spans="1:23" ht="15" customHeight="1">
      <c r="A215" s="2"/>
      <c r="B215" s="2"/>
      <c r="C215" s="2"/>
      <c r="D215" s="4" t="str">
        <f>IF(C215="","",VLOOKUP(C215,Referentie!$A$2:$B$19,2,0))</f>
        <v/>
      </c>
      <c r="E215" s="7"/>
      <c r="F215" s="4"/>
      <c r="G215" s="4"/>
      <c r="H215" s="4"/>
      <c r="I215" s="4"/>
      <c r="J215" s="4"/>
      <c r="K215" s="4"/>
      <c r="L215" s="4"/>
      <c r="M215" s="4"/>
      <c r="N215" s="4" t="str">
        <f>IF(M215="","",VLOOKUP(M215,Referentie!$G$2:$I$26,2,0))</f>
        <v/>
      </c>
      <c r="O215" s="4" t="str">
        <f>IF(M215="","",VLOOKUP(M215,Referentie!$G$2:$I$26,3,0))</f>
        <v/>
      </c>
      <c r="P215" s="4" t="str">
        <f t="shared" si="50"/>
        <v/>
      </c>
      <c r="Q215" s="4" t="str">
        <f t="shared" si="51"/>
        <v/>
      </c>
      <c r="R215" s="4" t="str">
        <f t="shared" si="52"/>
        <v/>
      </c>
      <c r="S215" s="4" t="str">
        <f t="shared" si="53"/>
        <v/>
      </c>
      <c r="T215" s="4" t="str">
        <f t="shared" si="48"/>
        <v/>
      </c>
      <c r="U215" s="4" t="str">
        <f t="shared" si="54"/>
        <v/>
      </c>
      <c r="V215" s="4" t="str">
        <f t="shared" si="49"/>
        <v/>
      </c>
      <c r="W215" s="69" t="str" cm="1">
        <f t="array" ref="W215">IF(A215="","", IF(COUNTIF(Referentie!$L$2:$L$21,A215)&lt;=1, "", IFERROR(INDEX(Referentie!$M$2:$M$21, MATCH(1,(Referentie!$L$2:$L$21=A215)*(Referentie!$N$2:$N$21=S215),0)), IF(S215="Bench","", "Geen match gevonden"))) )</f>
        <v/>
      </c>
    </row>
    <row r="216" spans="1:23" ht="15" customHeight="1">
      <c r="A216" s="2"/>
      <c r="B216" s="2"/>
      <c r="C216" s="2"/>
      <c r="D216" s="4" t="str">
        <f>IF(C216="","",VLOOKUP(C216,Referentie!$A$2:$B$19,2,0))</f>
        <v/>
      </c>
      <c r="E216" s="7"/>
      <c r="F216" s="4"/>
      <c r="G216" s="4"/>
      <c r="H216" s="4"/>
      <c r="I216" s="4"/>
      <c r="J216" s="4"/>
      <c r="K216" s="4"/>
      <c r="L216" s="4"/>
      <c r="M216" s="4"/>
      <c r="N216" s="4" t="str">
        <f>IF(M216="","",VLOOKUP(M216,Referentie!$G$2:$I$26,2,0))</f>
        <v/>
      </c>
      <c r="O216" s="4" t="str">
        <f>IF(M216="","",VLOOKUP(M216,Referentie!$G$2:$I$26,3,0))</f>
        <v/>
      </c>
      <c r="P216" s="4" t="str">
        <f t="shared" si="50"/>
        <v/>
      </c>
      <c r="Q216" s="4" t="str">
        <f t="shared" si="51"/>
        <v/>
      </c>
      <c r="R216" s="4" t="str">
        <f t="shared" si="52"/>
        <v/>
      </c>
      <c r="S216" s="4" t="str">
        <f t="shared" si="53"/>
        <v/>
      </c>
      <c r="T216" s="4" t="str">
        <f t="shared" si="48"/>
        <v/>
      </c>
      <c r="U216" s="4" t="str">
        <f t="shared" si="54"/>
        <v/>
      </c>
      <c r="V216" s="4" t="str">
        <f t="shared" si="49"/>
        <v/>
      </c>
      <c r="W216" s="69" t="str" cm="1">
        <f t="array" ref="W216">IF(A216="","", IF(COUNTIF(Referentie!$L$2:$L$21,A216)&lt;=1, "", IFERROR(INDEX(Referentie!$M$2:$M$21, MATCH(1,(Referentie!$L$2:$L$21=A216)*(Referentie!$N$2:$N$21=S216),0)), IF(S216="Bench","", "Geen match gevonden"))) )</f>
        <v/>
      </c>
    </row>
    <row r="217" spans="1:23" ht="15" customHeight="1">
      <c r="A217" s="2"/>
      <c r="B217" s="2"/>
      <c r="C217" s="2"/>
      <c r="D217" s="4" t="str">
        <f>IF(C217="","",VLOOKUP(C217,Referentie!$A$2:$B$19,2,0))</f>
        <v/>
      </c>
      <c r="E217" s="7"/>
      <c r="F217" s="4"/>
      <c r="G217" s="4"/>
      <c r="H217" s="4"/>
      <c r="I217" s="4"/>
      <c r="J217" s="4"/>
      <c r="K217" s="4"/>
      <c r="L217" s="4"/>
      <c r="M217" s="4"/>
      <c r="N217" s="4" t="str">
        <f>IF(M217="","",VLOOKUP(M217,Referentie!$G$2:$I$26,2,0))</f>
        <v/>
      </c>
      <c r="O217" s="4" t="str">
        <f>IF(M217="","",VLOOKUP(M217,Referentie!$G$2:$I$26,3,0))</f>
        <v/>
      </c>
      <c r="P217" s="4" t="str">
        <f t="shared" si="50"/>
        <v/>
      </c>
      <c r="Q217" s="4" t="str">
        <f t="shared" si="51"/>
        <v/>
      </c>
      <c r="R217" s="4" t="str">
        <f t="shared" si="52"/>
        <v/>
      </c>
      <c r="S217" s="4" t="str">
        <f t="shared" si="53"/>
        <v/>
      </c>
      <c r="T217" s="4" t="str">
        <f t="shared" si="48"/>
        <v/>
      </c>
      <c r="U217" s="4" t="str">
        <f t="shared" si="54"/>
        <v/>
      </c>
      <c r="V217" s="4" t="str">
        <f t="shared" si="49"/>
        <v/>
      </c>
      <c r="W217" s="69" t="str" cm="1">
        <f t="array" ref="W217">IF(A217="","", IF(COUNTIF(Referentie!$L$2:$L$21,A217)&lt;=1, "", IFERROR(INDEX(Referentie!$M$2:$M$21, MATCH(1,(Referentie!$L$2:$L$21=A217)*(Referentie!$N$2:$N$21=S217),0)), IF(S217="Bench","", "Geen match gevonden"))) )</f>
        <v/>
      </c>
    </row>
    <row r="218" spans="1:23" ht="15" customHeight="1">
      <c r="A218" s="2"/>
      <c r="B218" s="2"/>
      <c r="C218" s="2"/>
      <c r="D218" s="4" t="str">
        <f>IF(C218="","",VLOOKUP(C218,Referentie!$A$2:$B$19,2,0))</f>
        <v/>
      </c>
      <c r="E218" s="7"/>
      <c r="F218" s="4"/>
      <c r="G218" s="4"/>
      <c r="H218" s="4"/>
      <c r="I218" s="4"/>
      <c r="J218" s="4"/>
      <c r="K218" s="4"/>
      <c r="L218" s="4"/>
      <c r="M218" s="4"/>
      <c r="N218" s="4" t="str">
        <f>IF(M218="","",VLOOKUP(M218,Referentie!$G$2:$I$26,2,0))</f>
        <v/>
      </c>
      <c r="O218" s="4" t="str">
        <f>IF(M218="","",VLOOKUP(M218,Referentie!$G$2:$I$26,3,0))</f>
        <v/>
      </c>
      <c r="P218" s="4" t="str">
        <f t="shared" si="50"/>
        <v/>
      </c>
      <c r="Q218" s="4" t="str">
        <f t="shared" si="51"/>
        <v/>
      </c>
      <c r="R218" s="4" t="str">
        <f t="shared" si="52"/>
        <v/>
      </c>
      <c r="S218" s="4" t="str">
        <f t="shared" si="53"/>
        <v/>
      </c>
      <c r="T218" s="4" t="str">
        <f t="shared" si="48"/>
        <v/>
      </c>
      <c r="U218" s="4" t="str">
        <f t="shared" si="54"/>
        <v/>
      </c>
      <c r="V218" s="4" t="str">
        <f t="shared" si="49"/>
        <v/>
      </c>
      <c r="W218" s="69" t="str" cm="1">
        <f t="array" ref="W218">IF(A218="","", IF(COUNTIF(Referentie!$L$2:$L$21,A218)&lt;=1, "", IFERROR(INDEX(Referentie!$M$2:$M$21, MATCH(1,(Referentie!$L$2:$L$21=A218)*(Referentie!$N$2:$N$21=S218),0)), IF(S218="Bench","", "Geen match gevonden"))) )</f>
        <v/>
      </c>
    </row>
    <row r="219" spans="1:23" ht="15" customHeight="1">
      <c r="A219" s="2"/>
      <c r="B219" s="2"/>
      <c r="C219" s="2"/>
      <c r="D219" s="4" t="str">
        <f>IF(C219="","",VLOOKUP(C219,Referentie!$A$2:$B$19,2,0))</f>
        <v/>
      </c>
      <c r="E219" s="7"/>
      <c r="F219" s="4"/>
      <c r="G219" s="4"/>
      <c r="H219" s="4"/>
      <c r="I219" s="4"/>
      <c r="J219" s="4"/>
      <c r="K219" s="4"/>
      <c r="L219" s="4"/>
      <c r="M219" s="4"/>
      <c r="N219" s="4" t="str">
        <f>IF(M219="","",VLOOKUP(M219,Referentie!$G$2:$I$26,2,0))</f>
        <v/>
      </c>
      <c r="O219" s="4" t="str">
        <f>IF(M219="","",VLOOKUP(M219,Referentie!$G$2:$I$26,3,0))</f>
        <v/>
      </c>
      <c r="P219" s="4" t="str">
        <f t="shared" si="50"/>
        <v/>
      </c>
      <c r="Q219" s="4" t="str">
        <f t="shared" si="51"/>
        <v/>
      </c>
      <c r="R219" s="4" t="str">
        <f t="shared" si="52"/>
        <v/>
      </c>
      <c r="S219" s="4" t="str">
        <f t="shared" si="53"/>
        <v/>
      </c>
      <c r="T219" s="4" t="str">
        <f t="shared" si="48"/>
        <v/>
      </c>
      <c r="U219" s="4" t="str">
        <f t="shared" si="54"/>
        <v/>
      </c>
      <c r="V219" s="4" t="str">
        <f t="shared" si="49"/>
        <v/>
      </c>
      <c r="W219" s="69" t="str" cm="1">
        <f t="array" ref="W219">IF(A219="","", IF(COUNTIF(Referentie!$L$2:$L$21,A219)&lt;=1, "", IFERROR(INDEX(Referentie!$M$2:$M$21, MATCH(1,(Referentie!$L$2:$L$21=A219)*(Referentie!$N$2:$N$21=S219),0)), IF(S219="Bench","", "Geen match gevonden"))) )</f>
        <v/>
      </c>
    </row>
    <row r="220" spans="1:23" ht="15" customHeight="1">
      <c r="A220" s="2"/>
      <c r="B220" s="2"/>
      <c r="C220" s="2"/>
      <c r="D220" s="4" t="str">
        <f>IF(C220="","",VLOOKUP(C220,Referentie!$A$2:$B$19,2,0))</f>
        <v/>
      </c>
      <c r="E220" s="7"/>
      <c r="F220" s="4"/>
      <c r="G220" s="4"/>
      <c r="H220" s="4"/>
      <c r="I220" s="4"/>
      <c r="J220" s="4"/>
      <c r="K220" s="4"/>
      <c r="L220" s="4"/>
      <c r="M220" s="4"/>
      <c r="N220" s="4" t="str">
        <f>IF(M220="","",VLOOKUP(M220,Referentie!$G$2:$I$26,2,0))</f>
        <v/>
      </c>
      <c r="O220" s="4" t="str">
        <f>IF(M220="","",VLOOKUP(M220,Referentie!$G$2:$I$26,3,0))</f>
        <v/>
      </c>
      <c r="P220" s="4" t="str">
        <f t="shared" si="50"/>
        <v/>
      </c>
      <c r="Q220" s="4" t="str">
        <f t="shared" si="51"/>
        <v/>
      </c>
      <c r="R220" s="4" t="str">
        <f t="shared" si="52"/>
        <v/>
      </c>
      <c r="S220" s="4" t="str">
        <f t="shared" si="53"/>
        <v/>
      </c>
      <c r="T220" s="4" t="str">
        <f t="shared" si="48"/>
        <v/>
      </c>
      <c r="U220" s="4" t="str">
        <f t="shared" si="54"/>
        <v/>
      </c>
      <c r="V220" s="4" t="str">
        <f t="shared" si="49"/>
        <v/>
      </c>
      <c r="W220" s="69" t="str" cm="1">
        <f t="array" ref="W220">IF(A220="","", IF(COUNTIF(Referentie!$L$2:$L$21,A220)&lt;=1, "", IFERROR(INDEX(Referentie!$M$2:$M$21, MATCH(1,(Referentie!$L$2:$L$21=A220)*(Referentie!$N$2:$N$21=S220),0)), IF(S220="Bench","", "Geen match gevonden"))) )</f>
        <v/>
      </c>
    </row>
    <row r="221" spans="1:23" ht="15" customHeight="1">
      <c r="A221" s="2"/>
      <c r="B221" s="2"/>
      <c r="C221" s="2"/>
      <c r="D221" s="4" t="str">
        <f>IF(C221="","",VLOOKUP(C221,Referentie!$A$2:$B$19,2,0))</f>
        <v/>
      </c>
      <c r="E221" s="7"/>
      <c r="F221" s="4"/>
      <c r="G221" s="4"/>
      <c r="H221" s="4"/>
      <c r="I221" s="4"/>
      <c r="J221" s="4"/>
      <c r="K221" s="4"/>
      <c r="L221" s="4"/>
      <c r="M221" s="4"/>
      <c r="N221" s="4" t="str">
        <f>IF(M221="","",VLOOKUP(M221,Referentie!$G$2:$I$26,2,0))</f>
        <v/>
      </c>
      <c r="O221" s="4" t="str">
        <f>IF(M221="","",VLOOKUP(M221,Referentie!$G$2:$I$26,3,0))</f>
        <v/>
      </c>
      <c r="P221" s="4" t="str">
        <f t="shared" si="50"/>
        <v/>
      </c>
      <c r="Q221" s="4" t="str">
        <f t="shared" si="51"/>
        <v/>
      </c>
      <c r="R221" s="4" t="str">
        <f t="shared" si="52"/>
        <v/>
      </c>
      <c r="S221" s="4" t="str">
        <f t="shared" si="53"/>
        <v/>
      </c>
      <c r="T221" s="4" t="str">
        <f t="shared" si="48"/>
        <v/>
      </c>
      <c r="U221" s="4" t="str">
        <f t="shared" si="54"/>
        <v/>
      </c>
      <c r="V221" s="4" t="str">
        <f t="shared" si="49"/>
        <v/>
      </c>
      <c r="W221" s="69" t="str" cm="1">
        <f t="array" ref="W221">IF(A221="","", IF(COUNTIF(Referentie!$L$2:$L$21,A221)&lt;=1, "", IFERROR(INDEX(Referentie!$M$2:$M$21, MATCH(1,(Referentie!$L$2:$L$21=A221)*(Referentie!$N$2:$N$21=S221),0)), IF(S221="Bench","", "Geen match gevonden"))) )</f>
        <v/>
      </c>
    </row>
    <row r="222" spans="1:23" ht="15" customHeight="1">
      <c r="A222" s="2"/>
      <c r="B222" s="2"/>
      <c r="C222" s="2"/>
      <c r="D222" s="4" t="str">
        <f>IF(C222="","",VLOOKUP(C222,Referentie!$A$2:$B$19,2,0))</f>
        <v/>
      </c>
      <c r="E222" s="7"/>
      <c r="F222" s="4"/>
      <c r="G222" s="4"/>
      <c r="H222" s="4"/>
      <c r="I222" s="4"/>
      <c r="J222" s="4"/>
      <c r="K222" s="4"/>
      <c r="L222" s="4"/>
      <c r="M222" s="4"/>
      <c r="N222" s="4" t="str">
        <f>IF(M222="","",VLOOKUP(M222,Referentie!$G$2:$I$26,2,0))</f>
        <v/>
      </c>
      <c r="O222" s="4" t="str">
        <f>IF(M222="","",VLOOKUP(M222,Referentie!$G$2:$I$26,3,0))</f>
        <v/>
      </c>
      <c r="P222" s="4" t="str">
        <f t="shared" si="50"/>
        <v/>
      </c>
      <c r="Q222" s="4" t="str">
        <f t="shared" si="51"/>
        <v/>
      </c>
      <c r="R222" s="4" t="str">
        <f t="shared" si="52"/>
        <v/>
      </c>
      <c r="S222" s="4" t="str">
        <f t="shared" si="53"/>
        <v/>
      </c>
      <c r="T222" s="4" t="str">
        <f t="shared" si="48"/>
        <v/>
      </c>
      <c r="U222" s="4" t="str">
        <f t="shared" si="54"/>
        <v/>
      </c>
      <c r="V222" s="4" t="str">
        <f t="shared" si="49"/>
        <v/>
      </c>
      <c r="W222" s="69" t="str" cm="1">
        <f t="array" ref="W222">IF(A222="","", IF(COUNTIF(Referentie!$L$2:$L$21,A222)&lt;=1, "", IFERROR(INDEX(Referentie!$M$2:$M$21, MATCH(1,(Referentie!$L$2:$L$21=A222)*(Referentie!$N$2:$N$21=S222),0)), IF(S222="Bench","", "Geen match gevonden"))) )</f>
        <v/>
      </c>
    </row>
    <row r="223" spans="1:23" ht="15" customHeight="1">
      <c r="A223" s="2"/>
      <c r="B223" s="2"/>
      <c r="C223" s="2"/>
      <c r="D223" s="4" t="str">
        <f>IF(C223="","",VLOOKUP(C223,Referentie!$A$2:$B$19,2,0))</f>
        <v/>
      </c>
      <c r="E223" s="7"/>
      <c r="F223" s="4"/>
      <c r="G223" s="4"/>
      <c r="H223" s="4"/>
      <c r="I223" s="4"/>
      <c r="J223" s="4"/>
      <c r="K223" s="4"/>
      <c r="L223" s="4"/>
      <c r="M223" s="4"/>
      <c r="N223" s="4" t="str">
        <f>IF(M223="","",VLOOKUP(M223,Referentie!$G$2:$I$26,2,0))</f>
        <v/>
      </c>
      <c r="O223" s="4" t="str">
        <f>IF(M223="","",VLOOKUP(M223,Referentie!$G$2:$I$26,3,0))</f>
        <v/>
      </c>
      <c r="P223" s="4" t="str">
        <f t="shared" si="50"/>
        <v/>
      </c>
      <c r="Q223" s="4" t="str">
        <f t="shared" si="51"/>
        <v/>
      </c>
      <c r="R223" s="4" t="str">
        <f t="shared" si="52"/>
        <v/>
      </c>
      <c r="S223" s="4" t="str">
        <f t="shared" si="53"/>
        <v/>
      </c>
      <c r="T223" s="4" t="str">
        <f t="shared" si="48"/>
        <v/>
      </c>
      <c r="U223" s="4" t="str">
        <f t="shared" si="54"/>
        <v/>
      </c>
      <c r="V223" s="4" t="str">
        <f t="shared" si="49"/>
        <v/>
      </c>
      <c r="W223" s="69" t="str" cm="1">
        <f t="array" ref="W223">IF(A223="","", IF(COUNTIF(Referentie!$L$2:$L$21,A223)&lt;=1, "", IFERROR(INDEX(Referentie!$M$2:$M$21, MATCH(1,(Referentie!$L$2:$L$21=A223)*(Referentie!$N$2:$N$21=S223),0)), IF(S223="Bench","", "Geen match gevonden"))) )</f>
        <v/>
      </c>
    </row>
    <row r="224" spans="1:23" ht="15" customHeight="1">
      <c r="A224" s="2"/>
      <c r="B224" s="2"/>
      <c r="C224" s="2"/>
      <c r="D224" s="4" t="str">
        <f>IF(C224="","",VLOOKUP(C224,Referentie!$A$2:$B$19,2,0))</f>
        <v/>
      </c>
      <c r="E224" s="7"/>
      <c r="F224" s="4"/>
      <c r="G224" s="4"/>
      <c r="H224" s="4"/>
      <c r="I224" s="4"/>
      <c r="J224" s="4"/>
      <c r="K224" s="4"/>
      <c r="L224" s="4"/>
      <c r="M224" s="4"/>
      <c r="N224" s="4" t="str">
        <f>IF(M224="","",VLOOKUP(M224,Referentie!$G$2:$I$26,2,0))</f>
        <v/>
      </c>
      <c r="O224" s="4" t="str">
        <f>IF(M224="","",VLOOKUP(M224,Referentie!$G$2:$I$26,3,0))</f>
        <v/>
      </c>
      <c r="P224" s="4" t="str">
        <f t="shared" si="50"/>
        <v/>
      </c>
      <c r="Q224" s="4" t="str">
        <f t="shared" si="51"/>
        <v/>
      </c>
      <c r="R224" s="4" t="str">
        <f t="shared" si="52"/>
        <v/>
      </c>
      <c r="S224" s="4" t="str">
        <f t="shared" si="53"/>
        <v/>
      </c>
      <c r="T224" s="4" t="str">
        <f t="shared" si="48"/>
        <v/>
      </c>
      <c r="U224" s="4" t="str">
        <f t="shared" si="54"/>
        <v/>
      </c>
      <c r="V224" s="4" t="str">
        <f t="shared" si="49"/>
        <v/>
      </c>
      <c r="W224" s="69" t="str" cm="1">
        <f t="array" ref="W224">IF(A224="","", IF(COUNTIF(Referentie!$L$2:$L$21,A224)&lt;=1, "", IFERROR(INDEX(Referentie!$M$2:$M$21, MATCH(1,(Referentie!$L$2:$L$21=A224)*(Referentie!$N$2:$N$21=S224),0)), IF(S224="Bench","", "Geen match gevonden"))) )</f>
        <v/>
      </c>
    </row>
    <row r="225" spans="1:23" ht="15" customHeight="1">
      <c r="A225" s="2"/>
      <c r="B225" s="2"/>
      <c r="C225" s="2"/>
      <c r="D225" s="4" t="str">
        <f>IF(C225="","",VLOOKUP(C225,Referentie!$A$2:$B$19,2,0))</f>
        <v/>
      </c>
      <c r="E225" s="7"/>
      <c r="F225" s="4"/>
      <c r="G225" s="4"/>
      <c r="H225" s="4"/>
      <c r="I225" s="4"/>
      <c r="J225" s="4"/>
      <c r="K225" s="4"/>
      <c r="L225" s="4"/>
      <c r="M225" s="4"/>
      <c r="N225" s="4" t="str">
        <f>IF(M225="","",VLOOKUP(M225,Referentie!$G$2:$I$26,2,0))</f>
        <v/>
      </c>
      <c r="O225" s="4" t="str">
        <f>IF(M225="","",VLOOKUP(M225,Referentie!$G$2:$I$26,3,0))</f>
        <v/>
      </c>
      <c r="P225" s="4" t="str">
        <f t="shared" si="50"/>
        <v/>
      </c>
      <c r="Q225" s="4" t="str">
        <f t="shared" si="51"/>
        <v/>
      </c>
      <c r="R225" s="4" t="str">
        <f t="shared" si="52"/>
        <v/>
      </c>
      <c r="S225" s="4" t="str">
        <f t="shared" si="53"/>
        <v/>
      </c>
      <c r="T225" s="4" t="str">
        <f t="shared" si="48"/>
        <v/>
      </c>
      <c r="U225" s="4" t="str">
        <f t="shared" si="54"/>
        <v/>
      </c>
      <c r="V225" s="4" t="str">
        <f t="shared" si="49"/>
        <v/>
      </c>
      <c r="W225" s="69" t="str" cm="1">
        <f t="array" ref="W225">IF(A225="","", IF(COUNTIF(Referentie!$L$2:$L$21,A225)&lt;=1, "", IFERROR(INDEX(Referentie!$M$2:$M$21, MATCH(1,(Referentie!$L$2:$L$21=A225)*(Referentie!$N$2:$N$21=S225),0)), IF(S225="Bench","", "Geen match gevonden"))) )</f>
        <v/>
      </c>
    </row>
    <row r="226" spans="1:23" ht="15" customHeight="1">
      <c r="A226" s="2"/>
      <c r="B226" s="2"/>
      <c r="C226" s="2"/>
      <c r="D226" s="4" t="str">
        <f>IF(C226="","",VLOOKUP(C226,Referentie!$A$2:$B$19,2,0))</f>
        <v/>
      </c>
      <c r="E226" s="7"/>
      <c r="F226" s="4"/>
      <c r="G226" s="4"/>
      <c r="H226" s="4"/>
      <c r="I226" s="4"/>
      <c r="J226" s="4"/>
      <c r="K226" s="4"/>
      <c r="L226" s="4"/>
      <c r="M226" s="4"/>
      <c r="N226" s="4" t="str">
        <f>IF(M226="","",VLOOKUP(M226,Referentie!$G$2:$I$26,2,0))</f>
        <v/>
      </c>
      <c r="O226" s="4" t="str">
        <f>IF(M226="","",VLOOKUP(M226,Referentie!$G$2:$I$26,3,0))</f>
        <v/>
      </c>
      <c r="P226" s="4" t="str">
        <f t="shared" si="50"/>
        <v/>
      </c>
      <c r="Q226" s="4" t="str">
        <f t="shared" si="51"/>
        <v/>
      </c>
      <c r="R226" s="4" t="str">
        <f t="shared" si="52"/>
        <v/>
      </c>
      <c r="S226" s="4" t="str">
        <f t="shared" si="53"/>
        <v/>
      </c>
      <c r="T226" s="4" t="str">
        <f t="shared" si="48"/>
        <v/>
      </c>
      <c r="U226" s="4" t="str">
        <f t="shared" si="54"/>
        <v/>
      </c>
      <c r="V226" s="4" t="str">
        <f t="shared" si="49"/>
        <v/>
      </c>
      <c r="W226" s="69" t="str" cm="1">
        <f t="array" ref="W226">IF(A226="","", IF(COUNTIF(Referentie!$L$2:$L$21,A226)&lt;=1, "", IFERROR(INDEX(Referentie!$M$2:$M$21, MATCH(1,(Referentie!$L$2:$L$21=A226)*(Referentie!$N$2:$N$21=S226),0)), IF(S226="Bench","", "Geen match gevonden"))) )</f>
        <v/>
      </c>
    </row>
    <row r="227" spans="1:23" ht="15" customHeight="1">
      <c r="A227" s="2"/>
      <c r="B227" s="2"/>
      <c r="C227" s="2"/>
      <c r="D227" s="4" t="str">
        <f>IF(C227="","",VLOOKUP(C227,Referentie!$A$2:$B$19,2,0))</f>
        <v/>
      </c>
      <c r="E227" s="7"/>
      <c r="F227" s="4"/>
      <c r="G227" s="4"/>
      <c r="H227" s="4"/>
      <c r="I227" s="4"/>
      <c r="J227" s="4"/>
      <c r="K227" s="4"/>
      <c r="L227" s="4"/>
      <c r="M227" s="4"/>
      <c r="N227" s="4" t="str">
        <f>IF(M227="","",VLOOKUP(M227,Referentie!$G$2:$I$26,2,0))</f>
        <v/>
      </c>
      <c r="O227" s="4" t="str">
        <f>IF(M227="","",VLOOKUP(M227,Referentie!$G$2:$I$26,3,0))</f>
        <v/>
      </c>
      <c r="P227" s="4" t="str">
        <f t="shared" ref="P227:P250" si="55">IF(A227="","", (IF(N227="Speed of Help",2,0)) + (IF(O227="Speed of Help",-2,0)) + (IF(N227="EXP Gains",1,0)) + (IF(O227="EXP Gains",-1,0)) + (COUNTIF(H227:L227,"Helping Speed S")*1) + (COUNTIF(H227:L227,"Helping Speed M")*2) + (COUNTIF(H227:L227,"Berry Finding S")*2) + (COUNTIF(H227:L227,"Helping Bonus")*1) + (IF(O227="Ingredient Finding",0,0)) + (IF(O227="Main Skill Chance",0,0)) )</f>
        <v/>
      </c>
      <c r="Q227" s="4" t="str">
        <f t="shared" ref="Q227:Q250" si="56">IF(A227="","", (IF(N227="Ingredient Finding",2,0)) + (IF(O227="Ingredient Finding",-2,0)) + (IF(N227="EXP Gains",1,0)) + (IF(O227="EXP Gains",-1,0)) + (COUNTIF(H227:L227,"Ingredient Finder S")*1) + (COUNTIF(H227:L227,"Ingredient Finder M")*2) + (COUNTIF(H227:L227,"Inventory Up S")*0.5) + (COUNTIF(H227:L227,"Inventory Up M")*1) + (COUNTIF(H227:L227,"Inventory Up L")*1.5) + (IF(E227=F227,1,0)) + (IF(F227=G227,1,0)) )</f>
        <v/>
      </c>
      <c r="R227" s="4" t="str">
        <f t="shared" ref="R227:R250" si="57">IF(A227="","", (IF(N227="Main Skill Chance",2,0)) + (IF(O227="Main Skill Chance",-2,0)) + (IF(N227="EXP Gains",1,0)) + (IF(O227="EXP Gains",-1,0)) + (COUNTIF(H227:L227,"Skill Trigger S")*1) + (COUNTIF(H227:L227,"Skill Trigger M")*2) + (COUNTIF(H227:L227,"Skill Level Up S")*1) + (COUNTIF(H227:L227,"Skill Level Up M")*2) + (COUNTIF(H227:L227,"Energy Recovery Bonus")*1.5) + (COUNTIF(H227:L227,"Sleep EXP Bonus")*1) + (COUNTIF(H227:L227,"Research EXP Bonus")*1) )</f>
        <v/>
      </c>
      <c r="S227" s="4" t="str">
        <f t="shared" ref="S227:S250" si="58">IF(A227="","", IF(AND(P227&lt;=1, Q227&lt;=1, R227&lt;=1), "Bench", IF(AND(P227&gt;=Q227, P227&gt;=R227), "Berry", IF(AND(Q227&gt;=P227, Q227&gt;=R227), "Ingredient", "Skill"))) )</f>
        <v/>
      </c>
      <c r="T227" s="4" t="str">
        <f t="shared" si="48"/>
        <v/>
      </c>
      <c r="U227" s="4" t="str">
        <f t="shared" ref="U227:U250" si="59">IF(A227="","", IF(T227&gt;=7, "⭐ Keep", IF(T227&gt;=5, "📈 Level Up", IF(T227&gt;=3, "🤔 Bench", "❌ Transfer"))) )</f>
        <v/>
      </c>
      <c r="V227" s="4" t="str">
        <f t="shared" si="49"/>
        <v/>
      </c>
      <c r="W227" s="69" t="str" cm="1">
        <f t="array" ref="W227">IF(A227="","", IF(COUNTIF(Referentie!$L$2:$L$21,A227)&lt;=1, "", IFERROR(INDEX(Referentie!$M$2:$M$21, MATCH(1,(Referentie!$L$2:$L$21=A227)*(Referentie!$N$2:$N$21=S227),0)), IF(S227="Bench","", "Geen match gevonden"))) )</f>
        <v/>
      </c>
    </row>
    <row r="228" spans="1:23" ht="15" customHeight="1">
      <c r="A228" s="2"/>
      <c r="B228" s="2"/>
      <c r="C228" s="2"/>
      <c r="D228" s="4" t="str">
        <f>IF(C228="","",VLOOKUP(C228,Referentie!$A$2:$B$19,2,0))</f>
        <v/>
      </c>
      <c r="E228" s="7"/>
      <c r="F228" s="4"/>
      <c r="G228" s="4"/>
      <c r="H228" s="4"/>
      <c r="I228" s="4"/>
      <c r="J228" s="4"/>
      <c r="K228" s="4"/>
      <c r="L228" s="4"/>
      <c r="M228" s="4"/>
      <c r="N228" s="4" t="str">
        <f>IF(M228="","",VLOOKUP(M228,Referentie!$G$2:$I$26,2,0))</f>
        <v/>
      </c>
      <c r="O228" s="4" t="str">
        <f>IF(M228="","",VLOOKUP(M228,Referentie!$G$2:$I$26,3,0))</f>
        <v/>
      </c>
      <c r="P228" s="4" t="str">
        <f t="shared" si="55"/>
        <v/>
      </c>
      <c r="Q228" s="4" t="str">
        <f t="shared" si="56"/>
        <v/>
      </c>
      <c r="R228" s="4" t="str">
        <f t="shared" si="57"/>
        <v/>
      </c>
      <c r="S228" s="4" t="str">
        <f t="shared" si="58"/>
        <v/>
      </c>
      <c r="T228" s="4" t="str">
        <f t="shared" si="48"/>
        <v/>
      </c>
      <c r="U228" s="4" t="str">
        <f t="shared" si="59"/>
        <v/>
      </c>
      <c r="V228" s="4" t="str">
        <f t="shared" si="49"/>
        <v/>
      </c>
      <c r="W228" s="69" t="str" cm="1">
        <f t="array" ref="W228">IF(A228="","", IF(COUNTIF(Referentie!$L$2:$L$21,A228)&lt;=1, "", IFERROR(INDEX(Referentie!$M$2:$M$21, MATCH(1,(Referentie!$L$2:$L$21=A228)*(Referentie!$N$2:$N$21=S228),0)), IF(S228="Bench","", "Geen match gevonden"))) )</f>
        <v/>
      </c>
    </row>
    <row r="229" spans="1:23" ht="15" customHeight="1">
      <c r="A229" s="2"/>
      <c r="B229" s="2"/>
      <c r="C229" s="2"/>
      <c r="D229" s="4" t="str">
        <f>IF(C229="","",VLOOKUP(C229,Referentie!$A$2:$B$19,2,0))</f>
        <v/>
      </c>
      <c r="E229" s="7"/>
      <c r="F229" s="4"/>
      <c r="G229" s="4"/>
      <c r="H229" s="4"/>
      <c r="I229" s="4"/>
      <c r="J229" s="4"/>
      <c r="K229" s="4"/>
      <c r="L229" s="4"/>
      <c r="M229" s="4"/>
      <c r="N229" s="4" t="str">
        <f>IF(M229="","",VLOOKUP(M229,Referentie!$G$2:$I$26,2,0))</f>
        <v/>
      </c>
      <c r="O229" s="4" t="str">
        <f>IF(M229="","",VLOOKUP(M229,Referentie!$G$2:$I$26,3,0))</f>
        <v/>
      </c>
      <c r="P229" s="4" t="str">
        <f t="shared" si="55"/>
        <v/>
      </c>
      <c r="Q229" s="4" t="str">
        <f t="shared" si="56"/>
        <v/>
      </c>
      <c r="R229" s="4" t="str">
        <f t="shared" si="57"/>
        <v/>
      </c>
      <c r="S229" s="4" t="str">
        <f t="shared" si="58"/>
        <v/>
      </c>
      <c r="T229" s="4" t="str">
        <f t="shared" si="48"/>
        <v/>
      </c>
      <c r="U229" s="4" t="str">
        <f t="shared" si="59"/>
        <v/>
      </c>
      <c r="V229" s="4" t="str">
        <f t="shared" si="49"/>
        <v/>
      </c>
      <c r="W229" s="69" t="str" cm="1">
        <f t="array" ref="W229">IF(A229="","", IF(COUNTIF(Referentie!$L$2:$L$21,A229)&lt;=1, "", IFERROR(INDEX(Referentie!$M$2:$M$21, MATCH(1,(Referentie!$L$2:$L$21=A229)*(Referentie!$N$2:$N$21=S229),0)), IF(S229="Bench","", "Geen match gevonden"))) )</f>
        <v/>
      </c>
    </row>
    <row r="230" spans="1:23" ht="15" customHeight="1">
      <c r="A230" s="2"/>
      <c r="B230" s="2"/>
      <c r="C230" s="2"/>
      <c r="D230" s="4" t="str">
        <f>IF(C230="","",VLOOKUP(C230,Referentie!$A$2:$B$19,2,0))</f>
        <v/>
      </c>
      <c r="E230" s="7"/>
      <c r="F230" s="4"/>
      <c r="G230" s="4"/>
      <c r="H230" s="4"/>
      <c r="I230" s="4"/>
      <c r="J230" s="4"/>
      <c r="K230" s="4"/>
      <c r="L230" s="4"/>
      <c r="M230" s="4"/>
      <c r="N230" s="4" t="str">
        <f>IF(M230="","",VLOOKUP(M230,Referentie!$G$2:$I$26,2,0))</f>
        <v/>
      </c>
      <c r="O230" s="4" t="str">
        <f>IF(M230="","",VLOOKUP(M230,Referentie!$G$2:$I$26,3,0))</f>
        <v/>
      </c>
      <c r="P230" s="4" t="str">
        <f t="shared" si="55"/>
        <v/>
      </c>
      <c r="Q230" s="4" t="str">
        <f t="shared" si="56"/>
        <v/>
      </c>
      <c r="R230" s="4" t="str">
        <f t="shared" si="57"/>
        <v/>
      </c>
      <c r="S230" s="4" t="str">
        <f t="shared" si="58"/>
        <v/>
      </c>
      <c r="T230" s="4" t="str">
        <f t="shared" si="48"/>
        <v/>
      </c>
      <c r="U230" s="4" t="str">
        <f t="shared" si="59"/>
        <v/>
      </c>
      <c r="V230" s="4" t="str">
        <f t="shared" si="49"/>
        <v/>
      </c>
      <c r="W230" s="69" t="str" cm="1">
        <f t="array" ref="W230">IF(A230="","", IF(COUNTIF(Referentie!$L$2:$L$21,A230)&lt;=1, "", IFERROR(INDEX(Referentie!$M$2:$M$21, MATCH(1,(Referentie!$L$2:$L$21=A230)*(Referentie!$N$2:$N$21=S230),0)), IF(S230="Bench","", "Geen match gevonden"))) )</f>
        <v/>
      </c>
    </row>
    <row r="231" spans="1:23" ht="15" customHeight="1">
      <c r="A231" s="2"/>
      <c r="B231" s="2"/>
      <c r="C231" s="2"/>
      <c r="D231" s="4" t="str">
        <f>IF(C231="","",VLOOKUP(C231,Referentie!$A$2:$B$19,2,0))</f>
        <v/>
      </c>
      <c r="E231" s="7"/>
      <c r="F231" s="4"/>
      <c r="G231" s="4"/>
      <c r="H231" s="4"/>
      <c r="I231" s="4"/>
      <c r="J231" s="4"/>
      <c r="K231" s="4"/>
      <c r="L231" s="4"/>
      <c r="M231" s="4"/>
      <c r="N231" s="4" t="str">
        <f>IF(M231="","",VLOOKUP(M231,Referentie!$G$2:$I$26,2,0))</f>
        <v/>
      </c>
      <c r="O231" s="4" t="str">
        <f>IF(M231="","",VLOOKUP(M231,Referentie!$G$2:$I$26,3,0))</f>
        <v/>
      </c>
      <c r="P231" s="4" t="str">
        <f t="shared" si="55"/>
        <v/>
      </c>
      <c r="Q231" s="4" t="str">
        <f t="shared" si="56"/>
        <v/>
      </c>
      <c r="R231" s="4" t="str">
        <f t="shared" si="57"/>
        <v/>
      </c>
      <c r="S231" s="4" t="str">
        <f t="shared" si="58"/>
        <v/>
      </c>
      <c r="T231" s="4" t="str">
        <f t="shared" si="48"/>
        <v/>
      </c>
      <c r="U231" s="4" t="str">
        <f t="shared" si="59"/>
        <v/>
      </c>
      <c r="V231" s="4" t="str">
        <f t="shared" si="49"/>
        <v/>
      </c>
      <c r="W231" s="69" t="str" cm="1">
        <f t="array" ref="W231">IF(A231="","", IF(COUNTIF(Referentie!$L$2:$L$21,A231)&lt;=1, "", IFERROR(INDEX(Referentie!$M$2:$M$21, MATCH(1,(Referentie!$L$2:$L$21=A231)*(Referentie!$N$2:$N$21=S231),0)), IF(S231="Bench","", "Geen match gevonden"))) )</f>
        <v/>
      </c>
    </row>
    <row r="232" spans="1:23" ht="15" customHeight="1">
      <c r="A232" s="2"/>
      <c r="B232" s="2"/>
      <c r="C232" s="2"/>
      <c r="D232" s="4" t="str">
        <f>IF(C232="","",VLOOKUP(C232,Referentie!$A$2:$B$19,2,0))</f>
        <v/>
      </c>
      <c r="E232" s="7"/>
      <c r="F232" s="4"/>
      <c r="G232" s="4"/>
      <c r="H232" s="4"/>
      <c r="I232" s="4"/>
      <c r="J232" s="4"/>
      <c r="K232" s="4"/>
      <c r="L232" s="4"/>
      <c r="M232" s="4"/>
      <c r="N232" s="4" t="str">
        <f>IF(M232="","",VLOOKUP(M232,Referentie!$G$2:$I$26,2,0))</f>
        <v/>
      </c>
      <c r="O232" s="4" t="str">
        <f>IF(M232="","",VLOOKUP(M232,Referentie!$G$2:$I$26,3,0))</f>
        <v/>
      </c>
      <c r="P232" s="4" t="str">
        <f t="shared" si="55"/>
        <v/>
      </c>
      <c r="Q232" s="4" t="str">
        <f t="shared" si="56"/>
        <v/>
      </c>
      <c r="R232" s="4" t="str">
        <f t="shared" si="57"/>
        <v/>
      </c>
      <c r="S232" s="4" t="str">
        <f t="shared" si="58"/>
        <v/>
      </c>
      <c r="T232" s="4" t="str">
        <f t="shared" si="48"/>
        <v/>
      </c>
      <c r="U232" s="4" t="str">
        <f t="shared" si="59"/>
        <v/>
      </c>
      <c r="V232" s="4" t="str">
        <f t="shared" si="49"/>
        <v/>
      </c>
      <c r="W232" s="69" t="str" cm="1">
        <f t="array" ref="W232">IF(A232="","", IF(COUNTIF(Referentie!$L$2:$L$21,A232)&lt;=1, "", IFERROR(INDEX(Referentie!$M$2:$M$21, MATCH(1,(Referentie!$L$2:$L$21=A232)*(Referentie!$N$2:$N$21=S232),0)), IF(S232="Bench","", "Geen match gevonden"))) )</f>
        <v/>
      </c>
    </row>
    <row r="233" spans="1:23" ht="15" customHeight="1">
      <c r="A233" s="2"/>
      <c r="B233" s="2"/>
      <c r="C233" s="2"/>
      <c r="D233" s="4" t="str">
        <f>IF(C233="","",VLOOKUP(C233,Referentie!$A$2:$B$19,2,0))</f>
        <v/>
      </c>
      <c r="E233" s="7"/>
      <c r="F233" s="4"/>
      <c r="G233" s="4"/>
      <c r="H233" s="4"/>
      <c r="I233" s="4"/>
      <c r="J233" s="4"/>
      <c r="K233" s="4"/>
      <c r="L233" s="4"/>
      <c r="M233" s="4"/>
      <c r="N233" s="4" t="str">
        <f>IF(M233="","",VLOOKUP(M233,Referentie!$G$2:$I$26,2,0))</f>
        <v/>
      </c>
      <c r="O233" s="4" t="str">
        <f>IF(M233="","",VLOOKUP(M233,Referentie!$G$2:$I$26,3,0))</f>
        <v/>
      </c>
      <c r="P233" s="4" t="str">
        <f t="shared" si="55"/>
        <v/>
      </c>
      <c r="Q233" s="4" t="str">
        <f t="shared" si="56"/>
        <v/>
      </c>
      <c r="R233" s="4" t="str">
        <f t="shared" si="57"/>
        <v/>
      </c>
      <c r="S233" s="4" t="str">
        <f t="shared" si="58"/>
        <v/>
      </c>
      <c r="T233" s="4" t="str">
        <f t="shared" si="48"/>
        <v/>
      </c>
      <c r="U233" s="4" t="str">
        <f t="shared" si="59"/>
        <v/>
      </c>
      <c r="V233" s="4" t="str">
        <f t="shared" si="49"/>
        <v/>
      </c>
      <c r="W233" s="69" t="str" cm="1">
        <f t="array" ref="W233">IF(A233="","", IF(COUNTIF(Referentie!$L$2:$L$21,A233)&lt;=1, "", IFERROR(INDEX(Referentie!$M$2:$M$21, MATCH(1,(Referentie!$L$2:$L$21=A233)*(Referentie!$N$2:$N$21=S233),0)), IF(S233="Bench","", "Geen match gevonden"))) )</f>
        <v/>
      </c>
    </row>
    <row r="234" spans="1:23" ht="15" customHeight="1">
      <c r="A234" s="2"/>
      <c r="B234" s="2"/>
      <c r="C234" s="2"/>
      <c r="D234" s="4" t="str">
        <f>IF(C234="","",VLOOKUP(C234,Referentie!$A$2:$B$19,2,0))</f>
        <v/>
      </c>
      <c r="E234" s="7"/>
      <c r="F234" s="4"/>
      <c r="G234" s="4"/>
      <c r="H234" s="4"/>
      <c r="I234" s="4"/>
      <c r="J234" s="4"/>
      <c r="K234" s="4"/>
      <c r="L234" s="4"/>
      <c r="M234" s="4"/>
      <c r="N234" s="4" t="str">
        <f>IF(M234="","",VLOOKUP(M234,Referentie!$G$2:$I$26,2,0))</f>
        <v/>
      </c>
      <c r="O234" s="4" t="str">
        <f>IF(M234="","",VLOOKUP(M234,Referentie!$G$2:$I$26,3,0))</f>
        <v/>
      </c>
      <c r="P234" s="4" t="str">
        <f t="shared" si="55"/>
        <v/>
      </c>
      <c r="Q234" s="4" t="str">
        <f t="shared" si="56"/>
        <v/>
      </c>
      <c r="R234" s="4" t="str">
        <f t="shared" si="57"/>
        <v/>
      </c>
      <c r="S234" s="4" t="str">
        <f t="shared" si="58"/>
        <v/>
      </c>
      <c r="T234" s="4" t="str">
        <f t="shared" si="48"/>
        <v/>
      </c>
      <c r="U234" s="4" t="str">
        <f t="shared" si="59"/>
        <v/>
      </c>
      <c r="V234" s="4" t="str">
        <f t="shared" si="49"/>
        <v/>
      </c>
      <c r="W234" s="69" t="str" cm="1">
        <f t="array" ref="W234">IF(A234="","", IF(COUNTIF(Referentie!$L$2:$L$21,A234)&lt;=1, "", IFERROR(INDEX(Referentie!$M$2:$M$21, MATCH(1,(Referentie!$L$2:$L$21=A234)*(Referentie!$N$2:$N$21=S234),0)), IF(S234="Bench","", "Geen match gevonden"))) )</f>
        <v/>
      </c>
    </row>
    <row r="235" spans="1:23" ht="15" customHeight="1">
      <c r="A235" s="2"/>
      <c r="B235" s="2"/>
      <c r="C235" s="2"/>
      <c r="D235" s="4" t="str">
        <f>IF(C235="","",VLOOKUP(C235,Referentie!$A$2:$B$19,2,0))</f>
        <v/>
      </c>
      <c r="E235" s="7"/>
      <c r="F235" s="4"/>
      <c r="G235" s="4"/>
      <c r="H235" s="4"/>
      <c r="I235" s="4"/>
      <c r="J235" s="4"/>
      <c r="K235" s="4"/>
      <c r="L235" s="4"/>
      <c r="M235" s="4"/>
      <c r="N235" s="4" t="str">
        <f>IF(M235="","",VLOOKUP(M235,Referentie!$G$2:$I$26,2,0))</f>
        <v/>
      </c>
      <c r="O235" s="4" t="str">
        <f>IF(M235="","",VLOOKUP(M235,Referentie!$G$2:$I$26,3,0))</f>
        <v/>
      </c>
      <c r="P235" s="4" t="str">
        <f t="shared" si="55"/>
        <v/>
      </c>
      <c r="Q235" s="4" t="str">
        <f t="shared" si="56"/>
        <v/>
      </c>
      <c r="R235" s="4" t="str">
        <f t="shared" si="57"/>
        <v/>
      </c>
      <c r="S235" s="4" t="str">
        <f t="shared" si="58"/>
        <v/>
      </c>
      <c r="T235" s="4" t="str">
        <f t="shared" si="48"/>
        <v/>
      </c>
      <c r="U235" s="4" t="str">
        <f t="shared" si="59"/>
        <v/>
      </c>
      <c r="V235" s="4" t="str">
        <f t="shared" si="49"/>
        <v/>
      </c>
      <c r="W235" s="69" t="str" cm="1">
        <f t="array" ref="W235">IF(A235="","", IF(COUNTIF(Referentie!$L$2:$L$21,A235)&lt;=1, "", IFERROR(INDEX(Referentie!$M$2:$M$21, MATCH(1,(Referentie!$L$2:$L$21=A235)*(Referentie!$N$2:$N$21=S235),0)), IF(S235="Bench","", "Geen match gevonden"))) )</f>
        <v/>
      </c>
    </row>
    <row r="236" spans="1:23" ht="15" customHeight="1">
      <c r="A236" s="2"/>
      <c r="B236" s="2"/>
      <c r="C236" s="2"/>
      <c r="D236" s="4" t="str">
        <f>IF(C236="","",VLOOKUP(C236,Referentie!$A$2:$B$19,2,0))</f>
        <v/>
      </c>
      <c r="E236" s="7"/>
      <c r="F236" s="4"/>
      <c r="G236" s="4"/>
      <c r="H236" s="4"/>
      <c r="I236" s="4"/>
      <c r="J236" s="4"/>
      <c r="K236" s="4"/>
      <c r="L236" s="4"/>
      <c r="M236" s="4"/>
      <c r="N236" s="4" t="str">
        <f>IF(M236="","",VLOOKUP(M236,Referentie!$G$2:$I$26,2,0))</f>
        <v/>
      </c>
      <c r="O236" s="4" t="str">
        <f>IF(M236="","",VLOOKUP(M236,Referentie!$G$2:$I$26,3,0))</f>
        <v/>
      </c>
      <c r="P236" s="4" t="str">
        <f t="shared" si="55"/>
        <v/>
      </c>
      <c r="Q236" s="4" t="str">
        <f t="shared" si="56"/>
        <v/>
      </c>
      <c r="R236" s="4" t="str">
        <f t="shared" si="57"/>
        <v/>
      </c>
      <c r="S236" s="4" t="str">
        <f t="shared" si="58"/>
        <v/>
      </c>
      <c r="T236" s="4" t="str">
        <f t="shared" si="48"/>
        <v/>
      </c>
      <c r="U236" s="4" t="str">
        <f t="shared" si="59"/>
        <v/>
      </c>
      <c r="V236" s="4" t="str">
        <f t="shared" si="49"/>
        <v/>
      </c>
      <c r="W236" s="69" t="str" cm="1">
        <f t="array" ref="W236">IF(A236="","", IF(COUNTIF(Referentie!$L$2:$L$21,A236)&lt;=1, "", IFERROR(INDEX(Referentie!$M$2:$M$21, MATCH(1,(Referentie!$L$2:$L$21=A236)*(Referentie!$N$2:$N$21=S236),0)), IF(S236="Bench","", "Geen match gevonden"))) )</f>
        <v/>
      </c>
    </row>
    <row r="237" spans="1:23" ht="15" customHeight="1">
      <c r="A237" s="2"/>
      <c r="B237" s="2"/>
      <c r="C237" s="2"/>
      <c r="D237" s="4" t="str">
        <f>IF(C237="","",VLOOKUP(C237,Referentie!$A$2:$B$19,2,0))</f>
        <v/>
      </c>
      <c r="E237" s="7"/>
      <c r="F237" s="4"/>
      <c r="G237" s="4"/>
      <c r="H237" s="4"/>
      <c r="I237" s="4"/>
      <c r="J237" s="4"/>
      <c r="K237" s="4"/>
      <c r="L237" s="4"/>
      <c r="M237" s="4"/>
      <c r="N237" s="4" t="str">
        <f>IF(M237="","",VLOOKUP(M237,Referentie!$G$2:$I$26,2,0))</f>
        <v/>
      </c>
      <c r="O237" s="4" t="str">
        <f>IF(M237="","",VLOOKUP(M237,Referentie!$G$2:$I$26,3,0))</f>
        <v/>
      </c>
      <c r="P237" s="4" t="str">
        <f t="shared" si="55"/>
        <v/>
      </c>
      <c r="Q237" s="4" t="str">
        <f t="shared" si="56"/>
        <v/>
      </c>
      <c r="R237" s="4" t="str">
        <f t="shared" si="57"/>
        <v/>
      </c>
      <c r="S237" s="4" t="str">
        <f t="shared" si="58"/>
        <v/>
      </c>
      <c r="T237" s="4" t="str">
        <f t="shared" si="48"/>
        <v/>
      </c>
      <c r="U237" s="4" t="str">
        <f t="shared" si="59"/>
        <v/>
      </c>
      <c r="V237" s="4" t="str">
        <f t="shared" si="49"/>
        <v/>
      </c>
      <c r="W237" s="69" t="str" cm="1">
        <f t="array" ref="W237">IF(A237="","", IF(COUNTIF(Referentie!$L$2:$L$21,A237)&lt;=1, "", IFERROR(INDEX(Referentie!$M$2:$M$21, MATCH(1,(Referentie!$L$2:$L$21=A237)*(Referentie!$N$2:$N$21=S237),0)), IF(S237="Bench","", "Geen match gevonden"))) )</f>
        <v/>
      </c>
    </row>
    <row r="238" spans="1:23" ht="15" customHeight="1">
      <c r="A238" s="2"/>
      <c r="B238" s="2"/>
      <c r="C238" s="2"/>
      <c r="D238" s="4" t="str">
        <f>IF(C238="","",VLOOKUP(C238,Referentie!$A$2:$B$19,2,0))</f>
        <v/>
      </c>
      <c r="E238" s="7"/>
      <c r="F238" s="4"/>
      <c r="G238" s="4"/>
      <c r="H238" s="4"/>
      <c r="I238" s="4"/>
      <c r="J238" s="4"/>
      <c r="K238" s="4"/>
      <c r="L238" s="4"/>
      <c r="M238" s="4"/>
      <c r="N238" s="4" t="str">
        <f>IF(M238="","",VLOOKUP(M238,Referentie!$G$2:$I$26,2,0))</f>
        <v/>
      </c>
      <c r="O238" s="4" t="str">
        <f>IF(M238="","",VLOOKUP(M238,Referentie!$G$2:$I$26,3,0))</f>
        <v/>
      </c>
      <c r="P238" s="4" t="str">
        <f t="shared" si="55"/>
        <v/>
      </c>
      <c r="Q238" s="4" t="str">
        <f t="shared" si="56"/>
        <v/>
      </c>
      <c r="R238" s="4" t="str">
        <f t="shared" si="57"/>
        <v/>
      </c>
      <c r="S238" s="4" t="str">
        <f t="shared" si="58"/>
        <v/>
      </c>
      <c r="T238" s="4" t="str">
        <f t="shared" si="48"/>
        <v/>
      </c>
      <c r="U238" s="4" t="str">
        <f t="shared" si="59"/>
        <v/>
      </c>
      <c r="V238" s="4" t="str">
        <f t="shared" si="49"/>
        <v/>
      </c>
      <c r="W238" s="69" t="str" cm="1">
        <f t="array" ref="W238">IF(A238="","", IF(COUNTIF(Referentie!$L$2:$L$21,A238)&lt;=1, "", IFERROR(INDEX(Referentie!$M$2:$M$21, MATCH(1,(Referentie!$L$2:$L$21=A238)*(Referentie!$N$2:$N$21=S238),0)), IF(S238="Bench","", "Geen match gevonden"))) )</f>
        <v/>
      </c>
    </row>
    <row r="239" spans="1:23" ht="15" customHeight="1">
      <c r="A239" s="2"/>
      <c r="B239" s="2"/>
      <c r="C239" s="2"/>
      <c r="D239" s="4" t="str">
        <f>IF(C239="","",VLOOKUP(C239,Referentie!$A$2:$B$19,2,0))</f>
        <v/>
      </c>
      <c r="E239" s="7"/>
      <c r="F239" s="4"/>
      <c r="G239" s="4"/>
      <c r="H239" s="4"/>
      <c r="I239" s="4"/>
      <c r="J239" s="4"/>
      <c r="K239" s="4"/>
      <c r="L239" s="4"/>
      <c r="M239" s="4"/>
      <c r="N239" s="4" t="str">
        <f>IF(M239="","",VLOOKUP(M239,Referentie!$G$2:$I$26,2,0))</f>
        <v/>
      </c>
      <c r="O239" s="4" t="str">
        <f>IF(M239="","",VLOOKUP(M239,Referentie!$G$2:$I$26,3,0))</f>
        <v/>
      </c>
      <c r="P239" s="4" t="str">
        <f t="shared" si="55"/>
        <v/>
      </c>
      <c r="Q239" s="4" t="str">
        <f t="shared" si="56"/>
        <v/>
      </c>
      <c r="R239" s="4" t="str">
        <f t="shared" si="57"/>
        <v/>
      </c>
      <c r="S239" s="4" t="str">
        <f t="shared" si="58"/>
        <v/>
      </c>
      <c r="T239" s="4" t="str">
        <f t="shared" si="48"/>
        <v/>
      </c>
      <c r="U239" s="4" t="str">
        <f t="shared" si="59"/>
        <v/>
      </c>
      <c r="V239" s="4" t="str">
        <f t="shared" si="49"/>
        <v/>
      </c>
      <c r="W239" s="69" t="str" cm="1">
        <f t="array" ref="W239">IF(A239="","", IF(COUNTIF(Referentie!$L$2:$L$21,A239)&lt;=1, "", IFERROR(INDEX(Referentie!$M$2:$M$21, MATCH(1,(Referentie!$L$2:$L$21=A239)*(Referentie!$N$2:$N$21=S239),0)), IF(S239="Bench","", "Geen match gevonden"))) )</f>
        <v/>
      </c>
    </row>
    <row r="240" spans="1:23" ht="15" customHeight="1">
      <c r="A240" s="2"/>
      <c r="B240" s="2"/>
      <c r="C240" s="2"/>
      <c r="D240" s="4" t="str">
        <f>IF(C240="","",VLOOKUP(C240,Referentie!$A$2:$B$19,2,0))</f>
        <v/>
      </c>
      <c r="E240" s="7"/>
      <c r="F240" s="4"/>
      <c r="G240" s="4"/>
      <c r="H240" s="4"/>
      <c r="I240" s="4"/>
      <c r="J240" s="4"/>
      <c r="K240" s="4"/>
      <c r="L240" s="4"/>
      <c r="M240" s="4"/>
      <c r="N240" s="4" t="str">
        <f>IF(M240="","",VLOOKUP(M240,Referentie!$G$2:$I$26,2,0))</f>
        <v/>
      </c>
      <c r="O240" s="4" t="str">
        <f>IF(M240="","",VLOOKUP(M240,Referentie!$G$2:$I$26,3,0))</f>
        <v/>
      </c>
      <c r="P240" s="4" t="str">
        <f t="shared" si="55"/>
        <v/>
      </c>
      <c r="Q240" s="4" t="str">
        <f t="shared" si="56"/>
        <v/>
      </c>
      <c r="R240" s="4" t="str">
        <f t="shared" si="57"/>
        <v/>
      </c>
      <c r="S240" s="4" t="str">
        <f t="shared" si="58"/>
        <v/>
      </c>
      <c r="T240" s="4" t="str">
        <f t="shared" si="48"/>
        <v/>
      </c>
      <c r="U240" s="4" t="str">
        <f t="shared" si="59"/>
        <v/>
      </c>
      <c r="V240" s="4" t="str">
        <f t="shared" si="49"/>
        <v/>
      </c>
      <c r="W240" s="69" t="str" cm="1">
        <f t="array" ref="W240">IF(A240="","", IF(COUNTIF(Referentie!$L$2:$L$21,A240)&lt;=1, "", IFERROR(INDEX(Referentie!$M$2:$M$21, MATCH(1,(Referentie!$L$2:$L$21=A240)*(Referentie!$N$2:$N$21=S240),0)), IF(S240="Bench","", "Geen match gevonden"))) )</f>
        <v/>
      </c>
    </row>
    <row r="241" spans="1:23" ht="15" customHeight="1">
      <c r="A241" s="2"/>
      <c r="B241" s="2"/>
      <c r="C241" s="2"/>
      <c r="D241" s="4" t="str">
        <f>IF(C241="","",VLOOKUP(C241,Referentie!$A$2:$B$19,2,0))</f>
        <v/>
      </c>
      <c r="E241" s="7"/>
      <c r="F241" s="4"/>
      <c r="G241" s="4"/>
      <c r="H241" s="4"/>
      <c r="I241" s="4"/>
      <c r="J241" s="4"/>
      <c r="K241" s="4"/>
      <c r="L241" s="4"/>
      <c r="M241" s="4"/>
      <c r="N241" s="4" t="str">
        <f>IF(M241="","",VLOOKUP(M241,Referentie!$G$2:$I$26,2,0))</f>
        <v/>
      </c>
      <c r="O241" s="4" t="str">
        <f>IF(M241="","",VLOOKUP(M241,Referentie!$G$2:$I$26,3,0))</f>
        <v/>
      </c>
      <c r="P241" s="4" t="str">
        <f t="shared" si="55"/>
        <v/>
      </c>
      <c r="Q241" s="4" t="str">
        <f t="shared" si="56"/>
        <v/>
      </c>
      <c r="R241" s="4" t="str">
        <f t="shared" si="57"/>
        <v/>
      </c>
      <c r="S241" s="4" t="str">
        <f t="shared" si="58"/>
        <v/>
      </c>
      <c r="T241" s="4" t="str">
        <f t="shared" si="48"/>
        <v/>
      </c>
      <c r="U241" s="4" t="str">
        <f t="shared" si="59"/>
        <v/>
      </c>
      <c r="V241" s="4" t="str">
        <f t="shared" si="49"/>
        <v/>
      </c>
      <c r="W241" s="69" t="str" cm="1">
        <f t="array" ref="W241">IF(A241="","", IF(COUNTIF(Referentie!$L$2:$L$21,A241)&lt;=1, "", IFERROR(INDEX(Referentie!$M$2:$M$21, MATCH(1,(Referentie!$L$2:$L$21=A241)*(Referentie!$N$2:$N$21=S241),0)), IF(S241="Bench","", "Geen match gevonden"))) )</f>
        <v/>
      </c>
    </row>
    <row r="242" spans="1:23" ht="15" customHeight="1">
      <c r="A242" s="2"/>
      <c r="B242" s="2"/>
      <c r="C242" s="2"/>
      <c r="D242" s="4" t="str">
        <f>IF(C242="","",VLOOKUP(C242,Referentie!$A$2:$B$19,2,0))</f>
        <v/>
      </c>
      <c r="E242" s="7"/>
      <c r="F242" s="4"/>
      <c r="G242" s="4"/>
      <c r="H242" s="4"/>
      <c r="I242" s="4"/>
      <c r="J242" s="4"/>
      <c r="K242" s="4"/>
      <c r="L242" s="4"/>
      <c r="M242" s="4"/>
      <c r="N242" s="4" t="str">
        <f>IF(M242="","",VLOOKUP(M242,Referentie!$G$2:$I$26,2,0))</f>
        <v/>
      </c>
      <c r="O242" s="4" t="str">
        <f>IF(M242="","",VLOOKUP(M242,Referentie!$G$2:$I$26,3,0))</f>
        <v/>
      </c>
      <c r="P242" s="4" t="str">
        <f t="shared" si="55"/>
        <v/>
      </c>
      <c r="Q242" s="4" t="str">
        <f t="shared" si="56"/>
        <v/>
      </c>
      <c r="R242" s="4" t="str">
        <f t="shared" si="57"/>
        <v/>
      </c>
      <c r="S242" s="4" t="str">
        <f t="shared" si="58"/>
        <v/>
      </c>
      <c r="T242" s="4" t="str">
        <f t="shared" si="48"/>
        <v/>
      </c>
      <c r="U242" s="4" t="str">
        <f t="shared" si="59"/>
        <v/>
      </c>
      <c r="V242" s="4" t="str">
        <f t="shared" si="49"/>
        <v/>
      </c>
      <c r="W242" s="69" t="str" cm="1">
        <f t="array" ref="W242">IF(A242="","", IF(COUNTIF(Referentie!$L$2:$L$21,A242)&lt;=1, "", IFERROR(INDEX(Referentie!$M$2:$M$21, MATCH(1,(Referentie!$L$2:$L$21=A242)*(Referentie!$N$2:$N$21=S242),0)), IF(S242="Bench","", "Geen match gevonden"))) )</f>
        <v/>
      </c>
    </row>
    <row r="243" spans="1:23" ht="15" customHeight="1">
      <c r="A243" s="2"/>
      <c r="B243" s="2"/>
      <c r="C243" s="2"/>
      <c r="D243" s="4" t="str">
        <f>IF(C243="","",VLOOKUP(C243,Referentie!$A$2:$B$19,2,0))</f>
        <v/>
      </c>
      <c r="E243" s="7"/>
      <c r="F243" s="4"/>
      <c r="G243" s="4"/>
      <c r="H243" s="4"/>
      <c r="I243" s="4"/>
      <c r="J243" s="4"/>
      <c r="K243" s="4"/>
      <c r="L243" s="4"/>
      <c r="M243" s="4"/>
      <c r="N243" s="4" t="str">
        <f>IF(M243="","",VLOOKUP(M243,Referentie!$G$2:$I$26,2,0))</f>
        <v/>
      </c>
      <c r="O243" s="4" t="str">
        <f>IF(M243="","",VLOOKUP(M243,Referentie!$G$2:$I$26,3,0))</f>
        <v/>
      </c>
      <c r="P243" s="4" t="str">
        <f t="shared" si="55"/>
        <v/>
      </c>
      <c r="Q243" s="4" t="str">
        <f t="shared" si="56"/>
        <v/>
      </c>
      <c r="R243" s="4" t="str">
        <f t="shared" si="57"/>
        <v/>
      </c>
      <c r="S243" s="4" t="str">
        <f t="shared" si="58"/>
        <v/>
      </c>
      <c r="T243" s="4" t="str">
        <f t="shared" si="48"/>
        <v/>
      </c>
      <c r="U243" s="4" t="str">
        <f t="shared" si="59"/>
        <v/>
      </c>
      <c r="V243" s="4" t="str">
        <f t="shared" si="49"/>
        <v/>
      </c>
      <c r="W243" s="69" t="str" cm="1">
        <f t="array" ref="W243">IF(A243="","", IF(COUNTIF(Referentie!$L$2:$L$21,A243)&lt;=1, "", IFERROR(INDEX(Referentie!$M$2:$M$21, MATCH(1,(Referentie!$L$2:$L$21=A243)*(Referentie!$N$2:$N$21=S243),0)), IF(S243="Bench","", "Geen match gevonden"))) )</f>
        <v/>
      </c>
    </row>
    <row r="244" spans="1:23" ht="15" customHeight="1">
      <c r="A244" s="2"/>
      <c r="B244" s="2"/>
      <c r="C244" s="2"/>
      <c r="D244" s="4" t="str">
        <f>IF(C244="","",VLOOKUP(C244,Referentie!$A$2:$B$19,2,0))</f>
        <v/>
      </c>
      <c r="E244" s="7"/>
      <c r="F244" s="4"/>
      <c r="G244" s="4"/>
      <c r="H244" s="4"/>
      <c r="I244" s="4"/>
      <c r="J244" s="4"/>
      <c r="K244" s="4"/>
      <c r="L244" s="4"/>
      <c r="M244" s="4"/>
      <c r="N244" s="4" t="str">
        <f>IF(M244="","",VLOOKUP(M244,Referentie!$G$2:$I$26,2,0))</f>
        <v/>
      </c>
      <c r="O244" s="4" t="str">
        <f>IF(M244="","",VLOOKUP(M244,Referentie!$G$2:$I$26,3,0))</f>
        <v/>
      </c>
      <c r="P244" s="4" t="str">
        <f t="shared" si="55"/>
        <v/>
      </c>
      <c r="Q244" s="4" t="str">
        <f t="shared" si="56"/>
        <v/>
      </c>
      <c r="R244" s="4" t="str">
        <f t="shared" si="57"/>
        <v/>
      </c>
      <c r="S244" s="4" t="str">
        <f t="shared" si="58"/>
        <v/>
      </c>
      <c r="T244" s="4" t="str">
        <f t="shared" si="48"/>
        <v/>
      </c>
      <c r="U244" s="4" t="str">
        <f t="shared" si="59"/>
        <v/>
      </c>
      <c r="V244" s="4" t="str">
        <f t="shared" si="49"/>
        <v/>
      </c>
      <c r="W244" s="69" t="str" cm="1">
        <f t="array" ref="W244">IF(A244="","", IF(COUNTIF(Referentie!$L$2:$L$21,A244)&lt;=1, "", IFERROR(INDEX(Referentie!$M$2:$M$21, MATCH(1,(Referentie!$L$2:$L$21=A244)*(Referentie!$N$2:$N$21=S244),0)), IF(S244="Bench","", "Geen match gevonden"))) )</f>
        <v/>
      </c>
    </row>
    <row r="245" spans="1:23" ht="15" customHeight="1">
      <c r="A245" s="2"/>
      <c r="B245" s="2"/>
      <c r="C245" s="2"/>
      <c r="D245" s="4" t="str">
        <f>IF(C245="","",VLOOKUP(C245,Referentie!$A$2:$B$19,2,0))</f>
        <v/>
      </c>
      <c r="E245" s="7"/>
      <c r="F245" s="4"/>
      <c r="G245" s="4"/>
      <c r="H245" s="4"/>
      <c r="I245" s="4"/>
      <c r="J245" s="4"/>
      <c r="K245" s="4"/>
      <c r="L245" s="4"/>
      <c r="M245" s="4"/>
      <c r="N245" s="4" t="str">
        <f>IF(M245="","",VLOOKUP(M245,Referentie!$G$2:$I$26,2,0))</f>
        <v/>
      </c>
      <c r="O245" s="4" t="str">
        <f>IF(M245="","",VLOOKUP(M245,Referentie!$G$2:$I$26,3,0))</f>
        <v/>
      </c>
      <c r="P245" s="4" t="str">
        <f t="shared" si="55"/>
        <v/>
      </c>
      <c r="Q245" s="4" t="str">
        <f t="shared" si="56"/>
        <v/>
      </c>
      <c r="R245" s="4" t="str">
        <f t="shared" si="57"/>
        <v/>
      </c>
      <c r="S245" s="4" t="str">
        <f t="shared" si="58"/>
        <v/>
      </c>
      <c r="T245" s="4" t="str">
        <f t="shared" si="48"/>
        <v/>
      </c>
      <c r="U245" s="4" t="str">
        <f t="shared" si="59"/>
        <v/>
      </c>
      <c r="V245" s="4" t="str">
        <f t="shared" si="49"/>
        <v/>
      </c>
      <c r="W245" s="69" t="str" cm="1">
        <f t="array" ref="W245">IF(A245="","", IF(COUNTIF(Referentie!$L$2:$L$21,A245)&lt;=1, "", IFERROR(INDEX(Referentie!$M$2:$M$21, MATCH(1,(Referentie!$L$2:$L$21=A245)*(Referentie!$N$2:$N$21=S245),0)), IF(S245="Bench","", "Geen match gevonden"))) )</f>
        <v/>
      </c>
    </row>
    <row r="246" spans="1:23" ht="15" customHeight="1">
      <c r="A246" s="2"/>
      <c r="B246" s="2"/>
      <c r="C246" s="2"/>
      <c r="D246" s="4" t="str">
        <f>IF(C246="","",VLOOKUP(C246,Referentie!$A$2:$B$19,2,0))</f>
        <v/>
      </c>
      <c r="E246" s="7"/>
      <c r="F246" s="4"/>
      <c r="G246" s="4"/>
      <c r="H246" s="4"/>
      <c r="I246" s="4"/>
      <c r="J246" s="4"/>
      <c r="K246" s="4"/>
      <c r="L246" s="4"/>
      <c r="M246" s="4"/>
      <c r="N246" s="4" t="str">
        <f>IF(M246="","",VLOOKUP(M246,Referentie!$G$2:$I$26,2,0))</f>
        <v/>
      </c>
      <c r="O246" s="4" t="str">
        <f>IF(M246="","",VLOOKUP(M246,Referentie!$G$2:$I$26,3,0))</f>
        <v/>
      </c>
      <c r="P246" s="4" t="str">
        <f t="shared" si="55"/>
        <v/>
      </c>
      <c r="Q246" s="4" t="str">
        <f t="shared" si="56"/>
        <v/>
      </c>
      <c r="R246" s="4" t="str">
        <f t="shared" si="57"/>
        <v/>
      </c>
      <c r="S246" s="4" t="str">
        <f t="shared" si="58"/>
        <v/>
      </c>
      <c r="T246" s="4" t="str">
        <f t="shared" si="48"/>
        <v/>
      </c>
      <c r="U246" s="4" t="str">
        <f t="shared" si="59"/>
        <v/>
      </c>
      <c r="V246" s="4" t="str">
        <f t="shared" si="49"/>
        <v/>
      </c>
      <c r="W246" s="69" t="str" cm="1">
        <f t="array" ref="W246">IF(A246="","", IF(COUNTIF(Referentie!$L$2:$L$21,A246)&lt;=1, "", IFERROR(INDEX(Referentie!$M$2:$M$21, MATCH(1,(Referentie!$L$2:$L$21=A246)*(Referentie!$N$2:$N$21=S246),0)), IF(S246="Bench","", "Geen match gevonden"))) )</f>
        <v/>
      </c>
    </row>
    <row r="247" spans="1:23" ht="15" customHeight="1">
      <c r="A247" s="2"/>
      <c r="B247" s="2"/>
      <c r="C247" s="2"/>
      <c r="D247" s="4" t="str">
        <f>IF(C247="","",VLOOKUP(C247,Referentie!$A$2:$B$19,2,0))</f>
        <v/>
      </c>
      <c r="E247" s="7"/>
      <c r="F247" s="4"/>
      <c r="G247" s="4"/>
      <c r="H247" s="4"/>
      <c r="I247" s="4"/>
      <c r="J247" s="4"/>
      <c r="K247" s="4"/>
      <c r="L247" s="4"/>
      <c r="M247" s="4"/>
      <c r="N247" s="4" t="str">
        <f>IF(M247="","",VLOOKUP(M247,Referentie!$G$2:$I$26,2,0))</f>
        <v/>
      </c>
      <c r="O247" s="4" t="str">
        <f>IF(M247="","",VLOOKUP(M247,Referentie!$G$2:$I$26,3,0))</f>
        <v/>
      </c>
      <c r="P247" s="4" t="str">
        <f t="shared" si="55"/>
        <v/>
      </c>
      <c r="Q247" s="4" t="str">
        <f t="shared" si="56"/>
        <v/>
      </c>
      <c r="R247" s="4" t="str">
        <f t="shared" si="57"/>
        <v/>
      </c>
      <c r="S247" s="4" t="str">
        <f t="shared" si="58"/>
        <v/>
      </c>
      <c r="T247" s="4" t="str">
        <f t="shared" si="48"/>
        <v/>
      </c>
      <c r="U247" s="4" t="str">
        <f t="shared" si="59"/>
        <v/>
      </c>
      <c r="V247" s="4" t="str">
        <f t="shared" si="49"/>
        <v/>
      </c>
      <c r="W247" s="69" t="str" cm="1">
        <f t="array" ref="W247">IF(A247="","", IF(COUNTIF(Referentie!$L$2:$L$21,A247)&lt;=1, "", IFERROR(INDEX(Referentie!$M$2:$M$21, MATCH(1,(Referentie!$L$2:$L$21=A247)*(Referentie!$N$2:$N$21=S247),0)), IF(S247="Bench","", "Geen match gevonden"))) )</f>
        <v/>
      </c>
    </row>
    <row r="248" spans="1:23" ht="15" customHeight="1">
      <c r="A248" s="2"/>
      <c r="B248" s="2"/>
      <c r="C248" s="2"/>
      <c r="D248" s="4" t="str">
        <f>IF(C248="","",VLOOKUP(C248,Referentie!$A$2:$B$19,2,0))</f>
        <v/>
      </c>
      <c r="E248" s="7"/>
      <c r="F248" s="4"/>
      <c r="G248" s="4"/>
      <c r="H248" s="4"/>
      <c r="I248" s="4"/>
      <c r="J248" s="4"/>
      <c r="K248" s="4"/>
      <c r="L248" s="4"/>
      <c r="M248" s="4"/>
      <c r="N248" s="4" t="str">
        <f>IF(M248="","",VLOOKUP(M248,Referentie!$G$2:$I$26,2,0))</f>
        <v/>
      </c>
      <c r="O248" s="4" t="str">
        <f>IF(M248="","",VLOOKUP(M248,Referentie!$G$2:$I$26,3,0))</f>
        <v/>
      </c>
      <c r="P248" s="4" t="str">
        <f t="shared" si="55"/>
        <v/>
      </c>
      <c r="Q248" s="4" t="str">
        <f t="shared" si="56"/>
        <v/>
      </c>
      <c r="R248" s="4" t="str">
        <f t="shared" si="57"/>
        <v/>
      </c>
      <c r="S248" s="4" t="str">
        <f t="shared" si="58"/>
        <v/>
      </c>
      <c r="T248" s="4" t="str">
        <f t="shared" si="48"/>
        <v/>
      </c>
      <c r="U248" s="4" t="str">
        <f t="shared" si="59"/>
        <v/>
      </c>
      <c r="V248" s="4" t="str">
        <f t="shared" si="49"/>
        <v/>
      </c>
      <c r="W248" s="69" t="str" cm="1">
        <f t="array" ref="W248">IF(A248="","", IF(COUNTIF(Referentie!$L$2:$L$21,A248)&lt;=1, "", IFERROR(INDEX(Referentie!$M$2:$M$21, MATCH(1,(Referentie!$L$2:$L$21=A248)*(Referentie!$N$2:$N$21=S248),0)), IF(S248="Bench","", "Geen match gevonden"))) )</f>
        <v/>
      </c>
    </row>
    <row r="249" spans="1:23" ht="15" customHeight="1">
      <c r="A249" s="2"/>
      <c r="B249" s="2"/>
      <c r="C249" s="2"/>
      <c r="D249" s="4" t="str">
        <f>IF(C249="","",VLOOKUP(C249,Referentie!$A$2:$B$19,2,0))</f>
        <v/>
      </c>
      <c r="E249" s="7"/>
      <c r="F249" s="4"/>
      <c r="G249" s="4"/>
      <c r="H249" s="4"/>
      <c r="I249" s="4"/>
      <c r="J249" s="4"/>
      <c r="K249" s="4"/>
      <c r="L249" s="4"/>
      <c r="M249" s="4"/>
      <c r="N249" s="4" t="str">
        <f>IF(M249="","",VLOOKUP(M249,Referentie!$G$2:$I$26,2,0))</f>
        <v/>
      </c>
      <c r="O249" s="4" t="str">
        <f>IF(M249="","",VLOOKUP(M249,Referentie!$G$2:$I$26,3,0))</f>
        <v/>
      </c>
      <c r="P249" s="4" t="str">
        <f t="shared" si="55"/>
        <v/>
      </c>
      <c r="Q249" s="4" t="str">
        <f t="shared" si="56"/>
        <v/>
      </c>
      <c r="R249" s="4" t="str">
        <f t="shared" si="57"/>
        <v/>
      </c>
      <c r="S249" s="4" t="str">
        <f t="shared" si="58"/>
        <v/>
      </c>
      <c r="T249" s="4" t="str">
        <f t="shared" si="48"/>
        <v/>
      </c>
      <c r="U249" s="4" t="str">
        <f t="shared" si="59"/>
        <v/>
      </c>
      <c r="V249" s="4" t="str">
        <f t="shared" si="49"/>
        <v/>
      </c>
      <c r="W249" s="69" t="str" cm="1">
        <f t="array" ref="W249">IF(A249="","", IF(COUNTIF(Referentie!$L$2:$L$21,A249)&lt;=1, "", IFERROR(INDEX(Referentie!$M$2:$M$21, MATCH(1,(Referentie!$L$2:$L$21=A249)*(Referentie!$N$2:$N$21=S249),0)), IF(S249="Bench","", "Geen match gevonden"))) )</f>
        <v/>
      </c>
    </row>
    <row r="250" spans="1:23" ht="15" customHeight="1">
      <c r="A250" s="2"/>
      <c r="B250" s="2"/>
      <c r="C250" s="2"/>
      <c r="D250" s="4" t="str">
        <f>IF(C250="","",VLOOKUP(C250,Referentie!$A$2:$B$19,2,0))</f>
        <v/>
      </c>
      <c r="E250" s="7"/>
      <c r="F250" s="4"/>
      <c r="G250" s="4"/>
      <c r="H250" s="4"/>
      <c r="I250" s="4"/>
      <c r="J250" s="4"/>
      <c r="K250" s="4"/>
      <c r="L250" s="4"/>
      <c r="M250" s="4"/>
      <c r="N250" s="4" t="str">
        <f>IF(M250="","",VLOOKUP(M250,Referentie!$G$2:$I$26,2,0))</f>
        <v/>
      </c>
      <c r="O250" s="4" t="str">
        <f>IF(M250="","",VLOOKUP(M250,Referentie!$G$2:$I$26,3,0))</f>
        <v/>
      </c>
      <c r="P250" s="4" t="str">
        <f t="shared" si="55"/>
        <v/>
      </c>
      <c r="Q250" s="4" t="str">
        <f t="shared" si="56"/>
        <v/>
      </c>
      <c r="R250" s="4" t="str">
        <f t="shared" si="57"/>
        <v/>
      </c>
      <c r="S250" s="4" t="str">
        <f t="shared" si="58"/>
        <v/>
      </c>
      <c r="T250" s="4" t="str">
        <f t="shared" si="48"/>
        <v/>
      </c>
      <c r="U250" s="4" t="str">
        <f t="shared" si="59"/>
        <v/>
      </c>
      <c r="V250" s="4" t="str">
        <f t="shared" si="49"/>
        <v/>
      </c>
      <c r="W250" s="69" t="str" cm="1">
        <f t="array" ref="W250">IF(A250="","", IF(COUNTIF(Referentie!$L$2:$L$21,A250)&lt;=1, "", IFERROR(INDEX(Referentie!$M$2:$M$21, MATCH(1,(Referentie!$L$2:$L$21=A250)*(Referentie!$N$2:$N$21=S250),0)), IF(S250="Bench","", "Geen match gevonden"))) )</f>
        <v/>
      </c>
    </row>
  </sheetData>
  <conditionalFormatting sqref="F2:F54 F57:F1048576">
    <cfRule type="expression" dxfId="27" priority="24">
      <formula>AND($B2&lt;30,F2&lt;&gt;"")</formula>
    </cfRule>
    <cfRule type="expression" dxfId="26" priority="25">
      <formula>$B2&gt;=30</formula>
    </cfRule>
  </conditionalFormatting>
  <conditionalFormatting sqref="G2:G54 G57:G1048576">
    <cfRule type="expression" dxfId="25" priority="22">
      <formula>AND($B2&lt;60,G2&lt;&gt;"")</formula>
    </cfRule>
    <cfRule type="expression" dxfId="24" priority="23">
      <formula>$B2&gt;=60</formula>
    </cfRule>
  </conditionalFormatting>
  <conditionalFormatting sqref="H2:H54 H57:H250">
    <cfRule type="expression" dxfId="23" priority="38">
      <formula>AND($B2&gt;=10,H2&lt;&gt;"")</formula>
    </cfRule>
    <cfRule type="expression" dxfId="22" priority="39">
      <formula>AND($B2&lt;10,H2&lt;&gt;"")</formula>
    </cfRule>
  </conditionalFormatting>
  <conditionalFormatting sqref="H2:L54 H57:L250">
    <cfRule type="expression" dxfId="21" priority="36">
      <formula>OR(H2="Berry Finding S",H2="Helping Bonus",H2="Sleep EXP Bonus",H2="Skill Level Up M",H2="Research EXP Bonus",H2="Energy Recovery Bonus",H2="Dream Shard Bonus")</formula>
    </cfRule>
    <cfRule type="expression" dxfId="20" priority="37">
      <formula>OR(H2="Skill Trigger M",H2="Skill Level Up S",H2="Inventory Up M",H2="Inventory Up L",H2="Ingredient Finder M",H2="Helping Speed M")</formula>
    </cfRule>
  </conditionalFormatting>
  <conditionalFormatting sqref="I2:I54 I57:I250">
    <cfRule type="expression" dxfId="19" priority="40">
      <formula>AND($B2&gt;=25,I2&lt;&gt;"")</formula>
    </cfRule>
    <cfRule type="expression" dxfId="18" priority="41">
      <formula>AND($B2&lt;25,I2&lt;&gt;"")</formula>
    </cfRule>
  </conditionalFormatting>
  <conditionalFormatting sqref="J2:J54 J57:J250">
    <cfRule type="expression" dxfId="17" priority="42">
      <formula>AND($B2&gt;=50,J2&lt;&gt;"")</formula>
    </cfRule>
    <cfRule type="expression" dxfId="16" priority="43">
      <formula>AND($B2&lt;50,J2&lt;&gt;"")</formula>
    </cfRule>
  </conditionalFormatting>
  <conditionalFormatting sqref="K2:K54 K57:K250">
    <cfRule type="expression" dxfId="15" priority="44">
      <formula>AND($B2&gt;=75,K2&lt;&gt;"")</formula>
    </cfRule>
    <cfRule type="expression" dxfId="14" priority="45">
      <formula>AND($B2&lt;75,K2&lt;&gt;"")</formula>
    </cfRule>
  </conditionalFormatting>
  <conditionalFormatting sqref="L2:L54 L57:L250">
    <cfRule type="expression" dxfId="13" priority="46">
      <formula>AND($B2&gt;=100,L2&lt;&gt;"")</formula>
    </cfRule>
    <cfRule type="expression" dxfId="12" priority="47">
      <formula>AND($B2&lt;100,L2&lt;&gt;"")</formula>
    </cfRule>
  </conditionalFormatting>
  <conditionalFormatting sqref="N2:N1048576">
    <cfRule type="expression" dxfId="11" priority="2">
      <formula>AND(N2&lt;&gt;"",N2&lt;&gt;"Neutral")</formula>
    </cfRule>
  </conditionalFormatting>
  <conditionalFormatting sqref="O2:O1048576">
    <cfRule type="expression" dxfId="10" priority="1">
      <formula>AND(O2&lt;&gt;"",O2&lt;&gt;"Neutral")</formula>
    </cfRule>
  </conditionalFormatting>
  <conditionalFormatting sqref="S2:S200">
    <cfRule type="containsText" dxfId="9" priority="28" operator="containsText" text="Berry">
      <formula>NOT(ISERROR(SEARCH("Berry",S2)))</formula>
    </cfRule>
    <cfRule type="containsText" dxfId="8" priority="29" operator="containsText" text="Ingredient">
      <formula>NOT(ISERROR(SEARCH("Ingredient",S2)))</formula>
    </cfRule>
    <cfRule type="containsText" dxfId="7" priority="30" operator="containsText" text="Skill">
      <formula>NOT(ISERROR(SEARCH("Skill",S2)))</formula>
    </cfRule>
    <cfRule type="containsText" dxfId="6" priority="31" operator="containsText" text="Bench">
      <formula>NOT(ISERROR(SEARCH("Bench",S2)))</formula>
    </cfRule>
  </conditionalFormatting>
  <conditionalFormatting sqref="U2:U200">
    <cfRule type="containsText" dxfId="5" priority="32" operator="containsText" text="Keep">
      <formula>NOT(ISERROR(SEARCH("Keep",U2)))</formula>
    </cfRule>
    <cfRule type="containsText" dxfId="4" priority="33" operator="containsText" text="Level Up">
      <formula>NOT(ISERROR(SEARCH("Level Up",U2)))</formula>
    </cfRule>
    <cfRule type="containsText" dxfId="3" priority="34" operator="containsText" text="Bench">
      <formula>NOT(ISERROR(SEARCH("Bench",U2)))</formula>
    </cfRule>
    <cfRule type="containsText" dxfId="2" priority="35" operator="containsText" text="Transfer">
      <formula>NOT(ISERROR(SEARCH("Transfer",U2)))</formula>
    </cfRule>
  </conditionalFormatting>
  <pageMargins left="0.7" right="0.7" top="0.75" bottom="0.75" header="0.3" footer="0.3"/>
  <pageSetup paperSize="148" orientation="portrait" horizontalDpi="1200" verticalDpi="12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EE0799A-1EAC-4AE1-9145-C3E0594DB504}">
          <x14:formula1>
            <xm:f>Referentie!$K:$K</xm:f>
          </x14:formula1>
          <xm:sqref>A57:A1048576 A1:A54</xm:sqref>
        </x14:dataValidation>
        <x14:dataValidation type="list" allowBlank="1" showInputMessage="1" showErrorMessage="1" xr:uid="{044717C3-EB1A-4C15-88F0-B2BE18D1B8BD}">
          <x14:formula1>
            <xm:f>Referentie!$A$2:$A$19</xm:f>
          </x14:formula1>
          <xm:sqref>C57:C1048576 C2:C54</xm:sqref>
        </x14:dataValidation>
        <x14:dataValidation type="list" allowBlank="1" showInputMessage="1" showErrorMessage="1" xr:uid="{BA51CC5F-81E3-419A-A2CF-B4F7235E69AA}">
          <x14:formula1>
            <xm:f>Referentie!$D$2:$D$20</xm:f>
          </x14:formula1>
          <xm:sqref>E57:G1048576 E1:G54</xm:sqref>
        </x14:dataValidation>
        <x14:dataValidation type="list" allowBlank="1" showInputMessage="1" showErrorMessage="1" xr:uid="{6F8C1C8B-0B6E-430E-BF20-087E04666CE9}">
          <x14:formula1>
            <xm:f>Referentie!$E$2:$E$18</xm:f>
          </x14:formula1>
          <xm:sqref>H57:L1048576 H1:L54</xm:sqref>
        </x14:dataValidation>
        <x14:dataValidation type="list" allowBlank="1" showInputMessage="1" showErrorMessage="1" xr:uid="{8EEACC50-D0F3-4C1C-B1D5-4A6AA72C70F1}">
          <x14:formula1>
            <xm:f>Referentie!$G$2:$G$26</xm:f>
          </x14:formula1>
          <xm:sqref>M57:M250 M2:M54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51"/>
  <sheetViews>
    <sheetView workbookViewId="0">
      <pane ySplit="11" topLeftCell="A12" activePane="bottomLeft" state="frozen"/>
      <selection activeCell="E7" sqref="E7"/>
      <selection pane="bottomLeft" activeCell="S22" sqref="S22"/>
    </sheetView>
  </sheetViews>
  <sheetFormatPr defaultRowHeight="15"/>
  <cols>
    <col min="1" max="1" width="4" customWidth="1"/>
    <col min="2" max="2" width="16" style="56" customWidth="1"/>
    <col min="3" max="3" width="16" customWidth="1"/>
    <col min="4" max="4" width="10" customWidth="1"/>
    <col min="5" max="5" width="18" customWidth="1"/>
    <col min="6" max="6" width="2" customWidth="1"/>
    <col min="7" max="7" width="4" customWidth="1"/>
    <col min="8" max="8" width="16" customWidth="1"/>
    <col min="9" max="9" width="18" customWidth="1"/>
    <col min="10" max="10" width="10" customWidth="1"/>
    <col min="11" max="11" width="18" customWidth="1"/>
    <col min="12" max="12" width="2" customWidth="1"/>
    <col min="13" max="13" width="4" customWidth="1"/>
    <col min="14" max="14" width="16" customWidth="1"/>
    <col min="15" max="15" width="22" customWidth="1"/>
    <col min="16" max="16" width="10" customWidth="1"/>
    <col min="17" max="17" width="18" customWidth="1"/>
  </cols>
  <sheetData>
    <row r="1" spans="1:41" ht="26.1" customHeight="1">
      <c r="A1" s="67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S1" t="s">
        <v>1</v>
      </c>
      <c r="T1" t="s">
        <v>2</v>
      </c>
      <c r="U1" t="s">
        <v>3</v>
      </c>
      <c r="V1" t="s">
        <v>4</v>
      </c>
      <c r="W1" t="s">
        <v>5</v>
      </c>
      <c r="X1" t="s">
        <v>6</v>
      </c>
      <c r="AA1" t="s">
        <v>1</v>
      </c>
      <c r="AB1" t="s">
        <v>7</v>
      </c>
      <c r="AC1" t="s">
        <v>8</v>
      </c>
      <c r="AD1" t="s">
        <v>9</v>
      </c>
      <c r="AE1" t="s">
        <v>3</v>
      </c>
      <c r="AF1" t="s">
        <v>4</v>
      </c>
      <c r="AG1" t="s">
        <v>5</v>
      </c>
      <c r="AH1" t="s">
        <v>10</v>
      </c>
      <c r="AI1" t="s">
        <v>6</v>
      </c>
      <c r="AJ1" t="s">
        <v>1</v>
      </c>
      <c r="AK1" t="s">
        <v>11</v>
      </c>
      <c r="AL1" t="s">
        <v>3</v>
      </c>
      <c r="AM1" t="s">
        <v>4</v>
      </c>
      <c r="AN1" t="s">
        <v>5</v>
      </c>
      <c r="AO1" t="s">
        <v>6</v>
      </c>
    </row>
    <row r="2" spans="1:41">
      <c r="S2" t="str">
        <f>Data!A2</f>
        <v>Pikachu</v>
      </c>
      <c r="T2" t="str">
        <f>Data!D2</f>
        <v>Grepa</v>
      </c>
      <c r="U2">
        <f>Data!B2</f>
        <v>15</v>
      </c>
      <c r="V2">
        <f>Data!P2</f>
        <v>-2</v>
      </c>
      <c r="W2" t="str">
        <f>Data!N2</f>
        <v>Ingredient Finding</v>
      </c>
      <c r="X2">
        <f t="shared" ref="X2:X51" si="0">IF(OR(T2=$B$5,T2=$B$6,T2=$B$7),(V2*1000)+U2+ROW()/1000000,0)</f>
        <v>0</v>
      </c>
      <c r="AA2" t="str">
        <f>Data!A2</f>
        <v>Pikachu</v>
      </c>
      <c r="AB2" t="str">
        <f>Data!E2</f>
        <v>Fancy Apple</v>
      </c>
      <c r="AC2" t="str">
        <f>Data!F2</f>
        <v>Warming Ginger</v>
      </c>
      <c r="AD2" t="str">
        <f>Data!G2</f>
        <v>Fancy Apple</v>
      </c>
      <c r="AE2">
        <f>Data!B2</f>
        <v>15</v>
      </c>
      <c r="AF2">
        <f>Data!Q2</f>
        <v>6.5</v>
      </c>
      <c r="AG2" t="str">
        <f>Data!N2</f>
        <v>Ingredient Finding</v>
      </c>
      <c r="AH2">
        <f>(IF($H$5="Curries/Stews",COUNTIF(Helper_Ingredient!$N$3:$N$20,AB2),IF($H$5="Salads",COUNTIF(Helper_Ingredient!$O$3:$O$20,AB2),COUNTIF(Helper_Ingredient!$P$3:$P$19,AB2)))&gt;0)+IF(AE2&gt;=30,(IF($H$5="Curries/Stews",COUNTIF(Helper_Ingredient!$N$3:$N$20,AC2),IF($H$5="Salads",COUNTIF(Helper_Ingredient!$O$3:$O$20,AC2),COUNTIF(Helper_Ingredient!$P$3:$P$19,AC2)))&gt;0),0)+IF(AE2&gt;=60,(IF($H$5="Curries/Stews",COUNTIF(Helper_Ingredient!$N$3:$N$20,AD2),IF($H$5="Salads",COUNTIF(Helper_Ingredient!$O$3:$O$20,AD2),COUNTIF(Helper_Ingredient!$P$3:$P$19,AD2)))&gt;0),0)</f>
        <v>1</v>
      </c>
      <c r="AI2">
        <f t="shared" ref="AI2:AI51" si="1">IF(AH2&gt;0,(AH2*1000000)+(AF2*1000)+AE2+ROW()/1000000,0)</f>
        <v>1006515.000002</v>
      </c>
      <c r="AJ2" t="str">
        <f>Data!A2</f>
        <v>Pikachu</v>
      </c>
      <c r="AK2" t="str">
        <f>Data!H2</f>
        <v>Inventory Up S</v>
      </c>
      <c r="AL2">
        <f>Data!B2</f>
        <v>15</v>
      </c>
      <c r="AM2">
        <f>Data!R2</f>
        <v>1</v>
      </c>
      <c r="AN2" t="str">
        <f>Data!N2</f>
        <v>Ingredient Finding</v>
      </c>
      <c r="AO2">
        <f t="shared" ref="AO2:AO49" si="2">IF(AM2="",0,(AM2*1000)+AL2+ROW()/1000000)</f>
        <v>1015.000002</v>
      </c>
    </row>
    <row r="3" spans="1:41">
      <c r="A3" s="68" t="s">
        <v>12</v>
      </c>
      <c r="B3" s="62"/>
      <c r="C3" s="62"/>
      <c r="D3" s="62"/>
      <c r="E3" s="62"/>
      <c r="G3" s="61" t="s">
        <v>13</v>
      </c>
      <c r="H3" s="62"/>
      <c r="I3" s="62"/>
      <c r="J3" s="62"/>
      <c r="K3" s="62"/>
      <c r="M3" s="66" t="s">
        <v>14</v>
      </c>
      <c r="N3" s="62"/>
      <c r="O3" s="62"/>
      <c r="P3" s="62"/>
      <c r="Q3" s="62"/>
      <c r="S3" t="str">
        <f>Data!A3</f>
        <v>Squirtle</v>
      </c>
      <c r="T3" t="str">
        <f>Data!D3</f>
        <v>Oran</v>
      </c>
      <c r="U3">
        <f>Data!B3</f>
        <v>8</v>
      </c>
      <c r="V3">
        <f>Data!P3</f>
        <v>0</v>
      </c>
      <c r="W3" t="str">
        <f>Data!N3</f>
        <v>Neutral</v>
      </c>
      <c r="X3">
        <f t="shared" si="0"/>
        <v>8.0000029999999995</v>
      </c>
      <c r="AA3" t="str">
        <f>Data!A3</f>
        <v>Squirtle</v>
      </c>
      <c r="AB3" t="str">
        <f>Data!E3</f>
        <v>Moomoo Milk</v>
      </c>
      <c r="AC3" t="str">
        <f>Data!F3</f>
        <v>Soothing Cacao</v>
      </c>
      <c r="AD3" t="str">
        <f>Data!G3</f>
        <v>Soothing Cacao</v>
      </c>
      <c r="AE3">
        <f>Data!B3</f>
        <v>8</v>
      </c>
      <c r="AF3">
        <f>Data!Q3</f>
        <v>4</v>
      </c>
      <c r="AG3" t="str">
        <f>Data!N3</f>
        <v>Neutral</v>
      </c>
      <c r="AH3">
        <f>(IF($H$5="Curries/Stews",COUNTIF(Helper_Ingredient!$N$3:$N$20,AB3),IF($H$5="Salads",COUNTIF(Helper_Ingredient!$O$3:$O$20,AB3),COUNTIF(Helper_Ingredient!$P$3:$P$19,AB3)))&gt;0)+IF(AE3&gt;=30,(IF($H$5="Curries/Stews",COUNTIF(Helper_Ingredient!$N$3:$N$20,AC3),IF($H$5="Salads",COUNTIF(Helper_Ingredient!$O$3:$O$20,AC3),COUNTIF(Helper_Ingredient!$P$3:$P$19,AC3)))&gt;0),0)+IF(AE3&gt;=60,(IF($H$5="Curries/Stews",COUNTIF(Helper_Ingredient!$N$3:$N$20,AD3),IF($H$5="Salads",COUNTIF(Helper_Ingredient!$O$3:$O$20,AD3),COUNTIF(Helper_Ingredient!$P$3:$P$19,AD3)))&gt;0),0)</f>
        <v>1</v>
      </c>
      <c r="AI3">
        <f t="shared" si="1"/>
        <v>1004008.000003</v>
      </c>
      <c r="AJ3" t="str">
        <f>Data!A3</f>
        <v>Squirtle</v>
      </c>
      <c r="AK3" t="str">
        <f>Data!H3</f>
        <v>Ingredient Finder S</v>
      </c>
      <c r="AL3">
        <f>Data!B3</f>
        <v>8</v>
      </c>
      <c r="AM3">
        <f>Data!R3</f>
        <v>3</v>
      </c>
      <c r="AN3" t="str">
        <f>Data!N3</f>
        <v>Neutral</v>
      </c>
      <c r="AO3">
        <f t="shared" si="2"/>
        <v>3008.0000030000001</v>
      </c>
    </row>
    <row r="4" spans="1:41">
      <c r="S4" t="str">
        <f>Data!A4</f>
        <v>Igglybuff</v>
      </c>
      <c r="T4" t="str">
        <f>Data!D4</f>
        <v>Pecha</v>
      </c>
      <c r="U4">
        <f>Data!B4</f>
        <v>10</v>
      </c>
      <c r="V4">
        <f>Data!P4</f>
        <v>2</v>
      </c>
      <c r="W4" t="str">
        <f>Data!N4</f>
        <v>EXP Gains</v>
      </c>
      <c r="X4">
        <f t="shared" si="0"/>
        <v>2010.000004</v>
      </c>
      <c r="AA4" t="str">
        <f>Data!A4</f>
        <v>Igglybuff</v>
      </c>
      <c r="AB4" t="str">
        <f>Data!E4</f>
        <v>Honey</v>
      </c>
      <c r="AC4" t="str">
        <f>Data!F4</f>
        <v>Honey</v>
      </c>
      <c r="AD4" t="str">
        <f>Data!G4</f>
        <v>Pure Oil</v>
      </c>
      <c r="AE4">
        <f>Data!B4</f>
        <v>10</v>
      </c>
      <c r="AF4">
        <f>Data!Q4</f>
        <v>5.5</v>
      </c>
      <c r="AG4" t="str">
        <f>Data!N4</f>
        <v>EXP Gains</v>
      </c>
      <c r="AH4">
        <f>(IF($H$5="Curries/Stews",COUNTIF(Helper_Ingredient!$N$3:$N$20,AB4),IF($H$5="Salads",COUNTIF(Helper_Ingredient!$O$3:$O$20,AB4),COUNTIF(Helper_Ingredient!$P$3:$P$19,AB4)))&gt;0)+IF(AE4&gt;=30,(IF($H$5="Curries/Stews",COUNTIF(Helper_Ingredient!$N$3:$N$20,AC4),IF($H$5="Salads",COUNTIF(Helper_Ingredient!$O$3:$O$20,AC4),COUNTIF(Helper_Ingredient!$P$3:$P$19,AC4)))&gt;0),0)+IF(AE4&gt;=60,(IF($H$5="Curries/Stews",COUNTIF(Helper_Ingredient!$N$3:$N$20,AD4),IF($H$5="Salads",COUNTIF(Helper_Ingredient!$O$3:$O$20,AD4),COUNTIF(Helper_Ingredient!$P$3:$P$19,AD4)))&gt;0),0)</f>
        <v>1</v>
      </c>
      <c r="AI4">
        <f t="shared" si="1"/>
        <v>1005510.000004</v>
      </c>
      <c r="AJ4" t="str">
        <f>Data!A4</f>
        <v>Igglybuff</v>
      </c>
      <c r="AK4" t="str">
        <f>Data!H4</f>
        <v>Helping Speed S</v>
      </c>
      <c r="AL4">
        <f>Data!B4</f>
        <v>10</v>
      </c>
      <c r="AM4">
        <f>Data!R4</f>
        <v>0</v>
      </c>
      <c r="AN4" t="str">
        <f>Data!N4</f>
        <v>EXP Gains</v>
      </c>
      <c r="AO4">
        <f t="shared" si="2"/>
        <v>10.000004000000001</v>
      </c>
    </row>
    <row r="5" spans="1:41" ht="60">
      <c r="A5" s="47" t="s">
        <v>15</v>
      </c>
      <c r="B5" s="57" t="s">
        <v>16</v>
      </c>
      <c r="G5" s="47" t="s">
        <v>17</v>
      </c>
      <c r="H5" s="48" t="s">
        <v>431</v>
      </c>
      <c r="S5" t="str">
        <f>Data!A5</f>
        <v>Spheal</v>
      </c>
      <c r="T5" t="str">
        <f>Data!D5</f>
        <v>Oran</v>
      </c>
      <c r="U5">
        <f>Data!B5</f>
        <v>12</v>
      </c>
      <c r="V5">
        <f>Data!P5</f>
        <v>1</v>
      </c>
      <c r="W5" t="str">
        <f>Data!N5</f>
        <v>Energy Recovery</v>
      </c>
      <c r="X5">
        <f t="shared" si="0"/>
        <v>1012.000005</v>
      </c>
      <c r="AA5" t="str">
        <f>Data!A5</f>
        <v>Spheal</v>
      </c>
      <c r="AB5" t="str">
        <f>Data!E5</f>
        <v>Pure Oil</v>
      </c>
      <c r="AC5" t="str">
        <f>Data!F5</f>
        <v>Bean Sausage</v>
      </c>
      <c r="AD5" t="str">
        <f>Data!G5</f>
        <v>Pure Oil</v>
      </c>
      <c r="AE5">
        <f>Data!B5</f>
        <v>12</v>
      </c>
      <c r="AF5">
        <f>Data!Q5</f>
        <v>3.5</v>
      </c>
      <c r="AG5" t="str">
        <f>Data!N5</f>
        <v>Energy Recovery</v>
      </c>
      <c r="AH5">
        <f>(IF($H$5="Curries/Stews",COUNTIF(Helper_Ingredient!$N$3:$N$20,AB5),IF($H$5="Salads",COUNTIF(Helper_Ingredient!$O$3:$O$20,AB5),COUNTIF(Helper_Ingredient!$P$3:$P$19,AB5)))&gt;0)+IF(AE5&gt;=30,(IF($H$5="Curries/Stews",COUNTIF(Helper_Ingredient!$N$3:$N$20,AC5),IF($H$5="Salads",COUNTIF(Helper_Ingredient!$O$3:$O$20,AC5),COUNTIF(Helper_Ingredient!$P$3:$P$19,AC5)))&gt;0),0)+IF(AE5&gt;=60,(IF($H$5="Curries/Stews",COUNTIF(Helper_Ingredient!$N$3:$N$20,AD5),IF($H$5="Salads",COUNTIF(Helper_Ingredient!$O$3:$O$20,AD5),COUNTIF(Helper_Ingredient!$P$3:$P$19,AD5)))&gt;0),0)</f>
        <v>1</v>
      </c>
      <c r="AI5">
        <f t="shared" si="1"/>
        <v>1003512.000005</v>
      </c>
      <c r="AJ5" t="str">
        <f>Data!A5</f>
        <v>Spheal</v>
      </c>
      <c r="AK5" t="str">
        <f>Data!H5</f>
        <v>Ingredient Finder S</v>
      </c>
      <c r="AL5">
        <f>Data!B5</f>
        <v>12</v>
      </c>
      <c r="AM5">
        <f>Data!R5</f>
        <v>0</v>
      </c>
      <c r="AN5" t="str">
        <f>Data!N5</f>
        <v>Energy Recovery</v>
      </c>
      <c r="AO5">
        <f t="shared" si="2"/>
        <v>12.000005</v>
      </c>
    </row>
    <row r="6" spans="1:41" ht="45">
      <c r="A6" s="47" t="s">
        <v>19</v>
      </c>
      <c r="B6" s="57" t="s">
        <v>20</v>
      </c>
      <c r="S6" t="str">
        <f>Data!A6</f>
        <v>Cubone</v>
      </c>
      <c r="T6" t="str">
        <f>Data!D6</f>
        <v>Figy</v>
      </c>
      <c r="U6">
        <f>Data!B6</f>
        <v>11</v>
      </c>
      <c r="V6">
        <f>Data!P6</f>
        <v>4</v>
      </c>
      <c r="W6" t="str">
        <f>Data!N6</f>
        <v>Speed of Help</v>
      </c>
      <c r="X6">
        <f t="shared" si="0"/>
        <v>0</v>
      </c>
      <c r="AA6" t="str">
        <f>Data!A6</f>
        <v>Cubone</v>
      </c>
      <c r="AB6" t="str">
        <f>Data!E6</f>
        <v>Warming Ginger</v>
      </c>
      <c r="AC6" t="str">
        <f>Data!F6</f>
        <v>Soothing Cacao</v>
      </c>
      <c r="AD6" t="str">
        <f>Data!G6</f>
        <v>Warming Ginger</v>
      </c>
      <c r="AE6">
        <f>Data!B6</f>
        <v>11</v>
      </c>
      <c r="AF6">
        <f>Data!Q6</f>
        <v>1</v>
      </c>
      <c r="AG6" t="str">
        <f>Data!N6</f>
        <v>Speed of Help</v>
      </c>
      <c r="AH6">
        <f>(IF($H$5="Curries/Stews",COUNTIF(Helper_Ingredient!$N$3:$N$20,AB6),IF($H$5="Salads",COUNTIF(Helper_Ingredient!$O$3:$O$20,AB6),COUNTIF(Helper_Ingredient!$P$3:$P$19,AB6)))&gt;0)+IF(AE6&gt;=30,(IF($H$5="Curries/Stews",COUNTIF(Helper_Ingredient!$N$3:$N$20,AC6),IF($H$5="Salads",COUNTIF(Helper_Ingredient!$O$3:$O$20,AC6),COUNTIF(Helper_Ingredient!$P$3:$P$19,AC6)))&gt;0),0)+IF(AE6&gt;=60,(IF($H$5="Curries/Stews",COUNTIF(Helper_Ingredient!$N$3:$N$20,AD6),IF($H$5="Salads",COUNTIF(Helper_Ingredient!$O$3:$O$20,AD6),COUNTIF(Helper_Ingredient!$P$3:$P$19,AD6)))&gt;0),0)</f>
        <v>1</v>
      </c>
      <c r="AI6">
        <f t="shared" si="1"/>
        <v>1001011.000006</v>
      </c>
      <c r="AJ6" t="str">
        <f>Data!A6</f>
        <v>Cubone</v>
      </c>
      <c r="AK6" t="str">
        <f>Data!H6</f>
        <v>Helping Speed M</v>
      </c>
      <c r="AL6">
        <f>Data!B6</f>
        <v>11</v>
      </c>
      <c r="AM6">
        <f>Data!R6</f>
        <v>3</v>
      </c>
      <c r="AN6" t="str">
        <f>Data!N6</f>
        <v>Speed of Help</v>
      </c>
      <c r="AO6">
        <f t="shared" si="2"/>
        <v>3011.0000060000002</v>
      </c>
    </row>
    <row r="7" spans="1:41" ht="45">
      <c r="A7" s="47" t="s">
        <v>21</v>
      </c>
      <c r="B7" s="57" t="s">
        <v>433</v>
      </c>
      <c r="S7" t="str">
        <f>Data!A7</f>
        <v>Noibat</v>
      </c>
      <c r="T7" t="str">
        <f>Data!D7</f>
        <v>Yache</v>
      </c>
      <c r="U7">
        <f>Data!B7</f>
        <v>14</v>
      </c>
      <c r="V7">
        <f>Data!P7</f>
        <v>0</v>
      </c>
      <c r="W7" t="str">
        <f>Data!N7</f>
        <v>Neutral</v>
      </c>
      <c r="X7">
        <f t="shared" si="0"/>
        <v>0</v>
      </c>
      <c r="AA7" t="str">
        <f>Data!A7</f>
        <v>Noibat</v>
      </c>
      <c r="AB7" t="str">
        <f>Data!E7</f>
        <v>Fancy Apple</v>
      </c>
      <c r="AC7" t="str">
        <f>Data!F7</f>
        <v>Large Leek</v>
      </c>
      <c r="AD7" t="str">
        <f>Data!G7</f>
        <v>Bean Sausage</v>
      </c>
      <c r="AE7">
        <f>Data!B7</f>
        <v>14</v>
      </c>
      <c r="AF7">
        <f>Data!Q7</f>
        <v>4.5</v>
      </c>
      <c r="AG7" t="str">
        <f>Data!N7</f>
        <v>Neutral</v>
      </c>
      <c r="AH7">
        <f>(IF($H$5="Curries/Stews",COUNTIF(Helper_Ingredient!$N$3:$N$20,AB7),IF($H$5="Salads",COUNTIF(Helper_Ingredient!$O$3:$O$20,AB7),COUNTIF(Helper_Ingredient!$P$3:$P$19,AB7)))&gt;0)+IF(AE7&gt;=30,(IF($H$5="Curries/Stews",COUNTIF(Helper_Ingredient!$N$3:$N$20,AC7),IF($H$5="Salads",COUNTIF(Helper_Ingredient!$O$3:$O$20,AC7),COUNTIF(Helper_Ingredient!$P$3:$P$19,AC7)))&gt;0),0)+IF(AE7&gt;=60,(IF($H$5="Curries/Stews",COUNTIF(Helper_Ingredient!$N$3:$N$20,AD7),IF($H$5="Salads",COUNTIF(Helper_Ingredient!$O$3:$O$20,AD7),COUNTIF(Helper_Ingredient!$P$3:$P$19,AD7)))&gt;0),0)</f>
        <v>1</v>
      </c>
      <c r="AI7">
        <f t="shared" si="1"/>
        <v>1004514.0000070001</v>
      </c>
      <c r="AJ7" t="str">
        <f>Data!A7</f>
        <v>Noibat</v>
      </c>
      <c r="AK7" t="str">
        <f>Data!H7</f>
        <v>Inventory Up S</v>
      </c>
      <c r="AL7">
        <f>Data!B7</f>
        <v>14</v>
      </c>
      <c r="AM7">
        <f>Data!R7</f>
        <v>1</v>
      </c>
      <c r="AN7" t="str">
        <f>Data!N7</f>
        <v>Neutral</v>
      </c>
      <c r="AO7">
        <f t="shared" si="2"/>
        <v>1014.000007</v>
      </c>
    </row>
    <row r="8" spans="1:41">
      <c r="A8" s="45" t="s">
        <v>23</v>
      </c>
      <c r="B8" s="56" t="s">
        <v>24</v>
      </c>
      <c r="S8" t="str">
        <f>Data!A8</f>
        <v>Rattata</v>
      </c>
      <c r="T8" t="str">
        <f>Data!D8</f>
        <v>Persim</v>
      </c>
      <c r="U8">
        <f>Data!B8</f>
        <v>8</v>
      </c>
      <c r="V8">
        <f>Data!P8</f>
        <v>1</v>
      </c>
      <c r="W8" t="str">
        <f>Data!N8</f>
        <v>Ingredient Finding</v>
      </c>
      <c r="X8">
        <f t="shared" si="0"/>
        <v>0</v>
      </c>
      <c r="AA8" t="str">
        <f>Data!A8</f>
        <v>Rattata</v>
      </c>
      <c r="AB8" t="str">
        <f>Data!E8</f>
        <v>Fancy Apple</v>
      </c>
      <c r="AC8" t="str">
        <f>Data!F8</f>
        <v>Greengrass Soybeans</v>
      </c>
      <c r="AD8" t="str">
        <f>Data!G8</f>
        <v>Fancy Apple</v>
      </c>
      <c r="AE8">
        <f>Data!B8</f>
        <v>8</v>
      </c>
      <c r="AF8">
        <f>Data!Q8</f>
        <v>5</v>
      </c>
      <c r="AG8" t="str">
        <f>Data!N8</f>
        <v>Ingredient Finding</v>
      </c>
      <c r="AH8">
        <f>(IF($H$5="Curries/Stews",COUNTIF(Helper_Ingredient!$N$3:$N$20,AB8),IF($H$5="Salads",COUNTIF(Helper_Ingredient!$O$3:$O$20,AB8),COUNTIF(Helper_Ingredient!$P$3:$P$19,AB8)))&gt;0)+IF(AE8&gt;=30,(IF($H$5="Curries/Stews",COUNTIF(Helper_Ingredient!$N$3:$N$20,AC8),IF($H$5="Salads",COUNTIF(Helper_Ingredient!$O$3:$O$20,AC8),COUNTIF(Helper_Ingredient!$P$3:$P$19,AC8)))&gt;0),0)+IF(AE8&gt;=60,(IF($H$5="Curries/Stews",COUNTIF(Helper_Ingredient!$N$3:$N$20,AD8),IF($H$5="Salads",COUNTIF(Helper_Ingredient!$O$3:$O$20,AD8),COUNTIF(Helper_Ingredient!$P$3:$P$19,AD8)))&gt;0),0)</f>
        <v>1</v>
      </c>
      <c r="AI8">
        <f t="shared" si="1"/>
        <v>1005008.0000079999</v>
      </c>
      <c r="AJ8" t="str">
        <f>Data!A8</f>
        <v>Rattata</v>
      </c>
      <c r="AK8" t="str">
        <f>Data!H8</f>
        <v>Helping Speed S</v>
      </c>
      <c r="AL8">
        <f>Data!B8</f>
        <v>8</v>
      </c>
      <c r="AM8">
        <f>Data!R8</f>
        <v>2</v>
      </c>
      <c r="AN8" t="str">
        <f>Data!N8</f>
        <v>Ingredient Finding</v>
      </c>
      <c r="AO8">
        <f t="shared" si="2"/>
        <v>2008.000008</v>
      </c>
    </row>
    <row r="9" spans="1:41">
      <c r="A9" s="45" t="s">
        <v>25</v>
      </c>
      <c r="B9" s="56" t="s">
        <v>432</v>
      </c>
      <c r="S9" t="str">
        <f>Data!A9</f>
        <v>Gulpin</v>
      </c>
      <c r="T9" t="str">
        <f>Data!D9</f>
        <v>Chesto</v>
      </c>
      <c r="U9">
        <f>Data!B9</f>
        <v>10</v>
      </c>
      <c r="V9">
        <f>Data!P9</f>
        <v>2</v>
      </c>
      <c r="W9" t="str">
        <f>Data!N9</f>
        <v>EXP Gains</v>
      </c>
      <c r="X9">
        <f t="shared" si="0"/>
        <v>0</v>
      </c>
      <c r="AA9" t="str">
        <f>Data!A9</f>
        <v>Gulpin</v>
      </c>
      <c r="AB9" t="str">
        <f>Data!E9</f>
        <v>Greengrass Soybeans</v>
      </c>
      <c r="AC9" t="str">
        <f>Data!F9</f>
        <v>Greengrass Soybeans</v>
      </c>
      <c r="AD9" t="str">
        <f>Data!G9</f>
        <v>Tasty Mushroom</v>
      </c>
      <c r="AE9">
        <f>Data!B9</f>
        <v>10</v>
      </c>
      <c r="AF9">
        <f>Data!Q9</f>
        <v>5.5</v>
      </c>
      <c r="AG9" t="str">
        <f>Data!N9</f>
        <v>EXP Gains</v>
      </c>
      <c r="AH9">
        <f>(IF($H$5="Curries/Stews",COUNTIF(Helper_Ingredient!$N$3:$N$20,AB9),IF($H$5="Salads",COUNTIF(Helper_Ingredient!$O$3:$O$20,AB9),COUNTIF(Helper_Ingredient!$P$3:$P$19,AB9)))&gt;0)+IF(AE9&gt;=30,(IF($H$5="Curries/Stews",COUNTIF(Helper_Ingredient!$N$3:$N$20,AC9),IF($H$5="Salads",COUNTIF(Helper_Ingredient!$O$3:$O$20,AC9),COUNTIF(Helper_Ingredient!$P$3:$P$19,AC9)))&gt;0),0)+IF(AE9&gt;=60,(IF($H$5="Curries/Stews",COUNTIF(Helper_Ingredient!$N$3:$N$20,AD9),IF($H$5="Salads",COUNTIF(Helper_Ingredient!$O$3:$O$20,AD9),COUNTIF(Helper_Ingredient!$P$3:$P$19,AD9)))&gt;0),0)</f>
        <v>1</v>
      </c>
      <c r="AI9">
        <f t="shared" si="1"/>
        <v>1005510.000009</v>
      </c>
      <c r="AJ9" t="str">
        <f>Data!A9</f>
        <v>Gulpin</v>
      </c>
      <c r="AK9" t="str">
        <f>Data!H9</f>
        <v>Ingredient Finder M</v>
      </c>
      <c r="AL9">
        <f>Data!B9</f>
        <v>10</v>
      </c>
      <c r="AM9">
        <f>Data!R9</f>
        <v>1</v>
      </c>
      <c r="AN9" t="str">
        <f>Data!N9</f>
        <v>EXP Gains</v>
      </c>
      <c r="AO9">
        <f t="shared" si="2"/>
        <v>1010.000009</v>
      </c>
    </row>
    <row r="10" spans="1:41">
      <c r="S10" t="str">
        <f>Data!A10</f>
        <v>Swablu</v>
      </c>
      <c r="T10" t="str">
        <f>Data!D10</f>
        <v>Pamtre</v>
      </c>
      <c r="U10">
        <f>Data!B10</f>
        <v>7</v>
      </c>
      <c r="V10">
        <f>Data!P10</f>
        <v>3</v>
      </c>
      <c r="W10" t="str">
        <f>Data!N10</f>
        <v>Neutral</v>
      </c>
      <c r="X10">
        <f t="shared" si="0"/>
        <v>3007.0000100000002</v>
      </c>
      <c r="AA10" t="str">
        <f>Data!A10</f>
        <v>Swablu</v>
      </c>
      <c r="AB10" t="str">
        <f>Data!E10</f>
        <v>Fancy Egg</v>
      </c>
      <c r="AC10" t="str">
        <f>Data!F10</f>
        <v>Greengrass Soybeans</v>
      </c>
      <c r="AD10" t="str">
        <f>Data!G10</f>
        <v>Fancy Egg</v>
      </c>
      <c r="AE10">
        <f>Data!B10</f>
        <v>7</v>
      </c>
      <c r="AF10">
        <f>Data!Q10</f>
        <v>1.5</v>
      </c>
      <c r="AG10" t="str">
        <f>Data!N10</f>
        <v>Neutral</v>
      </c>
      <c r="AH10">
        <f>(IF($H$5="Curries/Stews",COUNTIF(Helper_Ingredient!$N$3:$N$20,AB10),IF($H$5="Salads",COUNTIF(Helper_Ingredient!$O$3:$O$20,AB10),COUNTIF(Helper_Ingredient!$P$3:$P$19,AB10)))&gt;0)+IF(AE10&gt;=30,(IF($H$5="Curries/Stews",COUNTIF(Helper_Ingredient!$N$3:$N$20,AC10),IF($H$5="Salads",COUNTIF(Helper_Ingredient!$O$3:$O$20,AC10),COUNTIF(Helper_Ingredient!$P$3:$P$19,AC10)))&gt;0),0)+IF(AE10&gt;=60,(IF($H$5="Curries/Stews",COUNTIF(Helper_Ingredient!$N$3:$N$20,AD10),IF($H$5="Salads",COUNTIF(Helper_Ingredient!$O$3:$O$20,AD10),COUNTIF(Helper_Ingredient!$P$3:$P$19,AD10)))&gt;0),0)</f>
        <v>1</v>
      </c>
      <c r="AI10">
        <f t="shared" si="1"/>
        <v>1001507.00001</v>
      </c>
      <c r="AJ10" t="str">
        <f>Data!A10</f>
        <v>Swablu</v>
      </c>
      <c r="AK10" t="str">
        <f>Data!H10</f>
        <v>Skill Trigger S</v>
      </c>
      <c r="AL10">
        <f>Data!B10</f>
        <v>7</v>
      </c>
      <c r="AM10">
        <f>Data!R10</f>
        <v>1</v>
      </c>
      <c r="AN10" t="str">
        <f>Data!N10</f>
        <v>Neutral</v>
      </c>
      <c r="AO10">
        <f t="shared" si="2"/>
        <v>1007.00001</v>
      </c>
    </row>
    <row r="11" spans="1:41">
      <c r="A11" s="49" t="s">
        <v>26</v>
      </c>
      <c r="B11" s="58" t="s">
        <v>27</v>
      </c>
      <c r="C11" s="49" t="s">
        <v>2</v>
      </c>
      <c r="D11" s="49" t="s">
        <v>4</v>
      </c>
      <c r="E11" s="49" t="s">
        <v>28</v>
      </c>
      <c r="G11" s="50" t="s">
        <v>26</v>
      </c>
      <c r="H11" s="50" t="s">
        <v>27</v>
      </c>
      <c r="I11" s="50" t="s">
        <v>29</v>
      </c>
      <c r="J11" s="50" t="s">
        <v>4</v>
      </c>
      <c r="K11" s="50" t="s">
        <v>28</v>
      </c>
      <c r="M11" s="51" t="s">
        <v>26</v>
      </c>
      <c r="N11" s="51" t="s">
        <v>27</v>
      </c>
      <c r="O11" s="51" t="s">
        <v>30</v>
      </c>
      <c r="P11" s="51" t="s">
        <v>4</v>
      </c>
      <c r="Q11" s="51" t="s">
        <v>28</v>
      </c>
      <c r="S11" t="str">
        <f>Data!A11</f>
        <v>Igglybuff</v>
      </c>
      <c r="T11" t="str">
        <f>Data!D11</f>
        <v>Pecha</v>
      </c>
      <c r="U11">
        <f>Data!B11</f>
        <v>4</v>
      </c>
      <c r="V11">
        <f>Data!P11</f>
        <v>0</v>
      </c>
      <c r="W11" t="str">
        <f>Data!N11</f>
        <v>Ingredient Finding</v>
      </c>
      <c r="X11">
        <f t="shared" si="0"/>
        <v>4.0000109999999998</v>
      </c>
      <c r="AA11" t="str">
        <f>Data!A11</f>
        <v>Igglybuff</v>
      </c>
      <c r="AB11" t="str">
        <f>Data!E11</f>
        <v>Honey</v>
      </c>
      <c r="AC11" t="str">
        <f>Data!F11</f>
        <v>Pure Oil</v>
      </c>
      <c r="AD11" t="str">
        <f>Data!G11</f>
        <v>Honey</v>
      </c>
      <c r="AE11">
        <f>Data!B11</f>
        <v>4</v>
      </c>
      <c r="AF11">
        <f>Data!Q11</f>
        <v>4.5</v>
      </c>
      <c r="AG11" t="str">
        <f>Data!N11</f>
        <v>Ingredient Finding</v>
      </c>
      <c r="AH11">
        <f>(IF($H$5="Curries/Stews",COUNTIF(Helper_Ingredient!$N$3:$N$20,AB11),IF($H$5="Salads",COUNTIF(Helper_Ingredient!$O$3:$O$20,AB11),COUNTIF(Helper_Ingredient!$P$3:$P$19,AB11)))&gt;0)+IF(AE11&gt;=30,(IF($H$5="Curries/Stews",COUNTIF(Helper_Ingredient!$N$3:$N$20,AC11),IF($H$5="Salads",COUNTIF(Helper_Ingredient!$O$3:$O$20,AC11),COUNTIF(Helper_Ingredient!$P$3:$P$19,AC11)))&gt;0),0)+IF(AE11&gt;=60,(IF($H$5="Curries/Stews",COUNTIF(Helper_Ingredient!$N$3:$N$20,AD11),IF($H$5="Salads",COUNTIF(Helper_Ingredient!$O$3:$O$20,AD11),COUNTIF(Helper_Ingredient!$P$3:$P$19,AD11)))&gt;0),0)</f>
        <v>1</v>
      </c>
      <c r="AI11">
        <f t="shared" si="1"/>
        <v>1004504.000011</v>
      </c>
      <c r="AJ11" t="str">
        <f>Data!A11</f>
        <v>Igglybuff</v>
      </c>
      <c r="AK11" t="str">
        <f>Data!H11</f>
        <v>Ingredient Finder M</v>
      </c>
      <c r="AL11">
        <f>Data!B11</f>
        <v>4</v>
      </c>
      <c r="AM11">
        <f>Data!R11</f>
        <v>2</v>
      </c>
      <c r="AN11" t="str">
        <f>Data!N11</f>
        <v>Ingredient Finding</v>
      </c>
      <c r="AO11">
        <f t="shared" si="2"/>
        <v>2004.0000110000001</v>
      </c>
    </row>
    <row r="12" spans="1:41">
      <c r="A12" s="52">
        <v>1</v>
      </c>
      <c r="B12" s="59" t="str">
        <f>IF($D12="","",INDEX($S$2:$S$250,MATCH(LARGE($X$2:$X$250,1),$X$2:$X$250,0)))</f>
        <v>Togepi</v>
      </c>
      <c r="C12" s="53" t="str">
        <f>IF($D12="","",INDEX($T$2:$T$250,MATCH(LARGE($X$2:$X$250,1),$X$2:$X$250,0)))</f>
        <v>Pecha</v>
      </c>
      <c r="D12" s="53">
        <f>IFERROR(IF(LARGE($X$2:$X$250,1)&lt;=0,"",INDEX($V$2:$V$250,MATCH(LARGE($X$2:$X$250,1),$X$2:$X$250,0))),"")</f>
        <v>5</v>
      </c>
      <c r="E12" s="53" t="str">
        <f>IF($D12="","",INDEX($W$2:$W$250,MATCH(LARGE($X$2:$X$250,1),$X$2:$X$250,0)))</f>
        <v>Speed of Help</v>
      </c>
      <c r="G12" s="52">
        <v>1</v>
      </c>
      <c r="H12" s="53" t="str">
        <f>IF($J12="","",INDEX($AA$2:$AA$250,MATCH(LARGE($AI$2:$AI$250,1),$AI$2:$AI$250,0)))</f>
        <v>Rattata</v>
      </c>
      <c r="I12" s="53" t="str">
        <f>IF($J12="","",INDEX($AB$2:$AB$250,MATCH(LARGE($AI$2:$AI$250,1),$AI$2:$AI$250,0)))</f>
        <v>Fancy Apple</v>
      </c>
      <c r="J12" s="53">
        <f>IFERROR(INDEX($AF$2:$AF$250,MATCH(LARGE($AI$2:$AI$250,1),$AI$2:$AI$250,0)),"")</f>
        <v>7.5</v>
      </c>
      <c r="K12" s="53" t="str">
        <f>IF($J12="","",INDEX($AG$2:$AG$250,MATCH(LARGE($AI$2:$AI$250,1),$AI$2:$AI$250,0)))</f>
        <v>EXP Gains</v>
      </c>
      <c r="M12" s="52">
        <v>1</v>
      </c>
      <c r="N12" s="53" t="str">
        <f>IF(P12="","",INDEX($AJ$2:$AJ$49,MATCH(LARGE($AO$2:$AO$49,1),$AO$2:$AO$49,0)))</f>
        <v>Cubone</v>
      </c>
      <c r="O12" s="53" t="str">
        <f>IF(P12="","",INDEX($AK$2:$AK$49,MATCH(LARGE($AO$2:$AO$49,1),$AO$2:$AO$49,0)))</f>
        <v>Skill Level Up M</v>
      </c>
      <c r="P12" s="53">
        <f>IFERROR(INDEX($AM$2:$AM$49,MATCH(LARGE($AO$2:$AO$49,1),$AO$2:$AO$49,0)),"")</f>
        <v>5</v>
      </c>
      <c r="Q12" s="53" t="str">
        <f>IF(P12="","",INDEX($AN$2:$AN$49,MATCH(LARGE($AO$2:$AO$49,1),$AO$2:$AO$49,0)))</f>
        <v>Energy Recovery</v>
      </c>
      <c r="S12" t="str">
        <f>Data!A12</f>
        <v>Treecko</v>
      </c>
      <c r="T12" t="str">
        <f>Data!D12</f>
        <v>Durin</v>
      </c>
      <c r="U12">
        <f>Data!B12</f>
        <v>5</v>
      </c>
      <c r="V12">
        <f>Data!P12</f>
        <v>3</v>
      </c>
      <c r="W12" t="str">
        <f>Data!N12</f>
        <v>Speed of Help</v>
      </c>
      <c r="X12">
        <f t="shared" si="0"/>
        <v>0</v>
      </c>
      <c r="AA12" t="str">
        <f>Data!A12</f>
        <v>Treecko</v>
      </c>
      <c r="AB12" t="str">
        <f>Data!E12</f>
        <v>Fancy Egg</v>
      </c>
      <c r="AC12" t="str">
        <f>Data!F12</f>
        <v>Fancy Egg</v>
      </c>
      <c r="AD12" t="str">
        <f>Data!G12</f>
        <v>Fancy Egg</v>
      </c>
      <c r="AE12">
        <f>Data!B12</f>
        <v>5</v>
      </c>
      <c r="AF12">
        <f>Data!Q12</f>
        <v>5</v>
      </c>
      <c r="AG12" t="str">
        <f>Data!N12</f>
        <v>Speed of Help</v>
      </c>
      <c r="AH12">
        <f>(IF($H$5="Curries/Stews",COUNTIF(Helper_Ingredient!$N$3:$N$20,AB12),IF($H$5="Salads",COUNTIF(Helper_Ingredient!$O$3:$O$20,AB12),COUNTIF(Helper_Ingredient!$P$3:$P$19,AB12)))&gt;0)+IF(AE12&gt;=30,(IF($H$5="Curries/Stews",COUNTIF(Helper_Ingredient!$N$3:$N$20,AC12),IF($H$5="Salads",COUNTIF(Helper_Ingredient!$O$3:$O$20,AC12),COUNTIF(Helper_Ingredient!$P$3:$P$19,AC12)))&gt;0),0)+IF(AE12&gt;=60,(IF($H$5="Curries/Stews",COUNTIF(Helper_Ingredient!$N$3:$N$20,AD12),IF($H$5="Salads",COUNTIF(Helper_Ingredient!$O$3:$O$20,AD12),COUNTIF(Helper_Ingredient!$P$3:$P$19,AD12)))&gt;0),0)</f>
        <v>1</v>
      </c>
      <c r="AI12">
        <f t="shared" si="1"/>
        <v>1005005.000012</v>
      </c>
      <c r="AJ12" t="str">
        <f>Data!A12</f>
        <v>Treecko</v>
      </c>
      <c r="AK12" t="str">
        <f>Data!H12</f>
        <v>Inventory Up L</v>
      </c>
      <c r="AL12">
        <f>Data!B12</f>
        <v>5</v>
      </c>
      <c r="AM12">
        <f>Data!R12</f>
        <v>-1</v>
      </c>
      <c r="AN12" t="str">
        <f>Data!N12</f>
        <v>Speed of Help</v>
      </c>
      <c r="AO12">
        <f t="shared" si="2"/>
        <v>-994.99998800000003</v>
      </c>
    </row>
    <row r="13" spans="1:41">
      <c r="A13" s="52">
        <v>2</v>
      </c>
      <c r="B13" s="59" t="str">
        <f>IF($D13="","",INDEX($S$2:$S$250,MATCH(LARGE($X$2:$X$250,2),$X$2:$X$250,0)))</f>
        <v>Igglybuff</v>
      </c>
      <c r="C13" s="53" t="str">
        <f>IF($D13="","",INDEX($T$2:$T$250,MATCH(LARGE($X$2:$X$250,2),$X$2:$X$250,0)))</f>
        <v>Pecha</v>
      </c>
      <c r="D13" s="53">
        <f>IFERROR(IF(LARGE($X$2:$X$250,2)&lt;=0,"",INDEX($V$2:$V$250,MATCH(LARGE($X$2:$X$250,2),$X$2:$X$250,0))),"")</f>
        <v>5</v>
      </c>
      <c r="E13" s="53" t="str">
        <f>IF($D13="","",INDEX($W$2:$W$250,MATCH(LARGE($X$2:$X$250,2),$X$2:$X$250,0)))</f>
        <v>Speed of Help</v>
      </c>
      <c r="G13" s="52">
        <v>2</v>
      </c>
      <c r="H13" s="53" t="str">
        <f>IF($J13="","",INDEX($AA$2:$AA$250,MATCH(LARGE($AI$2:$AI$250,2),$AI$2:$AI$250,0)))</f>
        <v>Pikachu</v>
      </c>
      <c r="I13" s="53" t="str">
        <f>IF($J13="","",INDEX($AB$2:$AB$250,MATCH(LARGE($AI$2:$AI$250,2),$AI$2:$AI$250,0)))</f>
        <v>Fancy Apple</v>
      </c>
      <c r="J13" s="53">
        <f>IFERROR(INDEX($AF$2:$AF$250,MATCH(LARGE($AI$2:$AI$250,2),$AI$2:$AI$250,0)),"")</f>
        <v>6.5</v>
      </c>
      <c r="K13" s="53" t="str">
        <f>IF($J13="","",INDEX($AG$2:$AG$250,MATCH(LARGE($AI$2:$AI$250,2),$AI$2:$AI$250,0)))</f>
        <v>Ingredient Finding</v>
      </c>
      <c r="M13" s="52">
        <v>2</v>
      </c>
      <c r="N13" s="53" t="str">
        <f>IF(P13="","",INDEX($AJ$2:$AJ$49,MATCH(LARGE($AO$2:$AO$49,2),$AO$2:$AO$49,0)))</f>
        <v>Ivysaur</v>
      </c>
      <c r="O13" s="53" t="str">
        <f>IF(P13="","",INDEX($AK$2:$AK$49,MATCH(LARGE($AO$2:$AO$49,2),$AO$2:$AO$49,0)))</f>
        <v>Skill Level Up S</v>
      </c>
      <c r="P13" s="53">
        <f>IFERROR(INDEX($AM$2:$AM$49,MATCH(LARGE($AO$2:$AO$49,2),$AO$2:$AO$49,0)),"")</f>
        <v>4</v>
      </c>
      <c r="Q13" s="53" t="str">
        <f>IF(P13="","",INDEX($AN$2:$AN$49,MATCH(LARGE($AO$2:$AO$49,2),$AO$2:$AO$49,0)))</f>
        <v>Main Skill Chance</v>
      </c>
      <c r="S13" t="str">
        <f>Data!A13</f>
        <v>Growlithe</v>
      </c>
      <c r="T13" t="str">
        <f>Data!D13</f>
        <v>Leppa</v>
      </c>
      <c r="U13">
        <f>Data!B13</f>
        <v>10</v>
      </c>
      <c r="V13">
        <f>Data!P13</f>
        <v>1</v>
      </c>
      <c r="W13" t="str">
        <f>Data!N13</f>
        <v>EXP Gains</v>
      </c>
      <c r="X13">
        <f t="shared" si="0"/>
        <v>0</v>
      </c>
      <c r="AA13" t="str">
        <f>Data!A13</f>
        <v>Growlithe</v>
      </c>
      <c r="AB13" t="str">
        <f>Data!E13</f>
        <v>Fiery Herb</v>
      </c>
      <c r="AC13" t="str">
        <f>Data!F13</f>
        <v>Bean Sausage</v>
      </c>
      <c r="AD13" t="str">
        <f>Data!G13</f>
        <v>Moomoo Milk</v>
      </c>
      <c r="AE13">
        <f>Data!B13</f>
        <v>10</v>
      </c>
      <c r="AF13">
        <f>Data!Q13</f>
        <v>3</v>
      </c>
      <c r="AG13" t="str">
        <f>Data!N13</f>
        <v>EXP Gains</v>
      </c>
      <c r="AH13">
        <f>(IF($H$5="Curries/Stews",COUNTIF(Helper_Ingredient!$N$3:$N$20,AB13),IF($H$5="Salads",COUNTIF(Helper_Ingredient!$O$3:$O$20,AB13),COUNTIF(Helper_Ingredient!$P$3:$P$19,AB13)))&gt;0)+IF(AE13&gt;=30,(IF($H$5="Curries/Stews",COUNTIF(Helper_Ingredient!$N$3:$N$20,AC13),IF($H$5="Salads",COUNTIF(Helper_Ingredient!$O$3:$O$20,AC13),COUNTIF(Helper_Ingredient!$P$3:$P$19,AC13)))&gt;0),0)+IF(AE13&gt;=60,(IF($H$5="Curries/Stews",COUNTIF(Helper_Ingredient!$N$3:$N$20,AD13),IF($H$5="Salads",COUNTIF(Helper_Ingredient!$O$3:$O$20,AD13),COUNTIF(Helper_Ingredient!$P$3:$P$19,AD13)))&gt;0),0)</f>
        <v>0</v>
      </c>
      <c r="AI13">
        <f t="shared" si="1"/>
        <v>0</v>
      </c>
      <c r="AJ13" t="str">
        <f>Data!A13</f>
        <v>Growlithe</v>
      </c>
      <c r="AK13" t="str">
        <f>Data!H13</f>
        <v>Energy Recovery Bonus</v>
      </c>
      <c r="AL13">
        <f>Data!B13</f>
        <v>10</v>
      </c>
      <c r="AM13">
        <f>Data!R13</f>
        <v>3.5</v>
      </c>
      <c r="AN13" t="str">
        <f>Data!N13</f>
        <v>EXP Gains</v>
      </c>
      <c r="AO13">
        <f t="shared" si="2"/>
        <v>3510.0000129999999</v>
      </c>
    </row>
    <row r="14" spans="1:41">
      <c r="A14" s="52">
        <v>3</v>
      </c>
      <c r="B14" s="59" t="str">
        <f>IF($D14="","",INDEX($S$2:$S$250,MATCH(LARGE($X$2:$X$250,3),$X$2:$X$250,0)))</f>
        <v>Psyduck</v>
      </c>
      <c r="C14" s="53" t="str">
        <f>IF($D14="","",INDEX($T$2:$T$250,MATCH(LARGE($X$2:$X$250,3),$X$2:$X$250,0)))</f>
        <v>Oran</v>
      </c>
      <c r="D14" s="53">
        <f>IFERROR(IF(LARGE($X$2:$X$250,3)&lt;=0,"",INDEX($V$2:$V$250,MATCH(LARGE($X$2:$X$250,3),$X$2:$X$250,0))),"")</f>
        <v>4</v>
      </c>
      <c r="E14" s="53" t="str">
        <f>IF($D14="","",INDEX($W$2:$W$250,MATCH(LARGE($X$2:$X$250,3),$X$2:$X$250,0)))</f>
        <v>Speed of Help</v>
      </c>
      <c r="G14" s="52">
        <v>3</v>
      </c>
      <c r="H14" s="53" t="str">
        <f>IF($J14="","",INDEX($AA$2:$AA$250,MATCH(LARGE($AI$2:$AI$250,3),$AI$2:$AI$250,0)))</f>
        <v>Psyduck</v>
      </c>
      <c r="I14" s="53" t="str">
        <f>IF($J14="","",INDEX($AB$2:$AB$250,MATCH(LARGE($AI$2:$AI$250,3),$AI$2:$AI$250,0)))</f>
        <v>Soothing Cacao</v>
      </c>
      <c r="J14" s="53">
        <f>IFERROR(INDEX($AF$2:$AF$250,MATCH(LARGE($AI$2:$AI$250,3),$AI$2:$AI$250,0)),"")</f>
        <v>6.5</v>
      </c>
      <c r="K14" s="53" t="str">
        <f>IF($J14="","",INDEX($AG$2:$AG$250,MATCH(LARGE($AI$2:$AI$250,3),$AI$2:$AI$250,0)))</f>
        <v>EXP Gains</v>
      </c>
      <c r="M14" s="52">
        <v>3</v>
      </c>
      <c r="N14" s="53" t="str">
        <f>IF(P14="","",INDEX($AJ$2:$AJ$49,MATCH(LARGE($AO$2:$AO$49,3),$AO$2:$AO$49,0)))</f>
        <v>Magnemite</v>
      </c>
      <c r="O14" s="53" t="str">
        <f>IF(P14="","",INDEX($AK$2:$AK$49,MATCH(LARGE($AO$2:$AO$49,3),$AO$2:$AO$49,0)))</f>
        <v>Inventory Up L</v>
      </c>
      <c r="P14" s="53">
        <f>IFERROR(INDEX($AM$2:$AM$49,MATCH(LARGE($AO$2:$AO$49,3),$AO$2:$AO$49,0)),"")</f>
        <v>4</v>
      </c>
      <c r="Q14" s="53" t="str">
        <f>IF(P14="","",INDEX($AN$2:$AN$49,MATCH(LARGE($AO$2:$AO$49,3),$AO$2:$AO$49,0)))</f>
        <v>Neutral</v>
      </c>
      <c r="S14" t="str">
        <f>Data!A14</f>
        <v>Psyduck</v>
      </c>
      <c r="T14" t="str">
        <f>Data!D14</f>
        <v>Oran</v>
      </c>
      <c r="U14">
        <f>Data!B14</f>
        <v>6</v>
      </c>
      <c r="V14">
        <f>Data!P14</f>
        <v>-1</v>
      </c>
      <c r="W14" t="str">
        <f>Data!N14</f>
        <v>Energy Recovery</v>
      </c>
      <c r="X14">
        <f t="shared" si="0"/>
        <v>-993.99998600000004</v>
      </c>
      <c r="AA14" t="str">
        <f>Data!A14</f>
        <v>Psyduck</v>
      </c>
      <c r="AB14" t="str">
        <f>Data!E14</f>
        <v>Soothing Cacao</v>
      </c>
      <c r="AC14" t="str">
        <f>Data!F14</f>
        <v>Soothing Cacao</v>
      </c>
      <c r="AD14" t="str">
        <f>Data!G14</f>
        <v>Soothing Cacao</v>
      </c>
      <c r="AE14">
        <f>Data!B14</f>
        <v>6</v>
      </c>
      <c r="AF14">
        <f>Data!Q14</f>
        <v>4.5</v>
      </c>
      <c r="AG14" t="str">
        <f>Data!N14</f>
        <v>Energy Recovery</v>
      </c>
      <c r="AH14">
        <f>(IF($H$5="Curries/Stews",COUNTIF(Helper_Ingredient!$N$3:$N$20,AB14),IF($H$5="Salads",COUNTIF(Helper_Ingredient!$O$3:$O$20,AB14),COUNTIF(Helper_Ingredient!$P$3:$P$19,AB14)))&gt;0)+IF(AE14&gt;=30,(IF($H$5="Curries/Stews",COUNTIF(Helper_Ingredient!$N$3:$N$20,AC14),IF($H$5="Salads",COUNTIF(Helper_Ingredient!$O$3:$O$20,AC14),COUNTIF(Helper_Ingredient!$P$3:$P$19,AC14)))&gt;0),0)+IF(AE14&gt;=60,(IF($H$5="Curries/Stews",COUNTIF(Helper_Ingredient!$N$3:$N$20,AD14),IF($H$5="Salads",COUNTIF(Helper_Ingredient!$O$3:$O$20,AD14),COUNTIF(Helper_Ingredient!$P$3:$P$19,AD14)))&gt;0),0)</f>
        <v>1</v>
      </c>
      <c r="AI14">
        <f t="shared" si="1"/>
        <v>1004506.000014</v>
      </c>
      <c r="AJ14" t="str">
        <f>Data!A14</f>
        <v>Psyduck</v>
      </c>
      <c r="AK14" t="str">
        <f>Data!H14</f>
        <v>Inventory Up M</v>
      </c>
      <c r="AL14">
        <f>Data!B14</f>
        <v>6</v>
      </c>
      <c r="AM14">
        <f>Data!R14</f>
        <v>2</v>
      </c>
      <c r="AN14" t="str">
        <f>Data!N14</f>
        <v>Energy Recovery</v>
      </c>
      <c r="AO14">
        <f t="shared" si="2"/>
        <v>2006.000014</v>
      </c>
    </row>
    <row r="15" spans="1:41">
      <c r="A15" s="52">
        <v>4</v>
      </c>
      <c r="B15" s="59" t="str">
        <f>IF($D15="","",INDEX($S$2:$S$250,MATCH(LARGE($X$2:$X$250,4),$X$2:$X$250,0)))</f>
        <v>Igglybuff</v>
      </c>
      <c r="C15" s="53" t="str">
        <f>IF($D15="","",INDEX($T$2:$T$250,MATCH(LARGE($X$2:$X$250,4),$X$2:$X$250,0)))</f>
        <v>Pecha</v>
      </c>
      <c r="D15" s="53">
        <f>IFERROR(IF(LARGE($X$2:$X$250,4)&lt;=0,"",INDEX($V$2:$V$250,MATCH(LARGE($X$2:$X$250,4),$X$2:$X$250,0))),"")</f>
        <v>3</v>
      </c>
      <c r="E15" s="53" t="str">
        <f>IF($D15="","",INDEX($W$2:$W$250,MATCH(LARGE($X$2:$X$250,4),$X$2:$X$250,0)))</f>
        <v>Speed of Help</v>
      </c>
      <c r="G15" s="52">
        <v>4</v>
      </c>
      <c r="H15" s="53" t="str">
        <f>IF($J15="","",INDEX($AA$2:$AA$250,MATCH(LARGE($AI$2:$AI$250,4),$AI$2:$AI$250,0)))</f>
        <v>Rattata</v>
      </c>
      <c r="I15" s="53" t="str">
        <f>IF($J15="","",INDEX($AB$2:$AB$250,MATCH(LARGE($AI$2:$AI$250,4),$AI$2:$AI$250,0)))</f>
        <v>Fancy Apple</v>
      </c>
      <c r="J15" s="53">
        <f>IFERROR(INDEX($AF$2:$AF$250,MATCH(LARGE($AI$2:$AI$250,4),$AI$2:$AI$250,0)),"")</f>
        <v>6.5</v>
      </c>
      <c r="K15" s="53" t="str">
        <f>IF($J15="","",INDEX($AG$2:$AG$250,MATCH(LARGE($AI$2:$AI$250,4),$AI$2:$AI$250,0)))</f>
        <v>EXP Gains</v>
      </c>
      <c r="M15" s="52">
        <v>4</v>
      </c>
      <c r="N15" s="53" t="str">
        <f>IF(P15="","",INDEX($AJ$2:$AJ$49,MATCH(LARGE($AO$2:$AO$49,4),$AO$2:$AO$49,0)))</f>
        <v>Bonsly</v>
      </c>
      <c r="O15" s="53" t="str">
        <f>IF(P15="","",INDEX($AK$2:$AK$49,MATCH(LARGE($AO$2:$AO$49,4),$AO$2:$AO$49,0)))</f>
        <v>Helping Speed S</v>
      </c>
      <c r="P15" s="53">
        <f>IFERROR(INDEX($AM$2:$AM$49,MATCH(LARGE($AO$2:$AO$49,4),$AO$2:$AO$49,0)),"")</f>
        <v>4</v>
      </c>
      <c r="Q15" s="53" t="str">
        <f>IF(P15="","",INDEX($AN$2:$AN$49,MATCH(LARGE($AO$2:$AO$49,4),$AO$2:$AO$49,0)))</f>
        <v>Speed of Help</v>
      </c>
      <c r="S15" t="str">
        <f>Data!A15</f>
        <v>Riolu</v>
      </c>
      <c r="T15" t="str">
        <f>Data!D15</f>
        <v>Cheri</v>
      </c>
      <c r="U15">
        <f>Data!B15</f>
        <v>9</v>
      </c>
      <c r="V15">
        <f>Data!P15</f>
        <v>6</v>
      </c>
      <c r="W15" t="str">
        <f>Data!N15</f>
        <v>Speed of Help</v>
      </c>
      <c r="X15">
        <f t="shared" si="0"/>
        <v>0</v>
      </c>
      <c r="AA15" t="str">
        <f>Data!A15</f>
        <v>Riolu</v>
      </c>
      <c r="AB15" t="str">
        <f>Data!E15</f>
        <v>Pure Oil</v>
      </c>
      <c r="AC15" t="str">
        <f>Data!F15</f>
        <v>Soft Potato</v>
      </c>
      <c r="AD15" t="str">
        <f>Data!G15</f>
        <v>Pure Oil</v>
      </c>
      <c r="AE15">
        <f>Data!B15</f>
        <v>9</v>
      </c>
      <c r="AF15">
        <f>Data!Q15</f>
        <v>-1</v>
      </c>
      <c r="AG15" t="str">
        <f>Data!N15</f>
        <v>Speed of Help</v>
      </c>
      <c r="AH15">
        <f>(IF($H$5="Curries/Stews",COUNTIF(Helper_Ingredient!$N$3:$N$20,AB15),IF($H$5="Salads",COUNTIF(Helper_Ingredient!$O$3:$O$20,AB15),COUNTIF(Helper_Ingredient!$P$3:$P$19,AB15)))&gt;0)+IF(AE15&gt;=30,(IF($H$5="Curries/Stews",COUNTIF(Helper_Ingredient!$N$3:$N$20,AC15),IF($H$5="Salads",COUNTIF(Helper_Ingredient!$O$3:$O$20,AC15),COUNTIF(Helper_Ingredient!$P$3:$P$19,AC15)))&gt;0),0)+IF(AE15&gt;=60,(IF($H$5="Curries/Stews",COUNTIF(Helper_Ingredient!$N$3:$N$20,AD15),IF($H$5="Salads",COUNTIF(Helper_Ingredient!$O$3:$O$20,AD15),COUNTIF(Helper_Ingredient!$P$3:$P$19,AD15)))&gt;0),0)</f>
        <v>1</v>
      </c>
      <c r="AI15">
        <f t="shared" si="1"/>
        <v>999009.000015</v>
      </c>
      <c r="AJ15" t="str">
        <f>Data!A15</f>
        <v>Riolu</v>
      </c>
      <c r="AK15" t="str">
        <f>Data!H15</f>
        <v>Helping Speed M</v>
      </c>
      <c r="AL15">
        <f>Data!B15</f>
        <v>9</v>
      </c>
      <c r="AM15">
        <f>Data!R15</f>
        <v>2</v>
      </c>
      <c r="AN15" t="str">
        <f>Data!N15</f>
        <v>Speed of Help</v>
      </c>
      <c r="AO15">
        <f t="shared" si="2"/>
        <v>2009.0000150000001</v>
      </c>
    </row>
    <row r="16" spans="1:41" ht="30">
      <c r="A16" s="52">
        <v>5</v>
      </c>
      <c r="B16" s="59" t="str">
        <f>IF($D16="","",INDEX($S$2:$S$250,MATCH(LARGE($X$2:$X$250,5),$X$2:$X$250,0)))</f>
        <v>Psyduck</v>
      </c>
      <c r="C16" s="53" t="str">
        <f>IF($D16="","",INDEX($T$2:$T$250,MATCH(LARGE($X$2:$X$250,5),$X$2:$X$250,0)))</f>
        <v>Oran</v>
      </c>
      <c r="D16" s="53">
        <f>IFERROR(IF(LARGE($X$2:$X$250,5)&lt;=0,"",INDEX($V$2:$V$250,MATCH(LARGE($X$2:$X$250,5),$X$2:$X$250,0))),"")</f>
        <v>3</v>
      </c>
      <c r="E16" s="53" t="str">
        <f>IF($D16="","",INDEX($W$2:$W$250,MATCH(LARGE($X$2:$X$250,5),$X$2:$X$250,0)))</f>
        <v>EXP Gains</v>
      </c>
      <c r="G16" s="52">
        <v>5</v>
      </c>
      <c r="H16" s="53" t="str">
        <f>IF($J16="","",INDEX($AA$2:$AA$250,MATCH(LARGE($AI$2:$AI$250,5),$AI$2:$AI$250,0)))</f>
        <v>Gulpin</v>
      </c>
      <c r="I16" s="53" t="str">
        <f>IF($J16="","",INDEX($AB$2:$AB$250,MATCH(LARGE($AI$2:$AI$250,5),$AI$2:$AI$250,0)))</f>
        <v>Greengrass Soybeans</v>
      </c>
      <c r="J16" s="53">
        <f>IFERROR(INDEX($AF$2:$AF$250,MATCH(LARGE($AI$2:$AI$250,5),$AI$2:$AI$250,0)),"")</f>
        <v>5.5</v>
      </c>
      <c r="K16" s="53" t="str">
        <f>IF($J16="","",INDEX($AG$2:$AG$250,MATCH(LARGE($AI$2:$AI$250,5),$AI$2:$AI$250,0)))</f>
        <v>EXP Gains</v>
      </c>
      <c r="M16" s="52">
        <v>5</v>
      </c>
      <c r="N16" s="53" t="str">
        <f>IF(P16="","",INDEX($AJ$2:$AJ$49,MATCH(LARGE($AO$2:$AO$49,5),$AO$2:$AO$49,0)))</f>
        <v>Charmander</v>
      </c>
      <c r="O16" s="53" t="str">
        <f>IF(P16="","",INDEX($AK$2:$AK$49,MATCH(LARGE($AO$2:$AO$49,5),$AO$2:$AO$49,0)))</f>
        <v>Helping Speed S</v>
      </c>
      <c r="P16" s="53">
        <f>IFERROR(INDEX($AM$2:$AM$49,MATCH(LARGE($AO$2:$AO$49,5),$AO$2:$AO$49,0)),"")</f>
        <v>4</v>
      </c>
      <c r="Q16" s="53" t="str">
        <f>IF(P16="","",INDEX($AN$2:$AN$49,MATCH(LARGE($AO$2:$AO$49,5),$AO$2:$AO$49,0)))</f>
        <v>EXP Gains</v>
      </c>
      <c r="S16" t="str">
        <f>Data!A16</f>
        <v>Treecko</v>
      </c>
      <c r="T16" t="str">
        <f>Data!D16</f>
        <v>Durin</v>
      </c>
      <c r="U16">
        <f>Data!B16</f>
        <v>8</v>
      </c>
      <c r="V16">
        <f>Data!P16</f>
        <v>3</v>
      </c>
      <c r="W16" t="str">
        <f>Data!N16</f>
        <v>Ingredient Finding</v>
      </c>
      <c r="X16">
        <f t="shared" si="0"/>
        <v>0</v>
      </c>
      <c r="AA16" t="str">
        <f>Data!A16</f>
        <v>Treecko</v>
      </c>
      <c r="AB16" t="str">
        <f>Data!E16</f>
        <v>Fancy Egg</v>
      </c>
      <c r="AC16" t="str">
        <f>Data!F16</f>
        <v>Fancy Egg</v>
      </c>
      <c r="AD16" t="str">
        <f>Data!G16</f>
        <v>Rousing Coffee</v>
      </c>
      <c r="AE16">
        <f>Data!B16</f>
        <v>8</v>
      </c>
      <c r="AF16">
        <f>Data!Q16</f>
        <v>3</v>
      </c>
      <c r="AG16" t="str">
        <f>Data!N16</f>
        <v>Ingredient Finding</v>
      </c>
      <c r="AH16">
        <f>(IF($H$5="Curries/Stews",COUNTIF(Helper_Ingredient!$N$3:$N$20,AB16),IF($H$5="Salads",COUNTIF(Helper_Ingredient!$O$3:$O$20,AB16),COUNTIF(Helper_Ingredient!$P$3:$P$19,AB16)))&gt;0)+IF(AE16&gt;=30,(IF($H$5="Curries/Stews",COUNTIF(Helper_Ingredient!$N$3:$N$20,AC16),IF($H$5="Salads",COUNTIF(Helper_Ingredient!$O$3:$O$20,AC16),COUNTIF(Helper_Ingredient!$P$3:$P$19,AC16)))&gt;0),0)+IF(AE16&gt;=60,(IF($H$5="Curries/Stews",COUNTIF(Helper_Ingredient!$N$3:$N$20,AD16),IF($H$5="Salads",COUNTIF(Helper_Ingredient!$O$3:$O$20,AD16),COUNTIF(Helper_Ingredient!$P$3:$P$19,AD16)))&gt;0),0)</f>
        <v>1</v>
      </c>
      <c r="AI16">
        <f t="shared" si="1"/>
        <v>1003008.000016</v>
      </c>
      <c r="AJ16" t="str">
        <f>Data!A16</f>
        <v>Treecko</v>
      </c>
      <c r="AK16" t="str">
        <f>Data!H16</f>
        <v>Helping Speed S</v>
      </c>
      <c r="AL16">
        <f>Data!B16</f>
        <v>8</v>
      </c>
      <c r="AM16">
        <f>Data!R16</f>
        <v>0</v>
      </c>
      <c r="AN16" t="str">
        <f>Data!N16</f>
        <v>Ingredient Finding</v>
      </c>
      <c r="AO16">
        <f t="shared" si="2"/>
        <v>8.0000160000000005</v>
      </c>
    </row>
    <row r="17" spans="1:41">
      <c r="A17" s="52"/>
      <c r="B17" s="59"/>
      <c r="C17" s="53"/>
      <c r="D17" s="53"/>
      <c r="E17" s="53"/>
      <c r="G17" s="52"/>
      <c r="H17" s="53"/>
      <c r="I17" s="53"/>
      <c r="J17" s="53"/>
      <c r="K17" s="53"/>
      <c r="M17" s="52"/>
      <c r="N17" s="53"/>
      <c r="O17" s="53"/>
      <c r="P17" s="53"/>
      <c r="Q17" s="53"/>
      <c r="S17" t="str">
        <f>Data!A17</f>
        <v>Swablu</v>
      </c>
      <c r="T17" t="str">
        <f>Data!D17</f>
        <v>Pamtre</v>
      </c>
      <c r="U17">
        <f>Data!B17</f>
        <v>5</v>
      </c>
      <c r="V17">
        <f>Data!P17</f>
        <v>0</v>
      </c>
      <c r="W17" t="str">
        <f>Data!N17</f>
        <v>EXP Gains</v>
      </c>
      <c r="X17">
        <f t="shared" si="0"/>
        <v>5.0000169999999997</v>
      </c>
      <c r="AA17" t="str">
        <f>Data!A17</f>
        <v>Swablu</v>
      </c>
      <c r="AB17" t="str">
        <f>Data!E17</f>
        <v>Fancy Egg</v>
      </c>
      <c r="AC17" t="str">
        <f>Data!F17</f>
        <v>Greengrass Soybeans</v>
      </c>
      <c r="AD17" t="str">
        <f>Data!G17</f>
        <v>Greengrass Soybeans</v>
      </c>
      <c r="AE17">
        <f>Data!B17</f>
        <v>5</v>
      </c>
      <c r="AF17">
        <f>Data!Q17</f>
        <v>3.5</v>
      </c>
      <c r="AG17" t="str">
        <f>Data!N17</f>
        <v>EXP Gains</v>
      </c>
      <c r="AH17">
        <f>(IF($H$5="Curries/Stews",COUNTIF(Helper_Ingredient!$N$3:$N$20,AB17),IF($H$5="Salads",COUNTIF(Helper_Ingredient!$O$3:$O$20,AB17),COUNTIF(Helper_Ingredient!$P$3:$P$19,AB17)))&gt;0)+IF(AE17&gt;=30,(IF($H$5="Curries/Stews",COUNTIF(Helper_Ingredient!$N$3:$N$20,AC17),IF($H$5="Salads",COUNTIF(Helper_Ingredient!$O$3:$O$20,AC17),COUNTIF(Helper_Ingredient!$P$3:$P$19,AC17)))&gt;0),0)+IF(AE17&gt;=60,(IF($H$5="Curries/Stews",COUNTIF(Helper_Ingredient!$N$3:$N$20,AD17),IF($H$5="Salads",COUNTIF(Helper_Ingredient!$O$3:$O$20,AD17),COUNTIF(Helper_Ingredient!$P$3:$P$19,AD17)))&gt;0),0)</f>
        <v>1</v>
      </c>
      <c r="AI17">
        <f t="shared" si="1"/>
        <v>1003505.000017</v>
      </c>
      <c r="AJ17" t="str">
        <f>Data!A17</f>
        <v>Swablu</v>
      </c>
      <c r="AK17" t="str">
        <f>Data!H17</f>
        <v>Skill Trigger S</v>
      </c>
      <c r="AL17">
        <f>Data!B17</f>
        <v>5</v>
      </c>
      <c r="AM17">
        <f>Data!R17</f>
        <v>3</v>
      </c>
      <c r="AN17" t="str">
        <f>Data!N17</f>
        <v>EXP Gains</v>
      </c>
      <c r="AO17">
        <f t="shared" si="2"/>
        <v>3005.0000169999998</v>
      </c>
    </row>
    <row r="18" spans="1:41">
      <c r="A18" s="63" t="s">
        <v>31</v>
      </c>
      <c r="B18" s="64"/>
      <c r="C18" s="64"/>
      <c r="D18" s="64"/>
      <c r="E18" s="65"/>
      <c r="G18" s="63" t="s">
        <v>31</v>
      </c>
      <c r="H18" s="64"/>
      <c r="I18" s="64"/>
      <c r="J18" s="64"/>
      <c r="K18" s="65"/>
      <c r="M18" s="63" t="s">
        <v>31</v>
      </c>
      <c r="N18" s="64"/>
      <c r="O18" s="64"/>
      <c r="P18" s="64"/>
      <c r="Q18" s="65"/>
      <c r="S18" t="str">
        <f>Data!A18</f>
        <v>Drifloon</v>
      </c>
      <c r="T18" t="str">
        <f>Data!D18</f>
        <v>Bluk</v>
      </c>
      <c r="U18">
        <f>Data!B18</f>
        <v>6</v>
      </c>
      <c r="V18">
        <f>Data!P18</f>
        <v>3</v>
      </c>
      <c r="W18" t="str">
        <f>Data!N18</f>
        <v>Speed of Help</v>
      </c>
      <c r="X18">
        <f t="shared" si="0"/>
        <v>0</v>
      </c>
      <c r="AA18" t="str">
        <f>Data!A18</f>
        <v>Drifloon</v>
      </c>
      <c r="AB18" t="str">
        <f>Data!E18</f>
        <v>Greengrass Corn</v>
      </c>
      <c r="AC18" t="str">
        <f>Data!F18</f>
        <v>Pure Oil</v>
      </c>
      <c r="AD18" t="str">
        <f>Data!G18</f>
        <v>Pure Oil</v>
      </c>
      <c r="AE18">
        <f>Data!B18</f>
        <v>6</v>
      </c>
      <c r="AF18">
        <f>Data!Q18</f>
        <v>1.5</v>
      </c>
      <c r="AG18" t="str">
        <f>Data!N18</f>
        <v>Speed of Help</v>
      </c>
      <c r="AH18">
        <f>(IF($H$5="Curries/Stews",COUNTIF(Helper_Ingredient!$N$3:$N$20,AB18),IF($H$5="Salads",COUNTIF(Helper_Ingredient!$O$3:$O$20,AB18),COUNTIF(Helper_Ingredient!$P$3:$P$19,AB18)))&gt;0)+IF(AE18&gt;=30,(IF($H$5="Curries/Stews",COUNTIF(Helper_Ingredient!$N$3:$N$20,AC18),IF($H$5="Salads",COUNTIF(Helper_Ingredient!$O$3:$O$20,AC18),COUNTIF(Helper_Ingredient!$P$3:$P$19,AC18)))&gt;0),0)+IF(AE18&gt;=60,(IF($H$5="Curries/Stews",COUNTIF(Helper_Ingredient!$N$3:$N$20,AD18),IF($H$5="Salads",COUNTIF(Helper_Ingredient!$O$3:$O$20,AD18),COUNTIF(Helper_Ingredient!$P$3:$P$19,AD18)))&gt;0),0)</f>
        <v>1</v>
      </c>
      <c r="AI18">
        <f t="shared" si="1"/>
        <v>1001506.000018</v>
      </c>
      <c r="AJ18" t="str">
        <f>Data!A18</f>
        <v>Drifloon</v>
      </c>
      <c r="AK18" t="str">
        <f>Data!H18</f>
        <v>Ingredient Finder S</v>
      </c>
      <c r="AL18">
        <f>Data!B18</f>
        <v>6</v>
      </c>
      <c r="AM18">
        <f>Data!R18</f>
        <v>2</v>
      </c>
      <c r="AN18" t="str">
        <f>Data!N18</f>
        <v>Speed of Help</v>
      </c>
      <c r="AO18">
        <f t="shared" si="2"/>
        <v>2006.000018</v>
      </c>
    </row>
    <row r="19" spans="1:41">
      <c r="A19" s="52">
        <v>1</v>
      </c>
      <c r="B19" s="59" t="str">
        <f>IF($D19="","",INDEX($S$2:$S$250,MATCH(LARGE($X$2:$X$250,6),$X$2:$X$250,0)))</f>
        <v>Swablu</v>
      </c>
      <c r="C19" s="53" t="str">
        <f>IF($D19="","",INDEX($T$2:$T$250,MATCH(LARGE($X$2:$X$250,6),$X$2:$X$250,0)))</f>
        <v>Pamtre</v>
      </c>
      <c r="D19" s="53">
        <f>IFERROR(IF(LARGE($X$2:$X$250,6)&lt;=0,"",INDEX($V$2:$V$250,MATCH(LARGE($X$2:$X$250,6),$X$2:$X$250,0))),"")</f>
        <v>3</v>
      </c>
      <c r="E19" s="53" t="str">
        <f>IF($D19="","",INDEX($W$2:$W$250,MATCH(LARGE($X$2:$X$250,6),$X$2:$X$250,0)))</f>
        <v>Neutral</v>
      </c>
      <c r="G19" s="52">
        <v>1</v>
      </c>
      <c r="H19" s="53" t="str">
        <f>IF($J19="","",INDEX($AA$2:$AA$250,MATCH(LARGE($AI$2:$AI$250,6),$AI$2:$AI$250,0)))</f>
        <v>Igglybuff</v>
      </c>
      <c r="I19" s="53" t="str">
        <f>IF($J19="","",INDEX($AB$2:$AB$250,MATCH(LARGE($AI$2:$AI$250,6),$AI$2:$AI$250,0)))</f>
        <v>Honey</v>
      </c>
      <c r="J19" s="53">
        <f>IFERROR(INDEX($AF$2:$AF$250,MATCH(LARGE($AI$2:$AI$250,6),$AI$2:$AI$250,0)),"")</f>
        <v>5.5</v>
      </c>
      <c r="K19" s="53" t="str">
        <f>IF($J19="","",INDEX($AG$2:$AG$250,MATCH(LARGE($AI$2:$AI$250,6),$AI$2:$AI$250,0)))</f>
        <v>EXP Gains</v>
      </c>
      <c r="M19" s="52">
        <v>1</v>
      </c>
      <c r="N19" s="53" t="str">
        <f>IF(P19="","",INDEX($AJ$2:$AJ$49,MATCH(LARGE($AO$2:$AO$49,6),$AO$2:$AO$49,0)))</f>
        <v>Riolu</v>
      </c>
      <c r="O19" s="53" t="str">
        <f>IF(P19="","",INDEX($AK$2:$AK$49,MATCH(LARGE($AO$2:$AO$49,6),$AO$2:$AO$49,0)))</f>
        <v>Inventory Up L</v>
      </c>
      <c r="P19" s="53">
        <f>IFERROR(INDEX($AM$2:$AM$49,MATCH(LARGE($AO$2:$AO$49,6),$AO$2:$AO$49,0)),"")</f>
        <v>4</v>
      </c>
      <c r="Q19" s="53" t="str">
        <f>IF(P19="","",INDEX($AN$2:$AN$49,MATCH(LARGE($AO$2:$AO$49,6),$AO$2:$AO$49,0)))</f>
        <v>Main Skill Chance</v>
      </c>
      <c r="S19" t="str">
        <f>Data!A19</f>
        <v>Mareep</v>
      </c>
      <c r="T19" t="str">
        <f>Data!D19</f>
        <v>Grepa</v>
      </c>
      <c r="U19">
        <f>Data!B19</f>
        <v>12</v>
      </c>
      <c r="V19">
        <f>Data!P19</f>
        <v>4</v>
      </c>
      <c r="W19" t="str">
        <f>Data!N19</f>
        <v>EXP Gains</v>
      </c>
      <c r="X19">
        <f t="shared" si="0"/>
        <v>0</v>
      </c>
      <c r="AA19" t="str">
        <f>Data!A19</f>
        <v>Mareep</v>
      </c>
      <c r="AB19" t="str">
        <f>Data!E19</f>
        <v>Fiery Herb</v>
      </c>
      <c r="AC19" t="str">
        <f>Data!F19</f>
        <v>Fiery Herb</v>
      </c>
      <c r="AD19" t="str">
        <f>Data!G19</f>
        <v>Fiery Herb</v>
      </c>
      <c r="AE19">
        <f>Data!B19</f>
        <v>12</v>
      </c>
      <c r="AF19">
        <f>Data!Q19</f>
        <v>4.5</v>
      </c>
      <c r="AG19" t="str">
        <f>Data!N19</f>
        <v>EXP Gains</v>
      </c>
      <c r="AH19">
        <f>(IF($H$5="Curries/Stews",COUNTIF(Helper_Ingredient!$N$3:$N$20,AB19),IF($H$5="Salads",COUNTIF(Helper_Ingredient!$O$3:$O$20,AB19),COUNTIF(Helper_Ingredient!$P$3:$P$19,AB19)))&gt;0)+IF(AE19&gt;=30,(IF($H$5="Curries/Stews",COUNTIF(Helper_Ingredient!$N$3:$N$20,AC19),IF($H$5="Salads",COUNTIF(Helper_Ingredient!$O$3:$O$20,AC19),COUNTIF(Helper_Ingredient!$P$3:$P$19,AC19)))&gt;0),0)+IF(AE19&gt;=60,(IF($H$5="Curries/Stews",COUNTIF(Helper_Ingredient!$N$3:$N$20,AD19),IF($H$5="Salads",COUNTIF(Helper_Ingredient!$O$3:$O$20,AD19),COUNTIF(Helper_Ingredient!$P$3:$P$19,AD19)))&gt;0),0)</f>
        <v>0</v>
      </c>
      <c r="AI19">
        <f t="shared" si="1"/>
        <v>0</v>
      </c>
      <c r="AJ19" t="str">
        <f>Data!A19</f>
        <v>Mareep</v>
      </c>
      <c r="AK19" t="str">
        <f>Data!H19</f>
        <v>Helping Speed S</v>
      </c>
      <c r="AL19">
        <f>Data!B19</f>
        <v>12</v>
      </c>
      <c r="AM19">
        <f>Data!R19</f>
        <v>0</v>
      </c>
      <c r="AN19" t="str">
        <f>Data!N19</f>
        <v>EXP Gains</v>
      </c>
      <c r="AO19">
        <f t="shared" si="2"/>
        <v>12.000019</v>
      </c>
    </row>
    <row r="20" spans="1:41">
      <c r="A20" s="52">
        <v>2</v>
      </c>
      <c r="B20" s="59" t="str">
        <f>IF($D20="","",INDEX($S$2:$S$250,MATCH(LARGE($X$2:$X$250,7),$X$2:$X$250,0)))</f>
        <v>Mudkip</v>
      </c>
      <c r="C20" s="53" t="str">
        <f>IF($D20="","",INDEX($T$2:$T$250,MATCH(LARGE($X$2:$X$250,7),$X$2:$X$250,0)))</f>
        <v>Oran</v>
      </c>
      <c r="D20" s="53">
        <f>IFERROR(IF(LARGE($X$2:$X$250,7)&lt;=0,"",INDEX($V$2:$V$250,MATCH(LARGE($X$2:$X$250,7),$X$2:$X$250,0))),"")</f>
        <v>3</v>
      </c>
      <c r="E20" s="53" t="str">
        <f>IF($D20="","",INDEX($W$2:$W$250,MATCH(LARGE($X$2:$X$250,7),$X$2:$X$250,0)))</f>
        <v>EXP Gains</v>
      </c>
      <c r="G20" s="52">
        <v>2</v>
      </c>
      <c r="H20" s="53" t="str">
        <f>IF($J20="","",INDEX($AA$2:$AA$250,MATCH(LARGE($AI$2:$AI$250,7),$AI$2:$AI$250,0)))</f>
        <v>Ivysaur</v>
      </c>
      <c r="I20" s="53" t="str">
        <f>IF($J20="","",INDEX($AB$2:$AB$250,MATCH(LARGE($AI$2:$AI$250,7),$AI$2:$AI$250,0)))</f>
        <v>Honey</v>
      </c>
      <c r="J20" s="53">
        <f>IFERROR(INDEX($AF$2:$AF$250,MATCH(LARGE($AI$2:$AI$250,7),$AI$2:$AI$250,0)),"")</f>
        <v>5</v>
      </c>
      <c r="K20" s="53" t="str">
        <f>IF($J20="","",INDEX($AG$2:$AG$250,MATCH(LARGE($AI$2:$AI$250,7),$AI$2:$AI$250,0)))</f>
        <v>Ingredient Finding</v>
      </c>
      <c r="M20" s="52">
        <v>2</v>
      </c>
      <c r="N20" s="53" t="str">
        <f>IF(P20="","",INDEX($AJ$2:$AJ$49,MATCH(LARGE($AO$2:$AO$49,7),$AO$2:$AO$49,0)))</f>
        <v>Growlithe</v>
      </c>
      <c r="O20" s="53" t="str">
        <f>IF(P20="","",INDEX($AK$2:$AK$49,MATCH(LARGE($AO$2:$AO$49,7),$AO$2:$AO$49,0)))</f>
        <v>Energy Recovery Bonus</v>
      </c>
      <c r="P20" s="53">
        <f>IFERROR(INDEX($AM$2:$AM$49,MATCH(LARGE($AO$2:$AO$49,7),$AO$2:$AO$49,0)),"")</f>
        <v>3.5</v>
      </c>
      <c r="Q20" s="53" t="str">
        <f>IF(P20="","",INDEX($AN$2:$AN$49,MATCH(LARGE($AO$2:$AO$49,7),$AO$2:$AO$49,0)))</f>
        <v>EXP Gains</v>
      </c>
      <c r="S20" t="str">
        <f>Data!A20</f>
        <v>Igglybuff</v>
      </c>
      <c r="T20" t="str">
        <f>Data!D20</f>
        <v>Pecha</v>
      </c>
      <c r="U20">
        <f>Data!B20</f>
        <v>4</v>
      </c>
      <c r="V20">
        <f>Data!P20</f>
        <v>5</v>
      </c>
      <c r="W20" t="str">
        <f>Data!N20</f>
        <v>Speed of Help</v>
      </c>
      <c r="X20">
        <f t="shared" si="0"/>
        <v>5004.0000200000004</v>
      </c>
      <c r="AA20" t="str">
        <f>Data!A20</f>
        <v>Igglybuff</v>
      </c>
      <c r="AB20" t="str">
        <f>Data!E20</f>
        <v>Honey</v>
      </c>
      <c r="AC20" t="str">
        <f>Data!F20</f>
        <v>Pure Oil</v>
      </c>
      <c r="AD20" t="str">
        <f>Data!G20</f>
        <v>Honey</v>
      </c>
      <c r="AE20">
        <f>Data!B20</f>
        <v>4</v>
      </c>
      <c r="AF20">
        <f>Data!Q20</f>
        <v>1</v>
      </c>
      <c r="AG20" t="str">
        <f>Data!N20</f>
        <v>Speed of Help</v>
      </c>
      <c r="AH20">
        <f>(IF($H$5="Curries/Stews",COUNTIF(Helper_Ingredient!$N$3:$N$20,AB20),IF($H$5="Salads",COUNTIF(Helper_Ingredient!$O$3:$O$20,AB20),COUNTIF(Helper_Ingredient!$P$3:$P$19,AB20)))&gt;0)+IF(AE20&gt;=30,(IF($H$5="Curries/Stews",COUNTIF(Helper_Ingredient!$N$3:$N$20,AC20),IF($H$5="Salads",COUNTIF(Helper_Ingredient!$O$3:$O$20,AC20),COUNTIF(Helper_Ingredient!$P$3:$P$19,AC20)))&gt;0),0)+IF(AE20&gt;=60,(IF($H$5="Curries/Stews",COUNTIF(Helper_Ingredient!$N$3:$N$20,AD20),IF($H$5="Salads",COUNTIF(Helper_Ingredient!$O$3:$O$20,AD20),COUNTIF(Helper_Ingredient!$P$3:$P$19,AD20)))&gt;0),0)</f>
        <v>1</v>
      </c>
      <c r="AI20">
        <f t="shared" si="1"/>
        <v>1001004.00002</v>
      </c>
      <c r="AJ20" t="str">
        <f>Data!A20</f>
        <v>Igglybuff</v>
      </c>
      <c r="AK20" t="str">
        <f>Data!H20</f>
        <v>Ingredient Finder S</v>
      </c>
      <c r="AL20">
        <f>Data!B20</f>
        <v>4</v>
      </c>
      <c r="AM20">
        <f>Data!R20</f>
        <v>0</v>
      </c>
      <c r="AN20" t="str">
        <f>Data!N20</f>
        <v>Speed of Help</v>
      </c>
      <c r="AO20">
        <f t="shared" si="2"/>
        <v>4.0000200000000001</v>
      </c>
    </row>
    <row r="21" spans="1:41">
      <c r="A21" s="52">
        <v>3</v>
      </c>
      <c r="B21" s="59" t="str">
        <f>IF($D21="","",INDEX($S$2:$S$250,MATCH(LARGE($X$2:$X$250,8),$X$2:$X$250,0)))</f>
        <v>Igglybuff</v>
      </c>
      <c r="C21" s="53" t="str">
        <f>IF($D21="","",INDEX($T$2:$T$250,MATCH(LARGE($X$2:$X$250,8),$X$2:$X$250,0)))</f>
        <v>Pecha</v>
      </c>
      <c r="D21" s="53">
        <f>IFERROR(IF(LARGE($X$2:$X$250,8)&lt;=0,"",INDEX($V$2:$V$250,MATCH(LARGE($X$2:$X$250,8),$X$2:$X$250,0))),"")</f>
        <v>2</v>
      </c>
      <c r="E21" s="53" t="str">
        <f>IF($D21="","",INDEX($W$2:$W$250,MATCH(LARGE($X$2:$X$250,8),$X$2:$X$250,0)))</f>
        <v>EXP Gains</v>
      </c>
      <c r="G21" s="52">
        <v>3</v>
      </c>
      <c r="H21" s="53" t="str">
        <f>IF($J21="","",INDEX($AA$2:$AA$250,MATCH(LARGE($AI$2:$AI$250,8),$AI$2:$AI$250,0)))</f>
        <v>Marshtomp</v>
      </c>
      <c r="I21" s="53" t="str">
        <f>IF($J21="","",INDEX($AB$2:$AB$250,MATCH(LARGE($AI$2:$AI$250,8),$AI$2:$AI$250,0)))</f>
        <v>Greengrass Corn</v>
      </c>
      <c r="J21" s="53">
        <f>IFERROR(INDEX($AF$2:$AF$250,MATCH(LARGE($AI$2:$AI$250,8),$AI$2:$AI$250,0)),"")</f>
        <v>5</v>
      </c>
      <c r="K21" s="53" t="str">
        <f>IF($J21="","",INDEX($AG$2:$AG$250,MATCH(LARGE($AI$2:$AI$250,8),$AI$2:$AI$250,0)))</f>
        <v>Speed of Help</v>
      </c>
      <c r="M21" s="52">
        <v>3</v>
      </c>
      <c r="N21" s="53" t="str">
        <f>IF(P21="","",INDEX($AJ$2:$AJ$49,MATCH(LARGE($AO$2:$AO$49,8),$AO$2:$AO$49,0)))</f>
        <v>Latias</v>
      </c>
      <c r="O21" s="53" t="str">
        <f>IF(P21="","",INDEX($AK$2:$AK$49,MATCH(LARGE($AO$2:$AO$49,8),$AO$2:$AO$49,0)))</f>
        <v>Sleep EXP Bonus</v>
      </c>
      <c r="P21" s="53">
        <f>IFERROR(INDEX($AM$2:$AM$49,MATCH(LARGE($AO$2:$AO$49,8),$AO$2:$AO$49,0)),"")</f>
        <v>3</v>
      </c>
      <c r="Q21" s="53" t="str">
        <f>IF(P21="","",INDEX($AN$2:$AN$49,MATCH(LARGE($AO$2:$AO$49,8),$AO$2:$AO$49,0)))</f>
        <v>Neutral</v>
      </c>
      <c r="S21" t="str">
        <f>Data!A21</f>
        <v>Wynaut</v>
      </c>
      <c r="T21" t="str">
        <f>Data!D21</f>
        <v>Mago</v>
      </c>
      <c r="U21">
        <f>Data!B21</f>
        <v>9</v>
      </c>
      <c r="V21">
        <f>Data!P21</f>
        <v>4</v>
      </c>
      <c r="W21" t="str">
        <f>Data!N21</f>
        <v>EXP Gains</v>
      </c>
      <c r="X21">
        <f t="shared" si="0"/>
        <v>0</v>
      </c>
      <c r="AA21" t="str">
        <f>Data!A21</f>
        <v>Wynaut</v>
      </c>
      <c r="AB21" t="str">
        <f>Data!E21</f>
        <v>Fancy Apple</v>
      </c>
      <c r="AC21" t="str">
        <f>Data!F21</f>
        <v>Tasty Mushroom</v>
      </c>
      <c r="AD21" t="str">
        <f>Data!G21</f>
        <v>Pure Oil</v>
      </c>
      <c r="AE21">
        <f>Data!B21</f>
        <v>9</v>
      </c>
      <c r="AF21">
        <f>Data!Q21</f>
        <v>0.5</v>
      </c>
      <c r="AG21" t="str">
        <f>Data!N21</f>
        <v>EXP Gains</v>
      </c>
      <c r="AH21">
        <f>(IF($H$5="Curries/Stews",COUNTIF(Helper_Ingredient!$N$3:$N$20,AB21),IF($H$5="Salads",COUNTIF(Helper_Ingredient!$O$3:$O$20,AB21),COUNTIF(Helper_Ingredient!$P$3:$P$19,AB21)))&gt;0)+IF(AE21&gt;=30,(IF($H$5="Curries/Stews",COUNTIF(Helper_Ingredient!$N$3:$N$20,AC21),IF($H$5="Salads",COUNTIF(Helper_Ingredient!$O$3:$O$20,AC21),COUNTIF(Helper_Ingredient!$P$3:$P$19,AC21)))&gt;0),0)+IF(AE21&gt;=60,(IF($H$5="Curries/Stews",COUNTIF(Helper_Ingredient!$N$3:$N$20,AD21),IF($H$5="Salads",COUNTIF(Helper_Ingredient!$O$3:$O$20,AD21),COUNTIF(Helper_Ingredient!$P$3:$P$19,AD21)))&gt;0),0)</f>
        <v>1</v>
      </c>
      <c r="AI21">
        <f t="shared" si="1"/>
        <v>1000509.000021</v>
      </c>
      <c r="AJ21" t="str">
        <f>Data!A21</f>
        <v>Wynaut</v>
      </c>
      <c r="AK21" t="str">
        <f>Data!H21</f>
        <v>Helping Speed M</v>
      </c>
      <c r="AL21">
        <f>Data!B21</f>
        <v>9</v>
      </c>
      <c r="AM21">
        <f>Data!R21</f>
        <v>2</v>
      </c>
      <c r="AN21" t="str">
        <f>Data!N21</f>
        <v>EXP Gains</v>
      </c>
      <c r="AO21">
        <f t="shared" si="2"/>
        <v>2009.0000210000001</v>
      </c>
    </row>
    <row r="22" spans="1:41">
      <c r="A22" s="52">
        <v>4</v>
      </c>
      <c r="B22" s="59" t="str">
        <f>IF($D22="","",INDEX($S$2:$S$250,MATCH(LARGE($X$2:$X$250,9),$X$2:$X$250,0)))</f>
        <v>Spheal</v>
      </c>
      <c r="C22" s="53" t="str">
        <f>IF($D22="","",INDEX($T$2:$T$250,MATCH(LARGE($X$2:$X$250,9),$X$2:$X$250,0)))</f>
        <v>Oran</v>
      </c>
      <c r="D22" s="53">
        <f>IFERROR(IF(LARGE($X$2:$X$250,9)&lt;=0,"",INDEX($V$2:$V$250,MATCH(LARGE($X$2:$X$250,9),$X$2:$X$250,0))),"")</f>
        <v>1</v>
      </c>
      <c r="E22" s="53" t="str">
        <f>IF($D22="","",INDEX($W$2:$W$250,MATCH(LARGE($X$2:$X$250,9),$X$2:$X$250,0)))</f>
        <v>Energy Recovery</v>
      </c>
      <c r="G22" s="52">
        <v>4</v>
      </c>
      <c r="H22" s="53" t="str">
        <f>IF($J22="","",INDEX($AA$2:$AA$250,MATCH(LARGE($AI$2:$AI$250,9),$AI$2:$AI$250,0)))</f>
        <v>Rattata</v>
      </c>
      <c r="I22" s="53" t="str">
        <f>IF($J22="","",INDEX($AB$2:$AB$250,MATCH(LARGE($AI$2:$AI$250,9),$AI$2:$AI$250,0)))</f>
        <v>Fancy Apple</v>
      </c>
      <c r="J22" s="53">
        <f>IFERROR(INDEX($AF$2:$AF$250,MATCH(LARGE($AI$2:$AI$250,9),$AI$2:$AI$250,0)),"")</f>
        <v>5</v>
      </c>
      <c r="K22" s="53" t="str">
        <f>IF($J22="","",INDEX($AG$2:$AG$250,MATCH(LARGE($AI$2:$AI$250,9),$AI$2:$AI$250,0)))</f>
        <v>Ingredient Finding</v>
      </c>
      <c r="M22" s="52">
        <v>4</v>
      </c>
      <c r="N22" s="53" t="str">
        <f>IF(P22="","",INDEX($AJ$2:$AJ$49,MATCH(LARGE($AO$2:$AO$49,9),$AO$2:$AO$49,0)))</f>
        <v>Cubone</v>
      </c>
      <c r="O22" s="53" t="str">
        <f>IF(P22="","",INDEX($AK$2:$AK$49,MATCH(LARGE($AO$2:$AO$49,9),$AO$2:$AO$49,0)))</f>
        <v>Helping Speed M</v>
      </c>
      <c r="P22" s="53">
        <f>IFERROR(INDEX($AM$2:$AM$49,MATCH(LARGE($AO$2:$AO$49,9),$AO$2:$AO$49,0)),"")</f>
        <v>3</v>
      </c>
      <c r="Q22" s="53" t="str">
        <f>IF(P22="","",INDEX($AN$2:$AN$49,MATCH(LARGE($AO$2:$AO$49,9),$AO$2:$AO$49,0)))</f>
        <v>Speed of Help</v>
      </c>
      <c r="S22" t="str">
        <f>Data!A22</f>
        <v>Pichu</v>
      </c>
      <c r="T22" t="str">
        <f>Data!D22</f>
        <v>Grepa</v>
      </c>
      <c r="U22">
        <f>Data!B22</f>
        <v>6</v>
      </c>
      <c r="V22">
        <f>Data!P22</f>
        <v>-2</v>
      </c>
      <c r="W22" t="str">
        <f>Data!N22</f>
        <v>Energy Recovery</v>
      </c>
      <c r="X22">
        <f t="shared" si="0"/>
        <v>0</v>
      </c>
      <c r="AA22" t="str">
        <f>Data!A22</f>
        <v>Pichu</v>
      </c>
      <c r="AB22" t="str">
        <f>Data!E22</f>
        <v>Fancy Apple</v>
      </c>
      <c r="AC22" t="str">
        <f>Data!F22</f>
        <v>Warming Ginger</v>
      </c>
      <c r="AD22" t="str">
        <f>Data!G22</f>
        <v>Fancy Egg</v>
      </c>
      <c r="AE22">
        <f>Data!B22</f>
        <v>6</v>
      </c>
      <c r="AF22">
        <f>Data!Q22</f>
        <v>3.5</v>
      </c>
      <c r="AG22" t="str">
        <f>Data!N22</f>
        <v>Energy Recovery</v>
      </c>
      <c r="AH22">
        <f>(IF($H$5="Curries/Stews",COUNTIF(Helper_Ingredient!$N$3:$N$20,AB22),IF($H$5="Salads",COUNTIF(Helper_Ingredient!$O$3:$O$20,AB22),COUNTIF(Helper_Ingredient!$P$3:$P$19,AB22)))&gt;0)+IF(AE22&gt;=30,(IF($H$5="Curries/Stews",COUNTIF(Helper_Ingredient!$N$3:$N$20,AC22),IF($H$5="Salads",COUNTIF(Helper_Ingredient!$O$3:$O$20,AC22),COUNTIF(Helper_Ingredient!$P$3:$P$19,AC22)))&gt;0),0)+IF(AE22&gt;=60,(IF($H$5="Curries/Stews",COUNTIF(Helper_Ingredient!$N$3:$N$20,AD22),IF($H$5="Salads",COUNTIF(Helper_Ingredient!$O$3:$O$20,AD22),COUNTIF(Helper_Ingredient!$P$3:$P$19,AD22)))&gt;0),0)</f>
        <v>1</v>
      </c>
      <c r="AI22">
        <f t="shared" si="1"/>
        <v>1003506.0000220001</v>
      </c>
      <c r="AJ22" t="str">
        <f>Data!A22</f>
        <v>Pichu</v>
      </c>
      <c r="AK22" t="str">
        <f>Data!H22</f>
        <v>Ingredient Finder M</v>
      </c>
      <c r="AL22">
        <f>Data!B22</f>
        <v>6</v>
      </c>
      <c r="AM22">
        <f>Data!R22</f>
        <v>2</v>
      </c>
      <c r="AN22" t="str">
        <f>Data!N22</f>
        <v>Energy Recovery</v>
      </c>
      <c r="AO22">
        <f t="shared" si="2"/>
        <v>2006.0000219999999</v>
      </c>
    </row>
    <row r="23" spans="1:41">
      <c r="A23" s="52">
        <v>5</v>
      </c>
      <c r="B23" s="59" t="str">
        <f>IF($D23="","",INDEX($S$2:$S$250,MATCH(LARGE($X$2:$X$250,10),$X$2:$X$250,0)))</f>
        <v>Totodile</v>
      </c>
      <c r="C23" s="53" t="str">
        <f>IF($D23="","",INDEX($T$2:$T$250,MATCH(LARGE($X$2:$X$250,10),$X$2:$X$250,0)))</f>
        <v>Oran</v>
      </c>
      <c r="D23" s="53">
        <f>IFERROR(IF(LARGE($X$2:$X$250,10)&lt;=0,"",INDEX($V$2:$V$250,MATCH(LARGE($X$2:$X$250,10),$X$2:$X$250,0))),"")</f>
        <v>1</v>
      </c>
      <c r="E23" s="53" t="str">
        <f>IF($D23="","",INDEX($W$2:$W$250,MATCH(LARGE($X$2:$X$250,10),$X$2:$X$250,0)))</f>
        <v>Ingredient Finding</v>
      </c>
      <c r="G23" s="52">
        <v>5</v>
      </c>
      <c r="H23" s="53" t="str">
        <f>IF($J23="","",INDEX($AA$2:$AA$250,MATCH(LARGE($AI$2:$AI$250,10),$AI$2:$AI$250,0)))</f>
        <v>Treecko</v>
      </c>
      <c r="I23" s="53" t="str">
        <f>IF($J23="","",INDEX($AB$2:$AB$250,MATCH(LARGE($AI$2:$AI$250,10),$AI$2:$AI$250,0)))</f>
        <v>Fancy Egg</v>
      </c>
      <c r="J23" s="53">
        <f>IFERROR(INDEX($AF$2:$AF$250,MATCH(LARGE($AI$2:$AI$250,10),$AI$2:$AI$250,0)),"")</f>
        <v>5</v>
      </c>
      <c r="K23" s="53" t="str">
        <f>IF($J23="","",INDEX($AG$2:$AG$250,MATCH(LARGE($AI$2:$AI$250,10),$AI$2:$AI$250,0)))</f>
        <v>Speed of Help</v>
      </c>
      <c r="M23" s="52">
        <v>5</v>
      </c>
      <c r="N23" s="53" t="str">
        <f>IF(P23="","",INDEX($AJ$2:$AJ$49,MATCH(LARGE($AO$2:$AO$49,10),$AO$2:$AO$49,0)))</f>
        <v>Wobbuffet</v>
      </c>
      <c r="O23" s="53" t="str">
        <f>IF(P23="","",INDEX($AK$2:$AK$49,MATCH(LARGE($AO$2:$AO$49,10),$AO$2:$AO$49,0)))</f>
        <v>Skill Trigger S</v>
      </c>
      <c r="P23" s="53">
        <f>IFERROR(INDEX($AM$2:$AM$49,MATCH(LARGE($AO$2:$AO$49,10),$AO$2:$AO$49,0)),"")</f>
        <v>3</v>
      </c>
      <c r="Q23" s="53" t="str">
        <f>IF(P23="","",INDEX($AN$2:$AN$49,MATCH(LARGE($AO$2:$AO$49,10),$AO$2:$AO$49,0)))</f>
        <v>Neutral</v>
      </c>
      <c r="S23" t="str">
        <f>Data!A23</f>
        <v>Larvitar</v>
      </c>
      <c r="T23" t="str">
        <f>Data!D23</f>
        <v>Sitrus</v>
      </c>
      <c r="U23">
        <f>Data!B23</f>
        <v>7</v>
      </c>
      <c r="V23">
        <f>Data!P23</f>
        <v>3</v>
      </c>
      <c r="W23" t="str">
        <f>Data!N23</f>
        <v>Neutral</v>
      </c>
      <c r="X23">
        <f t="shared" si="0"/>
        <v>0</v>
      </c>
      <c r="AA23" t="str">
        <f>Data!A23</f>
        <v>Larvitar</v>
      </c>
      <c r="AB23" t="str">
        <f>Data!E23</f>
        <v>Warming Ginger</v>
      </c>
      <c r="AC23" t="str">
        <f>Data!F23</f>
        <v>Greengrass Soybeans</v>
      </c>
      <c r="AD23" t="str">
        <f>Data!G23</f>
        <v>Greengrass Soybeans</v>
      </c>
      <c r="AE23">
        <f>Data!B23</f>
        <v>7</v>
      </c>
      <c r="AF23">
        <f>Data!Q23</f>
        <v>2.5</v>
      </c>
      <c r="AG23" t="str">
        <f>Data!N23</f>
        <v>Neutral</v>
      </c>
      <c r="AH23">
        <f>(IF($H$5="Curries/Stews",COUNTIF(Helper_Ingredient!$N$3:$N$20,AB23),IF($H$5="Salads",COUNTIF(Helper_Ingredient!$O$3:$O$20,AB23),COUNTIF(Helper_Ingredient!$P$3:$P$19,AB23)))&gt;0)+IF(AE23&gt;=30,(IF($H$5="Curries/Stews",COUNTIF(Helper_Ingredient!$N$3:$N$20,AC23),IF($H$5="Salads",COUNTIF(Helper_Ingredient!$O$3:$O$20,AC23),COUNTIF(Helper_Ingredient!$P$3:$P$19,AC23)))&gt;0),0)+IF(AE23&gt;=60,(IF($H$5="Curries/Stews",COUNTIF(Helper_Ingredient!$N$3:$N$20,AD23),IF($H$5="Salads",COUNTIF(Helper_Ingredient!$O$3:$O$20,AD23),COUNTIF(Helper_Ingredient!$P$3:$P$19,AD23)))&gt;0),0)</f>
        <v>1</v>
      </c>
      <c r="AI23">
        <f t="shared" si="1"/>
        <v>1002507.0000229999</v>
      </c>
      <c r="AJ23" t="str">
        <f>Data!A23</f>
        <v>Larvitar</v>
      </c>
      <c r="AK23" t="str">
        <f>Data!H23</f>
        <v>Helping Speed S</v>
      </c>
      <c r="AL23">
        <f>Data!B23</f>
        <v>7</v>
      </c>
      <c r="AM23">
        <f>Data!R23</f>
        <v>2</v>
      </c>
      <c r="AN23" t="str">
        <f>Data!N23</f>
        <v>Neutral</v>
      </c>
      <c r="AO23">
        <f t="shared" si="2"/>
        <v>2007.0000230000001</v>
      </c>
    </row>
    <row r="24" spans="1:41">
      <c r="S24" t="str">
        <f>Data!A24</f>
        <v>Bulbasaur</v>
      </c>
      <c r="T24" t="str">
        <f>Data!D24</f>
        <v>Durin</v>
      </c>
      <c r="U24">
        <f>Data!B24</f>
        <v>6</v>
      </c>
      <c r="V24">
        <f>Data!P24</f>
        <v>3</v>
      </c>
      <c r="W24" t="str">
        <f>Data!N24</f>
        <v>Energy Recovery</v>
      </c>
      <c r="X24">
        <f t="shared" si="0"/>
        <v>0</v>
      </c>
      <c r="AA24" t="str">
        <f>Data!A24</f>
        <v>Bulbasaur</v>
      </c>
      <c r="AB24" t="str">
        <f>Data!E24</f>
        <v>Honey</v>
      </c>
      <c r="AC24" t="str">
        <f>Data!F24</f>
        <v>Honey</v>
      </c>
      <c r="AD24" t="str">
        <f>Data!G24</f>
        <v>Honey</v>
      </c>
      <c r="AE24">
        <f>Data!B24</f>
        <v>6</v>
      </c>
      <c r="AF24">
        <f>Data!Q24</f>
        <v>1.5</v>
      </c>
      <c r="AG24" t="str">
        <f>Data!N24</f>
        <v>Energy Recovery</v>
      </c>
      <c r="AH24">
        <f>(IF($H$5="Curries/Stews",COUNTIF(Helper_Ingredient!$N$3:$N$20,AB24),IF($H$5="Salads",COUNTIF(Helper_Ingredient!$O$3:$O$20,AB24),COUNTIF(Helper_Ingredient!$P$3:$P$19,AB24)))&gt;0)+IF(AE24&gt;=30,(IF($H$5="Curries/Stews",COUNTIF(Helper_Ingredient!$N$3:$N$20,AC24),IF($H$5="Salads",COUNTIF(Helper_Ingredient!$O$3:$O$20,AC24),COUNTIF(Helper_Ingredient!$P$3:$P$19,AC24)))&gt;0),0)+IF(AE24&gt;=60,(IF($H$5="Curries/Stews",COUNTIF(Helper_Ingredient!$N$3:$N$20,AD24),IF($H$5="Salads",COUNTIF(Helper_Ingredient!$O$3:$O$20,AD24),COUNTIF(Helper_Ingredient!$P$3:$P$19,AD24)))&gt;0),0)</f>
        <v>1</v>
      </c>
      <c r="AI24">
        <f t="shared" si="1"/>
        <v>1001506.0000239999</v>
      </c>
      <c r="AJ24" t="str">
        <f>Data!A24</f>
        <v>Bulbasaur</v>
      </c>
      <c r="AK24" t="str">
        <f>Data!H24</f>
        <v>Helping Speed M</v>
      </c>
      <c r="AL24">
        <f>Data!B24</f>
        <v>6</v>
      </c>
      <c r="AM24">
        <f>Data!R24</f>
        <v>2</v>
      </c>
      <c r="AN24" t="str">
        <f>Data!N24</f>
        <v>Energy Recovery</v>
      </c>
      <c r="AO24">
        <f t="shared" si="2"/>
        <v>2006.0000239999999</v>
      </c>
    </row>
    <row r="25" spans="1:41">
      <c r="S25" t="str">
        <f>Data!A25</f>
        <v>Rattata</v>
      </c>
      <c r="T25" t="str">
        <f>Data!D25</f>
        <v>Persim</v>
      </c>
      <c r="U25">
        <f>Data!B25</f>
        <v>6</v>
      </c>
      <c r="V25">
        <f>Data!P25</f>
        <v>1</v>
      </c>
      <c r="W25" t="str">
        <f>Data!N25</f>
        <v>EXP Gains</v>
      </c>
      <c r="X25">
        <f t="shared" si="0"/>
        <v>0</v>
      </c>
      <c r="AA25" t="str">
        <f>Data!A25</f>
        <v>Rattata</v>
      </c>
      <c r="AB25" t="str">
        <f>Data!E25</f>
        <v>Fancy Apple</v>
      </c>
      <c r="AC25" t="str">
        <f>Data!F25</f>
        <v>Fancy Apple</v>
      </c>
      <c r="AD25" t="str">
        <f>Data!G25</f>
        <v>Greengrass Soybeans</v>
      </c>
      <c r="AE25">
        <f>Data!B25</f>
        <v>6</v>
      </c>
      <c r="AF25">
        <f>Data!Q25</f>
        <v>6.5</v>
      </c>
      <c r="AG25" t="str">
        <f>Data!N25</f>
        <v>EXP Gains</v>
      </c>
      <c r="AH25">
        <f>(IF($H$5="Curries/Stews",COUNTIF(Helper_Ingredient!$N$3:$N$20,AB25),IF($H$5="Salads",COUNTIF(Helper_Ingredient!$O$3:$O$20,AB25),COUNTIF(Helper_Ingredient!$P$3:$P$19,AB25)))&gt;0)+IF(AE25&gt;=30,(IF($H$5="Curries/Stews",COUNTIF(Helper_Ingredient!$N$3:$N$20,AC25),IF($H$5="Salads",COUNTIF(Helper_Ingredient!$O$3:$O$20,AC25),COUNTIF(Helper_Ingredient!$P$3:$P$19,AC25)))&gt;0),0)+IF(AE25&gt;=60,(IF($H$5="Curries/Stews",COUNTIF(Helper_Ingredient!$N$3:$N$20,AD25),IF($H$5="Salads",COUNTIF(Helper_Ingredient!$O$3:$O$20,AD25),COUNTIF(Helper_Ingredient!$P$3:$P$19,AD25)))&gt;0),0)</f>
        <v>1</v>
      </c>
      <c r="AI25">
        <f t="shared" si="1"/>
        <v>1006506.000025</v>
      </c>
      <c r="AJ25" t="str">
        <f>Data!A25</f>
        <v>Rattata</v>
      </c>
      <c r="AK25" t="str">
        <f>Data!H25</f>
        <v>Skill Level Up S</v>
      </c>
      <c r="AL25">
        <f>Data!B25</f>
        <v>6</v>
      </c>
      <c r="AM25">
        <f>Data!R25</f>
        <v>1</v>
      </c>
      <c r="AN25" t="str">
        <f>Data!N25</f>
        <v>EXP Gains</v>
      </c>
      <c r="AO25">
        <f t="shared" si="2"/>
        <v>1006.0000250000001</v>
      </c>
    </row>
    <row r="26" spans="1:41">
      <c r="S26" t="str">
        <f>Data!A26</f>
        <v>Mudkip</v>
      </c>
      <c r="T26" t="str">
        <f>Data!D26</f>
        <v>Oran</v>
      </c>
      <c r="U26">
        <f>Data!B26</f>
        <v>6</v>
      </c>
      <c r="V26">
        <f>Data!P26</f>
        <v>3</v>
      </c>
      <c r="W26" t="str">
        <f>Data!N26</f>
        <v>EXP Gains</v>
      </c>
      <c r="X26">
        <f t="shared" si="0"/>
        <v>3006.0000260000002</v>
      </c>
      <c r="AA26" t="str">
        <f>Data!A26</f>
        <v>Mudkip</v>
      </c>
      <c r="AB26" t="str">
        <f>Data!E26</f>
        <v>Greengrass Corn</v>
      </c>
      <c r="AC26" t="str">
        <f>Data!F26</f>
        <v>Moomoo Milk</v>
      </c>
      <c r="AD26" t="str">
        <f>Data!G26</f>
        <v>Greengrass Corn</v>
      </c>
      <c r="AE26">
        <f>Data!B26</f>
        <v>6</v>
      </c>
      <c r="AF26">
        <f>Data!Q26</f>
        <v>2.5</v>
      </c>
      <c r="AG26" t="str">
        <f>Data!N26</f>
        <v>EXP Gains</v>
      </c>
      <c r="AH26">
        <f>(IF($H$5="Curries/Stews",COUNTIF(Helper_Ingredient!$N$3:$N$20,AB26),IF($H$5="Salads",COUNTIF(Helper_Ingredient!$O$3:$O$20,AB26),COUNTIF(Helper_Ingredient!$P$3:$P$19,AB26)))&gt;0)+IF(AE26&gt;=30,(IF($H$5="Curries/Stews",COUNTIF(Helper_Ingredient!$N$3:$N$20,AC26),IF($H$5="Salads",COUNTIF(Helper_Ingredient!$O$3:$O$20,AC26),COUNTIF(Helper_Ingredient!$P$3:$P$19,AC26)))&gt;0),0)+IF(AE26&gt;=60,(IF($H$5="Curries/Stews",COUNTIF(Helper_Ingredient!$N$3:$N$20,AD26),IF($H$5="Salads",COUNTIF(Helper_Ingredient!$O$3:$O$20,AD26),COUNTIF(Helper_Ingredient!$P$3:$P$19,AD26)))&gt;0),0)</f>
        <v>1</v>
      </c>
      <c r="AI26">
        <f t="shared" si="1"/>
        <v>1002506.000026</v>
      </c>
      <c r="AJ26" t="str">
        <f>Data!A26</f>
        <v>Mudkip</v>
      </c>
      <c r="AK26" t="str">
        <f>Data!H26</f>
        <v>Ingredient Finder S</v>
      </c>
      <c r="AL26">
        <f>Data!B26</f>
        <v>6</v>
      </c>
      <c r="AM26">
        <f>Data!R26</f>
        <v>3</v>
      </c>
      <c r="AN26" t="str">
        <f>Data!N26</f>
        <v>EXP Gains</v>
      </c>
      <c r="AO26">
        <f t="shared" si="2"/>
        <v>3006.0000260000002</v>
      </c>
    </row>
    <row r="27" spans="1:41">
      <c r="S27" t="str">
        <f>Data!A27</f>
        <v>Cubone</v>
      </c>
      <c r="T27" t="str">
        <f>Data!D27</f>
        <v>Figy</v>
      </c>
      <c r="U27">
        <f>Data!B27</f>
        <v>5</v>
      </c>
      <c r="V27">
        <f>Data!P27</f>
        <v>2</v>
      </c>
      <c r="W27" t="str">
        <f>Data!N27</f>
        <v>Energy Recovery</v>
      </c>
      <c r="X27">
        <f t="shared" si="0"/>
        <v>0</v>
      </c>
      <c r="AA27" t="str">
        <f>Data!A27</f>
        <v>Cubone</v>
      </c>
      <c r="AB27" t="str">
        <f>Data!E27</f>
        <v>Warming Ginger</v>
      </c>
      <c r="AC27" t="str">
        <f>Data!F27</f>
        <v>Soothing Cacao</v>
      </c>
      <c r="AD27" t="str">
        <f>Data!G27</f>
        <v>Warming Ginger</v>
      </c>
      <c r="AE27">
        <f>Data!B27</f>
        <v>5</v>
      </c>
      <c r="AF27">
        <f>Data!Q27</f>
        <v>-2</v>
      </c>
      <c r="AG27" t="str">
        <f>Data!N27</f>
        <v>Energy Recovery</v>
      </c>
      <c r="AH27">
        <f>(IF($H$5="Curries/Stews",COUNTIF(Helper_Ingredient!$N$3:$N$20,AB27),IF($H$5="Salads",COUNTIF(Helper_Ingredient!$O$3:$O$20,AB27),COUNTIF(Helper_Ingredient!$P$3:$P$19,AB27)))&gt;0)+IF(AE27&gt;=30,(IF($H$5="Curries/Stews",COUNTIF(Helper_Ingredient!$N$3:$N$20,AC27),IF($H$5="Salads",COUNTIF(Helper_Ingredient!$O$3:$O$20,AC27),COUNTIF(Helper_Ingredient!$P$3:$P$19,AC27)))&gt;0),0)+IF(AE27&gt;=60,(IF($H$5="Curries/Stews",COUNTIF(Helper_Ingredient!$N$3:$N$20,AD27),IF($H$5="Salads",COUNTIF(Helper_Ingredient!$O$3:$O$20,AD27),COUNTIF(Helper_Ingredient!$P$3:$P$19,AD27)))&gt;0),0)</f>
        <v>1</v>
      </c>
      <c r="AI27">
        <f t="shared" si="1"/>
        <v>998005.00002699997</v>
      </c>
      <c r="AJ27" t="str">
        <f>Data!A27</f>
        <v>Cubone</v>
      </c>
      <c r="AK27" t="str">
        <f>Data!H27</f>
        <v>Skill Level Up M</v>
      </c>
      <c r="AL27">
        <f>Data!B27</f>
        <v>5</v>
      </c>
      <c r="AM27">
        <f>Data!R27</f>
        <v>5</v>
      </c>
      <c r="AN27" t="str">
        <f>Data!N27</f>
        <v>Energy Recovery</v>
      </c>
      <c r="AO27">
        <f t="shared" si="2"/>
        <v>5005.000027</v>
      </c>
    </row>
    <row r="28" spans="1:41">
      <c r="S28" t="str">
        <f>Data!A28</f>
        <v>Togepi</v>
      </c>
      <c r="T28" t="str">
        <f>Data!D28</f>
        <v>Pecha</v>
      </c>
      <c r="U28">
        <f>Data!B28</f>
        <v>8</v>
      </c>
      <c r="V28">
        <f>Data!P28</f>
        <v>5</v>
      </c>
      <c r="W28" t="str">
        <f>Data!N28</f>
        <v>Speed of Help</v>
      </c>
      <c r="X28">
        <f t="shared" si="0"/>
        <v>5008.0000280000004</v>
      </c>
      <c r="AA28" t="str">
        <f>Data!A28</f>
        <v>Togepi</v>
      </c>
      <c r="AB28" t="str">
        <f>Data!E28</f>
        <v>Fancy Egg</v>
      </c>
      <c r="AC28" t="str">
        <f>Data!F28</f>
        <v>Warming Ginger</v>
      </c>
      <c r="AD28" t="str">
        <f>Data!G28</f>
        <v>Warming Ginger</v>
      </c>
      <c r="AE28">
        <f>Data!B28</f>
        <v>8</v>
      </c>
      <c r="AF28">
        <f>Data!Q28</f>
        <v>2.5</v>
      </c>
      <c r="AG28" t="str">
        <f>Data!N28</f>
        <v>Speed of Help</v>
      </c>
      <c r="AH28">
        <f>(IF($H$5="Curries/Stews",COUNTIF(Helper_Ingredient!$N$3:$N$20,AB28),IF($H$5="Salads",COUNTIF(Helper_Ingredient!$O$3:$O$20,AB28),COUNTIF(Helper_Ingredient!$P$3:$P$19,AB28)))&gt;0)+IF(AE28&gt;=30,(IF($H$5="Curries/Stews",COUNTIF(Helper_Ingredient!$N$3:$N$20,AC28),IF($H$5="Salads",COUNTIF(Helper_Ingredient!$O$3:$O$20,AC28),COUNTIF(Helper_Ingredient!$P$3:$P$19,AC28)))&gt;0),0)+IF(AE28&gt;=60,(IF($H$5="Curries/Stews",COUNTIF(Helper_Ingredient!$N$3:$N$20,AD28),IF($H$5="Salads",COUNTIF(Helper_Ingredient!$O$3:$O$20,AD28),COUNTIF(Helper_Ingredient!$P$3:$P$19,AD28)))&gt;0),0)</f>
        <v>1</v>
      </c>
      <c r="AI28">
        <f t="shared" si="1"/>
        <v>1002508.000028</v>
      </c>
      <c r="AJ28" t="str">
        <f>Data!A28</f>
        <v>Togepi</v>
      </c>
      <c r="AK28" t="str">
        <f>Data!H28</f>
        <v>Inventory Up L</v>
      </c>
      <c r="AL28">
        <f>Data!B28</f>
        <v>8</v>
      </c>
      <c r="AM28">
        <f>Data!R28</f>
        <v>0</v>
      </c>
      <c r="AN28" t="str">
        <f>Data!N28</f>
        <v>Speed of Help</v>
      </c>
      <c r="AO28">
        <f t="shared" si="2"/>
        <v>8.0000280000000004</v>
      </c>
    </row>
    <row r="29" spans="1:41">
      <c r="S29" t="str">
        <f>Data!A29</f>
        <v>Totodile</v>
      </c>
      <c r="T29" t="str">
        <f>Data!D29</f>
        <v>Oran</v>
      </c>
      <c r="U29">
        <f>Data!B29</f>
        <v>8</v>
      </c>
      <c r="V29">
        <f>Data!P29</f>
        <v>1</v>
      </c>
      <c r="W29" t="str">
        <f>Data!N29</f>
        <v>Ingredient Finding</v>
      </c>
      <c r="X29">
        <f t="shared" si="0"/>
        <v>1008.000029</v>
      </c>
      <c r="AA29" t="str">
        <f>Data!A29</f>
        <v>Totodile</v>
      </c>
      <c r="AB29" t="str">
        <f>Data!E29</f>
        <v>Bean Sausage</v>
      </c>
      <c r="AC29" t="str">
        <f>Data!F29</f>
        <v>Pure Oil</v>
      </c>
      <c r="AD29" t="str">
        <f>Data!G29</f>
        <v>Pure Oil</v>
      </c>
      <c r="AE29">
        <f>Data!B29</f>
        <v>8</v>
      </c>
      <c r="AF29">
        <f>Data!Q29</f>
        <v>5.5</v>
      </c>
      <c r="AG29" t="str">
        <f>Data!N29</f>
        <v>Ingredient Finding</v>
      </c>
      <c r="AH29">
        <f>(IF($H$5="Curries/Stews",COUNTIF(Helper_Ingredient!$N$3:$N$20,AB29),IF($H$5="Salads",COUNTIF(Helper_Ingredient!$O$3:$O$20,AB29),COUNTIF(Helper_Ingredient!$P$3:$P$19,AB29)))&gt;0)+IF(AE29&gt;=30,(IF($H$5="Curries/Stews",COUNTIF(Helper_Ingredient!$N$3:$N$20,AC29),IF($H$5="Salads",COUNTIF(Helper_Ingredient!$O$3:$O$20,AC29),COUNTIF(Helper_Ingredient!$P$3:$P$19,AC29)))&gt;0),0)+IF(AE29&gt;=60,(IF($H$5="Curries/Stews",COUNTIF(Helper_Ingredient!$N$3:$N$20,AD29),IF($H$5="Salads",COUNTIF(Helper_Ingredient!$O$3:$O$20,AD29),COUNTIF(Helper_Ingredient!$P$3:$P$19,AD29)))&gt;0),0)</f>
        <v>0</v>
      </c>
      <c r="AI29">
        <f t="shared" si="1"/>
        <v>0</v>
      </c>
      <c r="AJ29" t="str">
        <f>Data!A29</f>
        <v>Totodile</v>
      </c>
      <c r="AK29" t="str">
        <f>Data!H29</f>
        <v>Skill Trigger S</v>
      </c>
      <c r="AL29">
        <f>Data!B29</f>
        <v>8</v>
      </c>
      <c r="AM29">
        <f>Data!R29</f>
        <v>1</v>
      </c>
      <c r="AN29" t="str">
        <f>Data!N29</f>
        <v>Ingredient Finding</v>
      </c>
      <c r="AO29">
        <f t="shared" si="2"/>
        <v>1008.000029</v>
      </c>
    </row>
    <row r="30" spans="1:41">
      <c r="S30" t="str">
        <f>Data!A30</f>
        <v>Houndour</v>
      </c>
      <c r="T30" t="str">
        <f>Data!D30</f>
        <v>Wiki</v>
      </c>
      <c r="U30">
        <f>Data!B30</f>
        <v>4</v>
      </c>
      <c r="V30">
        <f>Data!P30</f>
        <v>1</v>
      </c>
      <c r="W30" t="str">
        <f>Data!N30</f>
        <v>EXP Gains</v>
      </c>
      <c r="X30">
        <f t="shared" si="0"/>
        <v>0</v>
      </c>
      <c r="AA30" t="str">
        <f>Data!A30</f>
        <v>Houndour</v>
      </c>
      <c r="AB30" t="str">
        <f>Data!E30</f>
        <v>Fiery Herb</v>
      </c>
      <c r="AC30" t="str">
        <f>Data!F30</f>
        <v>Fiery Herb</v>
      </c>
      <c r="AD30" t="str">
        <f>Data!G30</f>
        <v>Warming Ginger</v>
      </c>
      <c r="AE30">
        <f>Data!B30</f>
        <v>4</v>
      </c>
      <c r="AF30">
        <f>Data!Q30</f>
        <v>3.5</v>
      </c>
      <c r="AG30" t="str">
        <f>Data!N30</f>
        <v>EXP Gains</v>
      </c>
      <c r="AH30">
        <f>(IF($H$5="Curries/Stews",COUNTIF(Helper_Ingredient!$N$3:$N$20,AB30),IF($H$5="Salads",COUNTIF(Helper_Ingredient!$O$3:$O$20,AB30),COUNTIF(Helper_Ingredient!$P$3:$P$19,AB30)))&gt;0)+IF(AE30&gt;=30,(IF($H$5="Curries/Stews",COUNTIF(Helper_Ingredient!$N$3:$N$20,AC30),IF($H$5="Salads",COUNTIF(Helper_Ingredient!$O$3:$O$20,AC30),COUNTIF(Helper_Ingredient!$P$3:$P$19,AC30)))&gt;0),0)+IF(AE30&gt;=60,(IF($H$5="Curries/Stews",COUNTIF(Helper_Ingredient!$N$3:$N$20,AD30),IF($H$5="Salads",COUNTIF(Helper_Ingredient!$O$3:$O$20,AD30),COUNTIF(Helper_Ingredient!$P$3:$P$19,AD30)))&gt;0),0)</f>
        <v>0</v>
      </c>
      <c r="AI30">
        <f t="shared" si="1"/>
        <v>0</v>
      </c>
      <c r="AJ30" t="str">
        <f>Data!A30</f>
        <v>Houndour</v>
      </c>
      <c r="AK30" t="str">
        <f>Data!H30</f>
        <v>Skill Trigger M</v>
      </c>
      <c r="AL30">
        <f>Data!B30</f>
        <v>4</v>
      </c>
      <c r="AM30">
        <f>Data!R30</f>
        <v>3</v>
      </c>
      <c r="AN30" t="str">
        <f>Data!N30</f>
        <v>EXP Gains</v>
      </c>
      <c r="AO30">
        <f t="shared" si="2"/>
        <v>3004.0000300000002</v>
      </c>
    </row>
    <row r="31" spans="1:41">
      <c r="S31" t="str">
        <f>Data!A31</f>
        <v>Riolu</v>
      </c>
      <c r="T31" t="str">
        <f>Data!D31</f>
        <v>Cheri</v>
      </c>
      <c r="U31">
        <f>Data!B31</f>
        <v>5</v>
      </c>
      <c r="V31">
        <f>Data!P31</f>
        <v>-1</v>
      </c>
      <c r="W31" t="str">
        <f>Data!N31</f>
        <v>Main Skill Chance</v>
      </c>
      <c r="X31">
        <f t="shared" si="0"/>
        <v>0</v>
      </c>
      <c r="AA31" t="str">
        <f>Data!A31</f>
        <v>Riolu</v>
      </c>
      <c r="AB31" t="str">
        <f>Data!E31</f>
        <v>Pure Oil</v>
      </c>
      <c r="AC31" t="str">
        <f>Data!F31</f>
        <v>Soft Potato</v>
      </c>
      <c r="AD31" t="str">
        <f>Data!G31</f>
        <v>Soft Potato</v>
      </c>
      <c r="AE31">
        <f>Data!B31</f>
        <v>5</v>
      </c>
      <c r="AF31">
        <f>Data!Q31</f>
        <v>3.5</v>
      </c>
      <c r="AG31" t="str">
        <f>Data!N31</f>
        <v>Main Skill Chance</v>
      </c>
      <c r="AH31">
        <f>(IF($H$5="Curries/Stews",COUNTIF(Helper_Ingredient!$N$3:$N$20,AB31),IF($H$5="Salads",COUNTIF(Helper_Ingredient!$O$3:$O$20,AB31),COUNTIF(Helper_Ingredient!$P$3:$P$19,AB31)))&gt;0)+IF(AE31&gt;=30,(IF($H$5="Curries/Stews",COUNTIF(Helper_Ingredient!$N$3:$N$20,AC31),IF($H$5="Salads",COUNTIF(Helper_Ingredient!$O$3:$O$20,AC31),COUNTIF(Helper_Ingredient!$P$3:$P$19,AC31)))&gt;0),0)+IF(AE31&gt;=60,(IF($H$5="Curries/Stews",COUNTIF(Helper_Ingredient!$N$3:$N$20,AD31),IF($H$5="Salads",COUNTIF(Helper_Ingredient!$O$3:$O$20,AD31),COUNTIF(Helper_Ingredient!$P$3:$P$19,AD31)))&gt;0),0)</f>
        <v>1</v>
      </c>
      <c r="AI31">
        <f t="shared" si="1"/>
        <v>1003505.000031</v>
      </c>
      <c r="AJ31" t="str">
        <f>Data!A31</f>
        <v>Riolu</v>
      </c>
      <c r="AK31" t="str">
        <f>Data!H31</f>
        <v>Inventory Up L</v>
      </c>
      <c r="AL31">
        <f>Data!B31</f>
        <v>5</v>
      </c>
      <c r="AM31">
        <f>Data!R31</f>
        <v>4</v>
      </c>
      <c r="AN31" t="str">
        <f>Data!N31</f>
        <v>Main Skill Chance</v>
      </c>
      <c r="AO31">
        <f t="shared" si="2"/>
        <v>4005.000031</v>
      </c>
    </row>
    <row r="32" spans="1:41">
      <c r="S32" t="str">
        <f>Data!A32</f>
        <v>Diglett</v>
      </c>
      <c r="T32" t="str">
        <f>Data!D32</f>
        <v>Figy</v>
      </c>
      <c r="U32">
        <f>Data!B32</f>
        <v>4</v>
      </c>
      <c r="V32">
        <f>Data!P32</f>
        <v>2</v>
      </c>
      <c r="W32" t="str">
        <f>Data!N32</f>
        <v>EXP Gains</v>
      </c>
      <c r="X32">
        <f t="shared" si="0"/>
        <v>0</v>
      </c>
      <c r="AA32" t="str">
        <f>Data!A32</f>
        <v>Diglett</v>
      </c>
      <c r="AB32" t="str">
        <f>Data!E32</f>
        <v>Snoozy Tomato</v>
      </c>
      <c r="AC32" t="str">
        <f>Data!F32</f>
        <v>Snoozy Tomato</v>
      </c>
      <c r="AD32" t="str">
        <f>Data!G32</f>
        <v>Large Leek</v>
      </c>
      <c r="AE32">
        <f>Data!B32</f>
        <v>4</v>
      </c>
      <c r="AF32">
        <f>Data!Q32</f>
        <v>3.5</v>
      </c>
      <c r="AG32" t="str">
        <f>Data!N32</f>
        <v>EXP Gains</v>
      </c>
      <c r="AH32">
        <f>(IF($H$5="Curries/Stews",COUNTIF(Helper_Ingredient!$N$3:$N$20,AB32),IF($H$5="Salads",COUNTIF(Helper_Ingredient!$O$3:$O$20,AB32),COUNTIF(Helper_Ingredient!$P$3:$P$19,AB32)))&gt;0)+IF(AE32&gt;=30,(IF($H$5="Curries/Stews",COUNTIF(Helper_Ingredient!$N$3:$N$20,AC32),IF($H$5="Salads",COUNTIF(Helper_Ingredient!$O$3:$O$20,AC32),COUNTIF(Helper_Ingredient!$P$3:$P$19,AC32)))&gt;0),0)+IF(AE32&gt;=60,(IF($H$5="Curries/Stews",COUNTIF(Helper_Ingredient!$N$3:$N$20,AD32),IF($H$5="Salads",COUNTIF(Helper_Ingredient!$O$3:$O$20,AD32),COUNTIF(Helper_Ingredient!$P$3:$P$19,AD32)))&gt;0),0)</f>
        <v>1</v>
      </c>
      <c r="AI32">
        <f t="shared" si="1"/>
        <v>1003504.000032</v>
      </c>
      <c r="AJ32" t="str">
        <f>Data!A32</f>
        <v>Diglett</v>
      </c>
      <c r="AK32" t="str">
        <f>Data!H32</f>
        <v>Ingredient Finder M</v>
      </c>
      <c r="AL32">
        <f>Data!B32</f>
        <v>4</v>
      </c>
      <c r="AM32">
        <f>Data!R32</f>
        <v>2</v>
      </c>
      <c r="AN32" t="str">
        <f>Data!N32</f>
        <v>EXP Gains</v>
      </c>
      <c r="AO32">
        <f t="shared" si="2"/>
        <v>2004.0000319999999</v>
      </c>
    </row>
    <row r="33" spans="19:41">
      <c r="S33" t="str">
        <f>Data!A33</f>
        <v>Psyduck</v>
      </c>
      <c r="T33" t="str">
        <f>Data!D33</f>
        <v>Oran</v>
      </c>
      <c r="U33">
        <f>Data!B33</f>
        <v>8</v>
      </c>
      <c r="V33">
        <f>Data!P33</f>
        <v>3</v>
      </c>
      <c r="W33" t="str">
        <f>Data!N33</f>
        <v>EXP Gains</v>
      </c>
      <c r="X33">
        <f t="shared" si="0"/>
        <v>3008.0000329999998</v>
      </c>
      <c r="AA33" t="str">
        <f>Data!A33</f>
        <v>Psyduck</v>
      </c>
      <c r="AB33" t="str">
        <f>Data!E33</f>
        <v>Soothing Cacao</v>
      </c>
      <c r="AC33" t="str">
        <f>Data!F33</f>
        <v>Soothing Cacao</v>
      </c>
      <c r="AD33" t="str">
        <f>Data!G33</f>
        <v>Fancy Apple</v>
      </c>
      <c r="AE33">
        <f>Data!B33</f>
        <v>8</v>
      </c>
      <c r="AF33">
        <f>Data!Q33</f>
        <v>6.5</v>
      </c>
      <c r="AG33" t="str">
        <f>Data!N33</f>
        <v>EXP Gains</v>
      </c>
      <c r="AH33">
        <f>(IF($H$5="Curries/Stews",COUNTIF(Helper_Ingredient!$N$3:$N$20,AB33),IF($H$5="Salads",COUNTIF(Helper_Ingredient!$O$3:$O$20,AB33),COUNTIF(Helper_Ingredient!$P$3:$P$19,AB33)))&gt;0)+IF(AE33&gt;=30,(IF($H$5="Curries/Stews",COUNTIF(Helper_Ingredient!$N$3:$N$20,AC33),IF($H$5="Salads",COUNTIF(Helper_Ingredient!$O$3:$O$20,AC33),COUNTIF(Helper_Ingredient!$P$3:$P$19,AC33)))&gt;0),0)+IF(AE33&gt;=60,(IF($H$5="Curries/Stews",COUNTIF(Helper_Ingredient!$N$3:$N$20,AD33),IF($H$5="Salads",COUNTIF(Helper_Ingredient!$O$3:$O$20,AD33),COUNTIF(Helper_Ingredient!$P$3:$P$19,AD33)))&gt;0),0)</f>
        <v>1</v>
      </c>
      <c r="AI33">
        <f t="shared" si="1"/>
        <v>1006508.000033</v>
      </c>
      <c r="AJ33" t="str">
        <f>Data!A33</f>
        <v>Psyduck</v>
      </c>
      <c r="AK33" t="str">
        <f>Data!H33</f>
        <v>Energy Recovery Bonus</v>
      </c>
      <c r="AL33">
        <f>Data!B33</f>
        <v>8</v>
      </c>
      <c r="AM33">
        <f>Data!R33</f>
        <v>0.5</v>
      </c>
      <c r="AN33" t="str">
        <f>Data!N33</f>
        <v>EXP Gains</v>
      </c>
      <c r="AO33">
        <f t="shared" si="2"/>
        <v>508.00003299999997</v>
      </c>
    </row>
    <row r="34" spans="19:41">
      <c r="S34" t="str">
        <f>Data!A34</f>
        <v>Ivysaur</v>
      </c>
      <c r="T34" t="str">
        <f>Data!D34</f>
        <v>Durin</v>
      </c>
      <c r="U34">
        <f>Data!B34</f>
        <v>15</v>
      </c>
      <c r="V34">
        <f>Data!P34</f>
        <v>0</v>
      </c>
      <c r="W34" t="str">
        <f>Data!N34</f>
        <v>Main Skill Chance</v>
      </c>
      <c r="X34">
        <f t="shared" si="0"/>
        <v>0</v>
      </c>
      <c r="AA34" t="str">
        <f>Data!A34</f>
        <v>Ivysaur</v>
      </c>
      <c r="AB34" t="str">
        <f>Data!E34</f>
        <v>Honey</v>
      </c>
      <c r="AC34" t="str">
        <f>Data!F34</f>
        <v>Snoozy Tomato</v>
      </c>
      <c r="AD34" t="str">
        <f>Data!G34</f>
        <v>Soft Potato</v>
      </c>
      <c r="AE34">
        <f>Data!B34</f>
        <v>15</v>
      </c>
      <c r="AF34">
        <f>Data!Q34</f>
        <v>0</v>
      </c>
      <c r="AG34" t="str">
        <f>Data!N34</f>
        <v>Main Skill Chance</v>
      </c>
      <c r="AH34">
        <f>(IF($H$5="Curries/Stews",COUNTIF(Helper_Ingredient!$N$3:$N$20,AB34),IF($H$5="Salads",COUNTIF(Helper_Ingredient!$O$3:$O$20,AB34),COUNTIF(Helper_Ingredient!$P$3:$P$19,AB34)))&gt;0)+IF(AE34&gt;=30,(IF($H$5="Curries/Stews",COUNTIF(Helper_Ingredient!$N$3:$N$20,AC34),IF($H$5="Salads",COUNTIF(Helper_Ingredient!$O$3:$O$20,AC34),COUNTIF(Helper_Ingredient!$P$3:$P$19,AC34)))&gt;0),0)+IF(AE34&gt;=60,(IF($H$5="Curries/Stews",COUNTIF(Helper_Ingredient!$N$3:$N$20,AD34),IF($H$5="Salads",COUNTIF(Helper_Ingredient!$O$3:$O$20,AD34),COUNTIF(Helper_Ingredient!$P$3:$P$19,AD34)))&gt;0),0)</f>
        <v>1</v>
      </c>
      <c r="AI34">
        <f t="shared" si="1"/>
        <v>1000015.000034</v>
      </c>
      <c r="AJ34" t="str">
        <f>Data!A34</f>
        <v>Ivysaur</v>
      </c>
      <c r="AK34" t="str">
        <f>Data!H34</f>
        <v>Skill Level Up S</v>
      </c>
      <c r="AL34">
        <f>Data!B34</f>
        <v>15</v>
      </c>
      <c r="AM34">
        <f>Data!R34</f>
        <v>4</v>
      </c>
      <c r="AN34" t="str">
        <f>Data!N34</f>
        <v>Main Skill Chance</v>
      </c>
      <c r="AO34">
        <f t="shared" si="2"/>
        <v>4015.0000340000001</v>
      </c>
    </row>
    <row r="35" spans="19:41">
      <c r="S35" t="str">
        <f>Data!A35</f>
        <v>Marshtomp</v>
      </c>
      <c r="T35" t="str">
        <f>Data!D35</f>
        <v>Figy</v>
      </c>
      <c r="U35">
        <f>Data!B35</f>
        <v>12</v>
      </c>
      <c r="V35">
        <f>Data!P35</f>
        <v>2</v>
      </c>
      <c r="W35" t="str">
        <f>Data!N35</f>
        <v>Speed of Help</v>
      </c>
      <c r="X35">
        <f t="shared" si="0"/>
        <v>0</v>
      </c>
      <c r="AA35" t="str">
        <f>Data!A35</f>
        <v>Marshtomp</v>
      </c>
      <c r="AB35" t="str">
        <f>Data!E35</f>
        <v>Greengrass Corn</v>
      </c>
      <c r="AC35" t="str">
        <f>Data!F35</f>
        <v>Moomoo Milk</v>
      </c>
      <c r="AD35" t="str">
        <f>Data!G35</f>
        <v>Moomoo Milk</v>
      </c>
      <c r="AE35">
        <f>Data!B35</f>
        <v>12</v>
      </c>
      <c r="AF35">
        <f>Data!Q35</f>
        <v>5</v>
      </c>
      <c r="AG35" t="str">
        <f>Data!N35</f>
        <v>Speed of Help</v>
      </c>
      <c r="AH35">
        <f>(IF($H$5="Curries/Stews",COUNTIF(Helper_Ingredient!$N$3:$N$20,AB35),IF($H$5="Salads",COUNTIF(Helper_Ingredient!$O$3:$O$20,AB35),COUNTIF(Helper_Ingredient!$P$3:$P$19,AB35)))&gt;0)+IF(AE35&gt;=30,(IF($H$5="Curries/Stews",COUNTIF(Helper_Ingredient!$N$3:$N$20,AC35),IF($H$5="Salads",COUNTIF(Helper_Ingredient!$O$3:$O$20,AC35),COUNTIF(Helper_Ingredient!$P$3:$P$19,AC35)))&gt;0),0)+IF(AE35&gt;=60,(IF($H$5="Curries/Stews",COUNTIF(Helper_Ingredient!$N$3:$N$20,AD35),IF($H$5="Salads",COUNTIF(Helper_Ingredient!$O$3:$O$20,AD35),COUNTIF(Helper_Ingredient!$P$3:$P$19,AD35)))&gt;0),0)</f>
        <v>1</v>
      </c>
      <c r="AI35">
        <f t="shared" si="1"/>
        <v>1005012.000035</v>
      </c>
      <c r="AJ35" t="str">
        <f>Data!A35</f>
        <v>Marshtomp</v>
      </c>
      <c r="AK35" t="str">
        <f>Data!H35</f>
        <v>Skill Trigger M</v>
      </c>
      <c r="AL35">
        <f>Data!B35</f>
        <v>12</v>
      </c>
      <c r="AM35">
        <f>Data!R35</f>
        <v>0</v>
      </c>
      <c r="AN35" t="str">
        <f>Data!N35</f>
        <v>Speed of Help</v>
      </c>
      <c r="AO35">
        <f t="shared" si="2"/>
        <v>12.000035</v>
      </c>
    </row>
    <row r="36" spans="19:41">
      <c r="S36" t="str">
        <f>Data!A36</f>
        <v>Magnemite</v>
      </c>
      <c r="T36" t="str">
        <f>Data!D36</f>
        <v>Grepa</v>
      </c>
      <c r="U36">
        <f>Data!B36</f>
        <v>13</v>
      </c>
      <c r="V36">
        <f>Data!P36</f>
        <v>0</v>
      </c>
      <c r="W36" t="str">
        <f>Data!N36</f>
        <v>Neutral</v>
      </c>
      <c r="X36">
        <f t="shared" si="0"/>
        <v>0</v>
      </c>
      <c r="AA36" t="str">
        <f>Data!A36</f>
        <v>Magnemite</v>
      </c>
      <c r="AB36" t="str">
        <f>Data!E36</f>
        <v>Pure Oil</v>
      </c>
      <c r="AC36" t="str">
        <f>Data!F36</f>
        <v>Fiery Herb</v>
      </c>
      <c r="AD36" t="str">
        <f>Data!G36</f>
        <v>Pure Oil</v>
      </c>
      <c r="AE36">
        <f>Data!B36</f>
        <v>13</v>
      </c>
      <c r="AF36">
        <f>Data!Q36</f>
        <v>4.5</v>
      </c>
      <c r="AG36" t="str">
        <f>Data!N36</f>
        <v>Neutral</v>
      </c>
      <c r="AH36">
        <f>(IF($H$5="Curries/Stews",COUNTIF(Helper_Ingredient!$N$3:$N$20,AB36),IF($H$5="Salads",COUNTIF(Helper_Ingredient!$O$3:$O$20,AB36),COUNTIF(Helper_Ingredient!$P$3:$P$19,AB36)))&gt;0)+IF(AE36&gt;=30,(IF($H$5="Curries/Stews",COUNTIF(Helper_Ingredient!$N$3:$N$20,AC36),IF($H$5="Salads",COUNTIF(Helper_Ingredient!$O$3:$O$20,AC36),COUNTIF(Helper_Ingredient!$P$3:$P$19,AC36)))&gt;0),0)+IF(AE36&gt;=60,(IF($H$5="Curries/Stews",COUNTIF(Helper_Ingredient!$N$3:$N$20,AD36),IF($H$5="Salads",COUNTIF(Helper_Ingredient!$O$3:$O$20,AD36),COUNTIF(Helper_Ingredient!$P$3:$P$19,AD36)))&gt;0),0)</f>
        <v>1</v>
      </c>
      <c r="AI36">
        <f t="shared" si="1"/>
        <v>1004513.000036</v>
      </c>
      <c r="AJ36" t="str">
        <f>Data!A36</f>
        <v>Magnemite</v>
      </c>
      <c r="AK36" t="str">
        <f>Data!H36</f>
        <v>Inventory Up L</v>
      </c>
      <c r="AL36">
        <f>Data!B36</f>
        <v>13</v>
      </c>
      <c r="AM36">
        <f>Data!R36</f>
        <v>4</v>
      </c>
      <c r="AN36" t="str">
        <f>Data!N36</f>
        <v>Neutral</v>
      </c>
      <c r="AO36">
        <f t="shared" si="2"/>
        <v>4013.0000359999999</v>
      </c>
    </row>
    <row r="37" spans="19:41">
      <c r="S37" t="str">
        <f>Data!A37</f>
        <v>Psyduck</v>
      </c>
      <c r="T37" t="str">
        <f>Data!D37</f>
        <v>Oran</v>
      </c>
      <c r="U37">
        <f>Data!B37</f>
        <v>5</v>
      </c>
      <c r="V37">
        <f>Data!P37</f>
        <v>4</v>
      </c>
      <c r="W37" t="str">
        <f>Data!N37</f>
        <v>Speed of Help</v>
      </c>
      <c r="X37">
        <f t="shared" si="0"/>
        <v>4005.0000369999998</v>
      </c>
      <c r="AA37" t="str">
        <f>Data!A37</f>
        <v>Psyduck</v>
      </c>
      <c r="AB37" t="str">
        <f>Data!E37</f>
        <v>Soothing Cacao</v>
      </c>
      <c r="AC37" t="str">
        <f>Data!F37</f>
        <v>Fancy Apple</v>
      </c>
      <c r="AD37" t="str">
        <f>Data!G37</f>
        <v>Bean Sausage</v>
      </c>
      <c r="AE37">
        <f>Data!B37</f>
        <v>5</v>
      </c>
      <c r="AF37">
        <f>Data!Q37</f>
        <v>1.5</v>
      </c>
      <c r="AG37" t="str">
        <f>Data!N37</f>
        <v>Speed of Help</v>
      </c>
      <c r="AH37">
        <f>(IF($H$5="Curries/Stews",COUNTIF(Helper_Ingredient!$N$3:$N$20,AB37),IF($H$5="Salads",COUNTIF(Helper_Ingredient!$O$3:$O$20,AB37),COUNTIF(Helper_Ingredient!$P$3:$P$19,AB37)))&gt;0)+IF(AE37&gt;=30,(IF($H$5="Curries/Stews",COUNTIF(Helper_Ingredient!$N$3:$N$20,AC37),IF($H$5="Salads",COUNTIF(Helper_Ingredient!$O$3:$O$20,AC37),COUNTIF(Helper_Ingredient!$P$3:$P$19,AC37)))&gt;0),0)+IF(AE37&gt;=60,(IF($H$5="Curries/Stews",COUNTIF(Helper_Ingredient!$N$3:$N$20,AD37),IF($H$5="Salads",COUNTIF(Helper_Ingredient!$O$3:$O$20,AD37),COUNTIF(Helper_Ingredient!$P$3:$P$19,AD37)))&gt;0),0)</f>
        <v>1</v>
      </c>
      <c r="AI37">
        <f t="shared" si="1"/>
        <v>1001505.000037</v>
      </c>
      <c r="AJ37" t="str">
        <f>Data!A37</f>
        <v>Psyduck</v>
      </c>
      <c r="AK37" t="str">
        <f>Data!H37</f>
        <v>Ingredient Finder S</v>
      </c>
      <c r="AL37">
        <f>Data!B37</f>
        <v>5</v>
      </c>
      <c r="AM37">
        <f>Data!R37</f>
        <v>1</v>
      </c>
      <c r="AN37" t="str">
        <f>Data!N37</f>
        <v>Speed of Help</v>
      </c>
      <c r="AO37">
        <f t="shared" si="2"/>
        <v>1005.000037</v>
      </c>
    </row>
    <row r="38" spans="19:41">
      <c r="S38" t="str">
        <f>Data!A38</f>
        <v>Wynaut</v>
      </c>
      <c r="T38" t="str">
        <f>Data!D38</f>
        <v>Mago</v>
      </c>
      <c r="U38">
        <f>Data!B38</f>
        <v>5</v>
      </c>
      <c r="V38">
        <f>Data!P38</f>
        <v>0</v>
      </c>
      <c r="W38" t="str">
        <f>Data!N38</f>
        <v>Energy Recovery</v>
      </c>
      <c r="X38">
        <f t="shared" si="0"/>
        <v>0</v>
      </c>
      <c r="AA38" t="str">
        <f>Data!A38</f>
        <v>Wynaut</v>
      </c>
      <c r="AB38" t="str">
        <f>Data!E38</f>
        <v>Fancy Apple</v>
      </c>
      <c r="AC38" t="str">
        <f>Data!F38</f>
        <v>Tasty Mushroom</v>
      </c>
      <c r="AD38" t="str">
        <f>Data!G38</f>
        <v>Pure Oil</v>
      </c>
      <c r="AE38">
        <f>Data!B38</f>
        <v>5</v>
      </c>
      <c r="AF38">
        <f>Data!Q38</f>
        <v>3.5</v>
      </c>
      <c r="AG38" t="str">
        <f>Data!N38</f>
        <v>Energy Recovery</v>
      </c>
      <c r="AH38">
        <f>(IF($H$5="Curries/Stews",COUNTIF(Helper_Ingredient!$N$3:$N$20,AB38),IF($H$5="Salads",COUNTIF(Helper_Ingredient!$O$3:$O$20,AB38),COUNTIF(Helper_Ingredient!$P$3:$P$19,AB38)))&gt;0)+IF(AE38&gt;=30,(IF($H$5="Curries/Stews",COUNTIF(Helper_Ingredient!$N$3:$N$20,AC38),IF($H$5="Salads",COUNTIF(Helper_Ingredient!$O$3:$O$20,AC38),COUNTIF(Helper_Ingredient!$P$3:$P$19,AC38)))&gt;0),0)+IF(AE38&gt;=60,(IF($H$5="Curries/Stews",COUNTIF(Helper_Ingredient!$N$3:$N$20,AD38),IF($H$5="Salads",COUNTIF(Helper_Ingredient!$O$3:$O$20,AD38),COUNTIF(Helper_Ingredient!$P$3:$P$19,AD38)))&gt;0),0)</f>
        <v>1</v>
      </c>
      <c r="AI38">
        <f t="shared" si="1"/>
        <v>1003505.0000380001</v>
      </c>
      <c r="AJ38" t="str">
        <f>Data!A38</f>
        <v>Wynaut</v>
      </c>
      <c r="AK38" t="str">
        <f>Data!H38</f>
        <v>Inventory Up S</v>
      </c>
      <c r="AL38">
        <f>Data!B38</f>
        <v>5</v>
      </c>
      <c r="AM38">
        <f>Data!R38</f>
        <v>1</v>
      </c>
      <c r="AN38" t="str">
        <f>Data!N38</f>
        <v>Energy Recovery</v>
      </c>
      <c r="AO38">
        <f t="shared" si="2"/>
        <v>1005.000038</v>
      </c>
    </row>
    <row r="39" spans="19:41">
      <c r="S39" t="str">
        <f>Data!A39</f>
        <v>Charmander</v>
      </c>
      <c r="T39" t="str">
        <f>Data!D39</f>
        <v>Leppa</v>
      </c>
      <c r="U39">
        <f>Data!B39</f>
        <v>7</v>
      </c>
      <c r="V39">
        <f>Data!P39</f>
        <v>2</v>
      </c>
      <c r="W39" t="str">
        <f>Data!N39</f>
        <v>EXP Gains</v>
      </c>
      <c r="X39">
        <f t="shared" si="0"/>
        <v>0</v>
      </c>
      <c r="AA39" t="str">
        <f>Data!A39</f>
        <v>Charmander</v>
      </c>
      <c r="AB39" t="str">
        <f>Data!E39</f>
        <v>Bean Sausage</v>
      </c>
      <c r="AC39" t="str">
        <f>Data!F39</f>
        <v>Warming Ginger</v>
      </c>
      <c r="AD39" t="str">
        <f>Data!G39</f>
        <v>Warming Ginger</v>
      </c>
      <c r="AE39">
        <f>Data!B39</f>
        <v>7</v>
      </c>
      <c r="AF39">
        <f>Data!Q39</f>
        <v>3</v>
      </c>
      <c r="AG39" t="str">
        <f>Data!N39</f>
        <v>EXP Gains</v>
      </c>
      <c r="AH39">
        <f>(IF($H$5="Curries/Stews",COUNTIF(Helper_Ingredient!$N$3:$N$20,AB39),IF($H$5="Salads",COUNTIF(Helper_Ingredient!$O$3:$O$20,AB39),COUNTIF(Helper_Ingredient!$P$3:$P$19,AB39)))&gt;0)+IF(AE39&gt;=30,(IF($H$5="Curries/Stews",COUNTIF(Helper_Ingredient!$N$3:$N$20,AC39),IF($H$5="Salads",COUNTIF(Helper_Ingredient!$O$3:$O$20,AC39),COUNTIF(Helper_Ingredient!$P$3:$P$19,AC39)))&gt;0),0)+IF(AE39&gt;=60,(IF($H$5="Curries/Stews",COUNTIF(Helper_Ingredient!$N$3:$N$20,AD39),IF($H$5="Salads",COUNTIF(Helper_Ingredient!$O$3:$O$20,AD39),COUNTIF(Helper_Ingredient!$P$3:$P$19,AD39)))&gt;0),0)</f>
        <v>0</v>
      </c>
      <c r="AI39">
        <f t="shared" si="1"/>
        <v>0</v>
      </c>
      <c r="AJ39" t="str">
        <f>Data!A39</f>
        <v>Charmander</v>
      </c>
      <c r="AK39" t="str">
        <f>Data!H39</f>
        <v>Helping Speed S</v>
      </c>
      <c r="AL39">
        <f>Data!B39</f>
        <v>7</v>
      </c>
      <c r="AM39">
        <f>Data!R39</f>
        <v>4</v>
      </c>
      <c r="AN39" t="str">
        <f>Data!N39</f>
        <v>EXP Gains</v>
      </c>
      <c r="AO39">
        <f t="shared" si="2"/>
        <v>4007.000039</v>
      </c>
    </row>
    <row r="40" spans="19:41">
      <c r="S40" t="str">
        <f>Data!A40</f>
        <v>Eevee</v>
      </c>
      <c r="T40" t="str">
        <f>Data!D40</f>
        <v>Persim</v>
      </c>
      <c r="U40">
        <f>Data!B40</f>
        <v>8</v>
      </c>
      <c r="V40">
        <f>Data!P40</f>
        <v>3</v>
      </c>
      <c r="W40" t="str">
        <f>Data!N40</f>
        <v>Neutral</v>
      </c>
      <c r="X40">
        <f t="shared" si="0"/>
        <v>0</v>
      </c>
      <c r="AA40" t="str">
        <f>Data!A40</f>
        <v>Eevee</v>
      </c>
      <c r="AB40" t="str">
        <f>Data!E40</f>
        <v>Moomoo Milk</v>
      </c>
      <c r="AC40" t="str">
        <f>Data!F40</f>
        <v>Soothing Cacao</v>
      </c>
      <c r="AD40" t="str">
        <f>Data!G40</f>
        <v>Soothing Cacao</v>
      </c>
      <c r="AE40">
        <f>Data!B40</f>
        <v>8</v>
      </c>
      <c r="AF40">
        <f>Data!Q40</f>
        <v>2</v>
      </c>
      <c r="AG40" t="str">
        <f>Data!N40</f>
        <v>Neutral</v>
      </c>
      <c r="AH40">
        <f>(IF($H$5="Curries/Stews",COUNTIF(Helper_Ingredient!$N$3:$N$20,AB40),IF($H$5="Salads",COUNTIF(Helper_Ingredient!$O$3:$O$20,AB40),COUNTIF(Helper_Ingredient!$P$3:$P$19,AB40)))&gt;0)+IF(AE40&gt;=30,(IF($H$5="Curries/Stews",COUNTIF(Helper_Ingredient!$N$3:$N$20,AC40),IF($H$5="Salads",COUNTIF(Helper_Ingredient!$O$3:$O$20,AC40),COUNTIF(Helper_Ingredient!$P$3:$P$19,AC40)))&gt;0),0)+IF(AE40&gt;=60,(IF($H$5="Curries/Stews",COUNTIF(Helper_Ingredient!$N$3:$N$20,AD40),IF($H$5="Salads",COUNTIF(Helper_Ingredient!$O$3:$O$20,AD40),COUNTIF(Helper_Ingredient!$P$3:$P$19,AD40)))&gt;0),0)</f>
        <v>1</v>
      </c>
      <c r="AI40">
        <f t="shared" si="1"/>
        <v>1002008.00004</v>
      </c>
      <c r="AJ40" t="str">
        <f>Data!A40</f>
        <v>Eevee</v>
      </c>
      <c r="AK40" t="str">
        <f>Data!H40</f>
        <v>Ingredient Finder S</v>
      </c>
      <c r="AL40">
        <f>Data!B40</f>
        <v>8</v>
      </c>
      <c r="AM40">
        <f>Data!R40</f>
        <v>2</v>
      </c>
      <c r="AN40" t="str">
        <f>Data!N40</f>
        <v>Neutral</v>
      </c>
      <c r="AO40">
        <f t="shared" si="2"/>
        <v>2008.0000399999999</v>
      </c>
    </row>
    <row r="41" spans="19:41">
      <c r="S41" t="str">
        <f>Data!A41</f>
        <v>Igglybuff</v>
      </c>
      <c r="T41" t="str">
        <f>Data!D41</f>
        <v>Pecha</v>
      </c>
      <c r="U41">
        <f>Data!B41</f>
        <v>11</v>
      </c>
      <c r="V41">
        <f>Data!P41</f>
        <v>3</v>
      </c>
      <c r="W41" t="str">
        <f>Data!N41</f>
        <v>Speed of Help</v>
      </c>
      <c r="X41">
        <f t="shared" si="0"/>
        <v>3011.0000409999998</v>
      </c>
      <c r="AA41" t="str">
        <f>Data!A41</f>
        <v>Igglybuff</v>
      </c>
      <c r="AB41" t="str">
        <f>Data!E41</f>
        <v>Honey</v>
      </c>
      <c r="AC41" t="str">
        <f>Data!F41</f>
        <v>Pure Oil</v>
      </c>
      <c r="AD41" t="str">
        <f>Data!G41</f>
        <v>Honey</v>
      </c>
      <c r="AE41">
        <f>Data!B41</f>
        <v>11</v>
      </c>
      <c r="AF41">
        <f>Data!Q41</f>
        <v>3</v>
      </c>
      <c r="AG41" t="str">
        <f>Data!N41</f>
        <v>Speed of Help</v>
      </c>
      <c r="AH41">
        <f>(IF($H$5="Curries/Stews",COUNTIF(Helper_Ingredient!$N$3:$N$20,AB41),IF($H$5="Salads",COUNTIF(Helper_Ingredient!$O$3:$O$20,AB41),COUNTIF(Helper_Ingredient!$P$3:$P$19,AB41)))&gt;0)+IF(AE41&gt;=30,(IF($H$5="Curries/Stews",COUNTIF(Helper_Ingredient!$N$3:$N$20,AC41),IF($H$5="Salads",COUNTIF(Helper_Ingredient!$O$3:$O$20,AC41),COUNTIF(Helper_Ingredient!$P$3:$P$19,AC41)))&gt;0),0)+IF(AE41&gt;=60,(IF($H$5="Curries/Stews",COUNTIF(Helper_Ingredient!$N$3:$N$20,AD41),IF($H$5="Salads",COUNTIF(Helper_Ingredient!$O$3:$O$20,AD41),COUNTIF(Helper_Ingredient!$P$3:$P$19,AD41)))&gt;0),0)</f>
        <v>1</v>
      </c>
      <c r="AI41">
        <f t="shared" si="1"/>
        <v>1003011.000041</v>
      </c>
      <c r="AJ41" t="str">
        <f>Data!A41</f>
        <v>Igglybuff</v>
      </c>
      <c r="AK41" t="str">
        <f>Data!H41</f>
        <v>Inventory Up M</v>
      </c>
      <c r="AL41">
        <f>Data!B41</f>
        <v>11</v>
      </c>
      <c r="AM41">
        <f>Data!R41</f>
        <v>-1</v>
      </c>
      <c r="AN41" t="str">
        <f>Data!N41</f>
        <v>Speed of Help</v>
      </c>
      <c r="AO41">
        <f t="shared" si="2"/>
        <v>-988.99995899999999</v>
      </c>
    </row>
    <row r="42" spans="19:41">
      <c r="S42" t="str">
        <f>Data!A42</f>
        <v>Bonsly</v>
      </c>
      <c r="T42" t="str">
        <f>Data!D42</f>
        <v>Sitrus</v>
      </c>
      <c r="U42">
        <f>Data!B42</f>
        <v>7</v>
      </c>
      <c r="V42">
        <f>Data!P42</f>
        <v>3</v>
      </c>
      <c r="W42" t="str">
        <f>Data!N42</f>
        <v>Speed of Help</v>
      </c>
      <c r="X42">
        <f t="shared" si="0"/>
        <v>0</v>
      </c>
      <c r="AA42" t="str">
        <f>Data!A42</f>
        <v>Bonsly</v>
      </c>
      <c r="AB42" t="str">
        <f>Data!E42</f>
        <v>Snoozy Tomato</v>
      </c>
      <c r="AC42" t="str">
        <f>Data!F42</f>
        <v>Greengrass Soybeans</v>
      </c>
      <c r="AD42" t="str">
        <f>Data!G42</f>
        <v>Greengrass Soybeans</v>
      </c>
      <c r="AE42">
        <f>Data!B42</f>
        <v>7</v>
      </c>
      <c r="AF42">
        <f>Data!Q42</f>
        <v>1</v>
      </c>
      <c r="AG42" t="str">
        <f>Data!N42</f>
        <v>Speed of Help</v>
      </c>
      <c r="AH42">
        <f>(IF($H$5="Curries/Stews",COUNTIF(Helper_Ingredient!$N$3:$N$20,AB42),IF($H$5="Salads",COUNTIF(Helper_Ingredient!$O$3:$O$20,AB42),COUNTIF(Helper_Ingredient!$P$3:$P$19,AB42)))&gt;0)+IF(AE42&gt;=30,(IF($H$5="Curries/Stews",COUNTIF(Helper_Ingredient!$N$3:$N$20,AC42),IF($H$5="Salads",COUNTIF(Helper_Ingredient!$O$3:$O$20,AC42),COUNTIF(Helper_Ingredient!$P$3:$P$19,AC42)))&gt;0),0)+IF(AE42&gt;=60,(IF($H$5="Curries/Stews",COUNTIF(Helper_Ingredient!$N$3:$N$20,AD42),IF($H$5="Salads",COUNTIF(Helper_Ingredient!$O$3:$O$20,AD42),COUNTIF(Helper_Ingredient!$P$3:$P$19,AD42)))&gt;0),0)</f>
        <v>1</v>
      </c>
      <c r="AI42">
        <f t="shared" si="1"/>
        <v>1001007.000042</v>
      </c>
      <c r="AJ42" t="str">
        <f>Data!A42</f>
        <v>Bonsly</v>
      </c>
      <c r="AK42" t="str">
        <f>Data!H42</f>
        <v>Helping Speed S</v>
      </c>
      <c r="AL42">
        <f>Data!B42</f>
        <v>7</v>
      </c>
      <c r="AM42">
        <f>Data!R42</f>
        <v>4</v>
      </c>
      <c r="AN42" t="str">
        <f>Data!N42</f>
        <v>Speed of Help</v>
      </c>
      <c r="AO42">
        <f t="shared" si="2"/>
        <v>4007.0000420000001</v>
      </c>
    </row>
    <row r="43" spans="19:41">
      <c r="S43" t="str">
        <f>Data!A43</f>
        <v>Mareep</v>
      </c>
      <c r="T43" t="str">
        <f>Data!D43</f>
        <v>Grepa</v>
      </c>
      <c r="U43">
        <f>Data!B43</f>
        <v>6</v>
      </c>
      <c r="V43">
        <f>Data!P43</f>
        <v>3</v>
      </c>
      <c r="W43" t="str">
        <f>Data!N43</f>
        <v>Speed of Help</v>
      </c>
      <c r="X43">
        <f t="shared" si="0"/>
        <v>0</v>
      </c>
      <c r="AA43" t="str">
        <f>Data!A43</f>
        <v>Mareep</v>
      </c>
      <c r="AB43" t="str">
        <f>Data!E43</f>
        <v>Fiery Herb</v>
      </c>
      <c r="AC43" t="str">
        <f>Data!F43</f>
        <v>Fancy Egg</v>
      </c>
      <c r="AD43" t="str">
        <f>Data!G43</f>
        <v>Fancy Egg</v>
      </c>
      <c r="AE43">
        <f>Data!B43</f>
        <v>6</v>
      </c>
      <c r="AF43">
        <f>Data!Q43</f>
        <v>2.5</v>
      </c>
      <c r="AG43" t="str">
        <f>Data!N43</f>
        <v>Speed of Help</v>
      </c>
      <c r="AH43">
        <f>(IF($H$5="Curries/Stews",COUNTIF(Helper_Ingredient!$N$3:$N$20,AB43),IF($H$5="Salads",COUNTIF(Helper_Ingredient!$O$3:$O$20,AB43),COUNTIF(Helper_Ingredient!$P$3:$P$19,AB43)))&gt;0)+IF(AE43&gt;=30,(IF($H$5="Curries/Stews",COUNTIF(Helper_Ingredient!$N$3:$N$20,AC43),IF($H$5="Salads",COUNTIF(Helper_Ingredient!$O$3:$O$20,AC43),COUNTIF(Helper_Ingredient!$P$3:$P$19,AC43)))&gt;0),0)+IF(AE43&gt;=60,(IF($H$5="Curries/Stews",COUNTIF(Helper_Ingredient!$N$3:$N$20,AD43),IF($H$5="Salads",COUNTIF(Helper_Ingredient!$O$3:$O$20,AD43),COUNTIF(Helper_Ingredient!$P$3:$P$19,AD43)))&gt;0),0)</f>
        <v>0</v>
      </c>
      <c r="AI43">
        <f t="shared" si="1"/>
        <v>0</v>
      </c>
      <c r="AJ43" t="str">
        <f>Data!A43</f>
        <v>Mareep</v>
      </c>
      <c r="AK43" t="str">
        <f>Data!H43</f>
        <v>Skill Trigger M</v>
      </c>
      <c r="AL43">
        <f>Data!B43</f>
        <v>6</v>
      </c>
      <c r="AM43">
        <f>Data!R43</f>
        <v>3</v>
      </c>
      <c r="AN43" t="str">
        <f>Data!N43</f>
        <v>Speed of Help</v>
      </c>
      <c r="AO43">
        <f t="shared" si="2"/>
        <v>3006.000043</v>
      </c>
    </row>
    <row r="44" spans="19:41">
      <c r="S44" t="str">
        <f>Data!A44</f>
        <v>Latias</v>
      </c>
      <c r="T44" t="str">
        <f>Data!D44</f>
        <v>Yache</v>
      </c>
      <c r="U44">
        <f>Data!B44</f>
        <v>18</v>
      </c>
      <c r="V44">
        <f>Data!P44</f>
        <v>1</v>
      </c>
      <c r="W44" t="str">
        <f>Data!N44</f>
        <v>Neutral</v>
      </c>
      <c r="X44">
        <f t="shared" si="0"/>
        <v>0</v>
      </c>
      <c r="AA44" t="str">
        <f>Data!A44</f>
        <v>Latias</v>
      </c>
      <c r="AB44" t="str">
        <f>Data!E44</f>
        <v>Snoozy Tomato</v>
      </c>
      <c r="AC44" t="str">
        <f>Data!F44</f>
        <v>Plump Pumpkin</v>
      </c>
      <c r="AD44" t="str">
        <f>Data!G44</f>
        <v>Plump Pumpkin</v>
      </c>
      <c r="AE44">
        <f>Data!B44</f>
        <v>18</v>
      </c>
      <c r="AF44">
        <f>Data!Q44</f>
        <v>2.5</v>
      </c>
      <c r="AG44" t="str">
        <f>Data!N44</f>
        <v>Neutral</v>
      </c>
      <c r="AH44">
        <f>(IF($H$5="Curries/Stews",COUNTIF(Helper_Ingredient!$N$3:$N$20,AB44),IF($H$5="Salads",COUNTIF(Helper_Ingredient!$O$3:$O$20,AB44),COUNTIF(Helper_Ingredient!$P$3:$P$19,AB44)))&gt;0)+IF(AE44&gt;=30,(IF($H$5="Curries/Stews",COUNTIF(Helper_Ingredient!$N$3:$N$20,AC44),IF($H$5="Salads",COUNTIF(Helper_Ingredient!$O$3:$O$20,AC44),COUNTIF(Helper_Ingredient!$P$3:$P$19,AC44)))&gt;0),0)+IF(AE44&gt;=60,(IF($H$5="Curries/Stews",COUNTIF(Helper_Ingredient!$N$3:$N$20,AD44),IF($H$5="Salads",COUNTIF(Helper_Ingredient!$O$3:$O$20,AD44),COUNTIF(Helper_Ingredient!$P$3:$P$19,AD44)))&gt;0),0)</f>
        <v>1</v>
      </c>
      <c r="AI44">
        <f t="shared" si="1"/>
        <v>1002518.000044</v>
      </c>
      <c r="AJ44" t="str">
        <f>Data!A44</f>
        <v>Latias</v>
      </c>
      <c r="AK44" t="str">
        <f>Data!H44</f>
        <v>Sleep EXP Bonus</v>
      </c>
      <c r="AL44">
        <f>Data!B44</f>
        <v>18</v>
      </c>
      <c r="AM44">
        <f>Data!R44</f>
        <v>3</v>
      </c>
      <c r="AN44" t="str">
        <f>Data!N44</f>
        <v>Neutral</v>
      </c>
      <c r="AO44">
        <f t="shared" si="2"/>
        <v>3018.0000439999999</v>
      </c>
    </row>
    <row r="45" spans="19:41">
      <c r="S45" t="str">
        <f>Data!A45</f>
        <v>Latias</v>
      </c>
      <c r="T45" t="str">
        <f>Data!D45</f>
        <v>Yache</v>
      </c>
      <c r="U45">
        <f>Data!B45</f>
        <v>26</v>
      </c>
      <c r="V45">
        <f>Data!P45</f>
        <v>2</v>
      </c>
      <c r="W45" t="str">
        <f>Data!N45</f>
        <v>Speed of Help</v>
      </c>
      <c r="X45">
        <f t="shared" si="0"/>
        <v>0</v>
      </c>
      <c r="AA45" t="str">
        <f>Data!A45</f>
        <v>Latias</v>
      </c>
      <c r="AB45" t="str">
        <f>Data!E45</f>
        <v>Snoozy Tomato</v>
      </c>
      <c r="AC45" t="str">
        <f>Data!F45</f>
        <v>Plump Pumpkin</v>
      </c>
      <c r="AD45" t="str">
        <f>Data!G45</f>
        <v>Plump Pumpkin</v>
      </c>
      <c r="AE45">
        <f>Data!B45</f>
        <v>26</v>
      </c>
      <c r="AF45">
        <f>Data!Q45</f>
        <v>4</v>
      </c>
      <c r="AG45" t="str">
        <f>Data!N45</f>
        <v>Speed of Help</v>
      </c>
      <c r="AH45">
        <f>(IF($H$5="Curries/Stews",COUNTIF(Helper_Ingredient!$N$3:$N$20,AB45),IF($H$5="Salads",COUNTIF(Helper_Ingredient!$O$3:$O$20,AB45),COUNTIF(Helper_Ingredient!$P$3:$P$19,AB45)))&gt;0)+IF(AE45&gt;=30,(IF($H$5="Curries/Stews",COUNTIF(Helper_Ingredient!$N$3:$N$20,AC45),IF($H$5="Salads",COUNTIF(Helper_Ingredient!$O$3:$O$20,AC45),COUNTIF(Helper_Ingredient!$P$3:$P$19,AC45)))&gt;0),0)+IF(AE45&gt;=60,(IF($H$5="Curries/Stews",COUNTIF(Helper_Ingredient!$N$3:$N$20,AD45),IF($H$5="Salads",COUNTIF(Helper_Ingredient!$O$3:$O$20,AD45),COUNTIF(Helper_Ingredient!$P$3:$P$19,AD45)))&gt;0),0)</f>
        <v>1</v>
      </c>
      <c r="AI45">
        <f t="shared" si="1"/>
        <v>1004026.000045</v>
      </c>
      <c r="AJ45" t="str">
        <f>Data!A45</f>
        <v>Latias</v>
      </c>
      <c r="AK45" t="str">
        <f>Data!H45</f>
        <v>Sleep EXP Bonus</v>
      </c>
      <c r="AL45">
        <f>Data!B45</f>
        <v>26</v>
      </c>
      <c r="AM45">
        <f>Data!R45</f>
        <v>1.5</v>
      </c>
      <c r="AN45" t="str">
        <f>Data!N45</f>
        <v>Speed of Help</v>
      </c>
      <c r="AO45">
        <f t="shared" si="2"/>
        <v>1526.000045</v>
      </c>
    </row>
    <row r="46" spans="19:41">
      <c r="S46" t="str">
        <f>Data!A46</f>
        <v>Ivysaur</v>
      </c>
      <c r="T46" t="str">
        <f>Data!D46</f>
        <v>Durin</v>
      </c>
      <c r="U46">
        <f>Data!B46</f>
        <v>24</v>
      </c>
      <c r="V46">
        <f>Data!P46</f>
        <v>3</v>
      </c>
      <c r="W46" t="str">
        <f>Data!N46</f>
        <v>Ingredient Finding</v>
      </c>
      <c r="X46">
        <f t="shared" si="0"/>
        <v>0</v>
      </c>
      <c r="AA46" t="str">
        <f>Data!A46</f>
        <v>Ivysaur</v>
      </c>
      <c r="AB46" t="str">
        <f>Data!E46</f>
        <v>Honey</v>
      </c>
      <c r="AC46" t="str">
        <f>Data!F46</f>
        <v>Honey</v>
      </c>
      <c r="AD46" t="str">
        <f>Data!G46</f>
        <v>Snoozy Tomato</v>
      </c>
      <c r="AE46">
        <f>Data!B46</f>
        <v>24</v>
      </c>
      <c r="AF46">
        <f>Data!Q46</f>
        <v>5</v>
      </c>
      <c r="AG46" t="str">
        <f>Data!N46</f>
        <v>Ingredient Finding</v>
      </c>
      <c r="AH46">
        <f>(IF($H$5="Curries/Stews",COUNTIF(Helper_Ingredient!$N$3:$N$20,AB46),IF($H$5="Salads",COUNTIF(Helper_Ingredient!$O$3:$O$20,AB46),COUNTIF(Helper_Ingredient!$P$3:$P$19,AB46)))&gt;0)+IF(AE46&gt;=30,(IF($H$5="Curries/Stews",COUNTIF(Helper_Ingredient!$N$3:$N$20,AC46),IF($H$5="Salads",COUNTIF(Helper_Ingredient!$O$3:$O$20,AC46),COUNTIF(Helper_Ingredient!$P$3:$P$19,AC46)))&gt;0),0)+IF(AE46&gt;=60,(IF($H$5="Curries/Stews",COUNTIF(Helper_Ingredient!$N$3:$N$20,AD46),IF($H$5="Salads",COUNTIF(Helper_Ingredient!$O$3:$O$20,AD46),COUNTIF(Helper_Ingredient!$P$3:$P$19,AD46)))&gt;0),0)</f>
        <v>1</v>
      </c>
      <c r="AI46">
        <f t="shared" si="1"/>
        <v>1005024.000046</v>
      </c>
      <c r="AJ46" t="str">
        <f>Data!A46</f>
        <v>Ivysaur</v>
      </c>
      <c r="AK46" t="str">
        <f>Data!H46</f>
        <v>Helping Speed S</v>
      </c>
      <c r="AL46">
        <f>Data!B46</f>
        <v>24</v>
      </c>
      <c r="AM46">
        <f>Data!R46</f>
        <v>0</v>
      </c>
      <c r="AN46" t="str">
        <f>Data!N46</f>
        <v>Ingredient Finding</v>
      </c>
      <c r="AO46">
        <f t="shared" si="2"/>
        <v>24.000046000000001</v>
      </c>
    </row>
    <row r="47" spans="19:41">
      <c r="S47" t="str">
        <f>Data!A47</f>
        <v>Wobbuffet</v>
      </c>
      <c r="T47" t="str">
        <f>Data!D47</f>
        <v>Mago</v>
      </c>
      <c r="U47">
        <f>Data!B47</f>
        <v>10</v>
      </c>
      <c r="V47">
        <f>Data!P47</f>
        <v>1</v>
      </c>
      <c r="W47" t="str">
        <f>Data!N47</f>
        <v>Neutral</v>
      </c>
      <c r="X47">
        <f t="shared" si="0"/>
        <v>0</v>
      </c>
      <c r="AA47" t="str">
        <f>Data!A47</f>
        <v>Wobbuffet</v>
      </c>
      <c r="AB47" t="str">
        <f>Data!E47</f>
        <v>Fancy Apple</v>
      </c>
      <c r="AC47" t="str">
        <f>Data!F47</f>
        <v>Fancy Apple</v>
      </c>
      <c r="AD47" t="str">
        <f>Data!G47</f>
        <v>Pure Oil</v>
      </c>
      <c r="AE47">
        <f>Data!B47</f>
        <v>10</v>
      </c>
      <c r="AF47">
        <f>Data!Q47</f>
        <v>2.5</v>
      </c>
      <c r="AG47" t="str">
        <f>Data!N47</f>
        <v>Neutral</v>
      </c>
      <c r="AH47">
        <f>(IF($H$5="Curries/Stews",COUNTIF(Helper_Ingredient!$N$3:$N$20,AB47),IF($H$5="Salads",COUNTIF(Helper_Ingredient!$O$3:$O$20,AB47),COUNTIF(Helper_Ingredient!$P$3:$P$19,AB47)))&gt;0)+IF(AE47&gt;=30,(IF($H$5="Curries/Stews",COUNTIF(Helper_Ingredient!$N$3:$N$20,AC47),IF($H$5="Salads",COUNTIF(Helper_Ingredient!$O$3:$O$20,AC47),COUNTIF(Helper_Ingredient!$P$3:$P$19,AC47)))&gt;0),0)+IF(AE47&gt;=60,(IF($H$5="Curries/Stews",COUNTIF(Helper_Ingredient!$N$3:$N$20,AD47),IF($H$5="Salads",COUNTIF(Helper_Ingredient!$O$3:$O$20,AD47),COUNTIF(Helper_Ingredient!$P$3:$P$19,AD47)))&gt;0),0)</f>
        <v>1</v>
      </c>
      <c r="AI47">
        <f t="shared" si="1"/>
        <v>1002510.000047</v>
      </c>
      <c r="AJ47" t="str">
        <f>Data!A47</f>
        <v>Wobbuffet</v>
      </c>
      <c r="AK47" t="str">
        <f>Data!H47</f>
        <v>Skill Trigger S</v>
      </c>
      <c r="AL47">
        <f>Data!B47</f>
        <v>10</v>
      </c>
      <c r="AM47">
        <f>Data!R47</f>
        <v>3</v>
      </c>
      <c r="AN47" t="str">
        <f>Data!N47</f>
        <v>Neutral</v>
      </c>
      <c r="AO47">
        <f t="shared" si="2"/>
        <v>3010.000047</v>
      </c>
    </row>
    <row r="48" spans="19:41">
      <c r="S48" t="str">
        <f>Data!A48</f>
        <v>Rattata</v>
      </c>
      <c r="T48" t="str">
        <f>Data!D48</f>
        <v>Persim</v>
      </c>
      <c r="U48">
        <f>Data!B48</f>
        <v>11</v>
      </c>
      <c r="V48">
        <f>Data!P48</f>
        <v>4</v>
      </c>
      <c r="W48" t="str">
        <f>Data!N48</f>
        <v>EXP Gains</v>
      </c>
      <c r="X48">
        <f t="shared" si="0"/>
        <v>0</v>
      </c>
      <c r="AA48" t="str">
        <f>Data!A48</f>
        <v>Rattata</v>
      </c>
      <c r="AB48" t="str">
        <f>Data!E48</f>
        <v>Fancy Apple</v>
      </c>
      <c r="AC48" t="str">
        <f>Data!F48</f>
        <v>Fancy Apple</v>
      </c>
      <c r="AD48" t="str">
        <f>Data!G48</f>
        <v>Fancy Apple</v>
      </c>
      <c r="AE48">
        <f>Data!B48</f>
        <v>11</v>
      </c>
      <c r="AF48">
        <f>Data!Q48</f>
        <v>7.5</v>
      </c>
      <c r="AG48" t="str">
        <f>Data!N48</f>
        <v>EXP Gains</v>
      </c>
      <c r="AH48">
        <f>(IF($H$5="Curries/Stews",COUNTIF(Helper_Ingredient!$N$3:$N$20,AB48),IF($H$5="Salads",COUNTIF(Helper_Ingredient!$O$3:$O$20,AB48),COUNTIF(Helper_Ingredient!$P$3:$P$19,AB48)))&gt;0)+IF(AE48&gt;=30,(IF($H$5="Curries/Stews",COUNTIF(Helper_Ingredient!$N$3:$N$20,AC48),IF($H$5="Salads",COUNTIF(Helper_Ingredient!$O$3:$O$20,AC48),COUNTIF(Helper_Ingredient!$P$3:$P$19,AC48)))&gt;0),0)+IF(AE48&gt;=60,(IF($H$5="Curries/Stews",COUNTIF(Helper_Ingredient!$N$3:$N$20,AD48),IF($H$5="Salads",COUNTIF(Helper_Ingredient!$O$3:$O$20,AD48),COUNTIF(Helper_Ingredient!$P$3:$P$19,AD48)))&gt;0),0)</f>
        <v>1</v>
      </c>
      <c r="AI48">
        <f t="shared" si="1"/>
        <v>1007511.000048</v>
      </c>
      <c r="AJ48" t="str">
        <f>Data!A48</f>
        <v>Rattata</v>
      </c>
      <c r="AK48" t="str">
        <f>Data!H48</f>
        <v>Helping Speed M</v>
      </c>
      <c r="AL48">
        <f>Data!B48</f>
        <v>11</v>
      </c>
      <c r="AM48">
        <f>Data!R48</f>
        <v>-1</v>
      </c>
      <c r="AN48" t="str">
        <f>Data!N48</f>
        <v>EXP Gains</v>
      </c>
      <c r="AO48">
        <f t="shared" si="2"/>
        <v>-988.99995200000001</v>
      </c>
    </row>
    <row r="49" spans="19:41">
      <c r="S49" t="str">
        <f>Data!A49</f>
        <v>Treecko</v>
      </c>
      <c r="T49" t="str">
        <f>Data!D49</f>
        <v>Durin</v>
      </c>
      <c r="U49">
        <f>Data!B49</f>
        <v>9</v>
      </c>
      <c r="V49">
        <f>Data!P49</f>
        <v>0</v>
      </c>
      <c r="W49" t="str">
        <f>Data!N49</f>
        <v>Ingredient Finding</v>
      </c>
      <c r="X49">
        <f t="shared" si="0"/>
        <v>0</v>
      </c>
      <c r="AA49" t="str">
        <f>Data!A49</f>
        <v>Treecko</v>
      </c>
      <c r="AB49" t="str">
        <f>Data!E49</f>
        <v>Fancy Egg</v>
      </c>
      <c r="AC49" t="str">
        <f>Data!F49</f>
        <v>Rousing Coffee</v>
      </c>
      <c r="AD49" t="str">
        <f>Data!G49</f>
        <v>Large Leek</v>
      </c>
      <c r="AE49">
        <f>Data!B49</f>
        <v>9</v>
      </c>
      <c r="AF49">
        <f>Data!Q49</f>
        <v>3.5</v>
      </c>
      <c r="AG49" t="str">
        <f>Data!N49</f>
        <v>Ingredient Finding</v>
      </c>
      <c r="AH49">
        <f>(IF($H$5="Curries/Stews",COUNTIF(Helper_Ingredient!$N$3:$N$20,AB49),IF($H$5="Salads",COUNTIF(Helper_Ingredient!$O$3:$O$20,AB49),COUNTIF(Helper_Ingredient!$P$3:$P$19,AB49)))&gt;0)+IF(AE49&gt;=30,(IF($H$5="Curries/Stews",COUNTIF(Helper_Ingredient!$N$3:$N$20,AC49),IF($H$5="Salads",COUNTIF(Helper_Ingredient!$O$3:$O$20,AC49),COUNTIF(Helper_Ingredient!$P$3:$P$19,AC49)))&gt;0),0)+IF(AE49&gt;=60,(IF($H$5="Curries/Stews",COUNTIF(Helper_Ingredient!$N$3:$N$20,AD49),IF($H$5="Salads",COUNTIF(Helper_Ingredient!$O$3:$O$20,AD49),COUNTIF(Helper_Ingredient!$P$3:$P$19,AD49)))&gt;0),0)</f>
        <v>1</v>
      </c>
      <c r="AI49">
        <f t="shared" si="1"/>
        <v>1003509.000049</v>
      </c>
      <c r="AJ49" t="str">
        <f>Data!A49</f>
        <v>Treecko</v>
      </c>
      <c r="AK49" t="str">
        <f>Data!H49</f>
        <v>Skill Trigger S</v>
      </c>
      <c r="AL49">
        <f>Data!B49</f>
        <v>9</v>
      </c>
      <c r="AM49">
        <f>Data!R49</f>
        <v>2</v>
      </c>
      <c r="AN49" t="str">
        <f>Data!N49</f>
        <v>Ingredient Finding</v>
      </c>
      <c r="AO49">
        <f t="shared" si="2"/>
        <v>2009.000049</v>
      </c>
    </row>
    <row r="50" spans="19:41">
      <c r="S50" t="str">
        <f>Data!A50</f>
        <v>Wynaut</v>
      </c>
      <c r="T50" t="str">
        <f>Data!D50</f>
        <v>Mago</v>
      </c>
      <c r="U50">
        <f>Data!B50</f>
        <v>8</v>
      </c>
      <c r="V50">
        <f>Data!P50</f>
        <v>1</v>
      </c>
      <c r="W50" t="str">
        <f>Data!N50</f>
        <v>Main Skill Chance</v>
      </c>
      <c r="X50">
        <f t="shared" si="0"/>
        <v>0</v>
      </c>
      <c r="AA50" t="str">
        <f>Data!A50</f>
        <v>Wynaut</v>
      </c>
      <c r="AB50" t="str">
        <f>Data!E50</f>
        <v>Fancy Apple</v>
      </c>
      <c r="AC50" t="str">
        <f>Data!F50</f>
        <v>Tasty Mushroom</v>
      </c>
      <c r="AD50" t="str">
        <f>Data!G50</f>
        <v>Pure Oil</v>
      </c>
      <c r="AE50">
        <f>Data!B50</f>
        <v>8</v>
      </c>
      <c r="AF50">
        <f>Data!Q50</f>
        <v>2</v>
      </c>
      <c r="AG50" t="str">
        <f>Data!N50</f>
        <v>Main Skill Chance</v>
      </c>
      <c r="AH50">
        <f>(IF($H$5="Curries/Stews",COUNTIF(Helper_Ingredient!$N$3:$N$20,AB50),IF($H$5="Salads",COUNTIF(Helper_Ingredient!$O$3:$O$20,AB50),COUNTIF(Helper_Ingredient!$P$3:$P$19,AB50)))&gt;0)+IF(AE50&gt;=30,(IF($H$5="Curries/Stews",COUNTIF(Helper_Ingredient!$N$3:$N$20,AC50),IF($H$5="Salads",COUNTIF(Helper_Ingredient!$O$3:$O$20,AC50),COUNTIF(Helper_Ingredient!$P$3:$P$19,AC50)))&gt;0),0)+IF(AE50&gt;=60,(IF($H$5="Curries/Stews",COUNTIF(Helper_Ingredient!$N$3:$N$20,AD50),IF($H$5="Salads",COUNTIF(Helper_Ingredient!$O$3:$O$20,AD50),COUNTIF(Helper_Ingredient!$P$3:$P$19,AD50)))&gt;0),0)</f>
        <v>1</v>
      </c>
      <c r="AI50">
        <f t="shared" si="1"/>
        <v>1002008.00005</v>
      </c>
      <c r="AJ50" t="str">
        <f>Data!A50</f>
        <v>Wynaut</v>
      </c>
      <c r="AK50" t="str">
        <f>Data!H50</f>
        <v>Inventory Up L</v>
      </c>
      <c r="AL50">
        <f>Data!B50</f>
        <v>8</v>
      </c>
      <c r="AM50">
        <f>Data!R50</f>
        <v>2</v>
      </c>
      <c r="AN50" t="str">
        <f>Data!N50</f>
        <v>Main Skill Chance</v>
      </c>
      <c r="AO50">
        <f t="shared" ref="AO50:AO51" si="3">(AM50*1000)+AL50+ROW()/1000000</f>
        <v>2008.0000500000001</v>
      </c>
    </row>
    <row r="51" spans="19:41">
      <c r="S51" t="str">
        <f>Data!A51</f>
        <v>Sprigatito</v>
      </c>
      <c r="T51" t="str">
        <f>Data!D51</f>
        <v>Durin</v>
      </c>
      <c r="U51">
        <f>Data!B51</f>
        <v>10</v>
      </c>
      <c r="V51">
        <f>Data!P51</f>
        <v>0</v>
      </c>
      <c r="W51" t="str">
        <f>Data!N51</f>
        <v>EXP Gains</v>
      </c>
      <c r="X51">
        <f t="shared" si="0"/>
        <v>0</v>
      </c>
      <c r="AA51" t="str">
        <f>Data!A51</f>
        <v>Sprigatito</v>
      </c>
      <c r="AB51" t="str">
        <f>Data!E51</f>
        <v>Soft Potato</v>
      </c>
      <c r="AC51" t="str">
        <f>Data!F51</f>
        <v>Moomoo Milk</v>
      </c>
      <c r="AD51" t="str">
        <f>Data!G51</f>
        <v>Moomoo Milk</v>
      </c>
      <c r="AE51">
        <f>Data!B51</f>
        <v>10</v>
      </c>
      <c r="AF51">
        <f>Data!Q51</f>
        <v>3.5</v>
      </c>
      <c r="AG51" t="str">
        <f>Data!N51</f>
        <v>EXP Gains</v>
      </c>
      <c r="AH51">
        <f>(IF($H$5="Curries/Stews",COUNTIF(Helper_Ingredient!$N$3:$N$20,AB51),IF($H$5="Salads",COUNTIF(Helper_Ingredient!$O$3:$O$20,AB51),COUNTIF(Helper_Ingredient!$P$3:$P$19,AB51)))&gt;0)+IF(AE51&gt;=30,(IF($H$5="Curries/Stews",COUNTIF(Helper_Ingredient!$N$3:$N$20,AC51),IF($H$5="Salads",COUNTIF(Helper_Ingredient!$O$3:$O$20,AC51),COUNTIF(Helper_Ingredient!$P$3:$P$19,AC51)))&gt;0),0)+IF(AE51&gt;=60,(IF($H$5="Curries/Stews",COUNTIF(Helper_Ingredient!$N$3:$N$20,AD51),IF($H$5="Salads",COUNTIF(Helper_Ingredient!$O$3:$O$20,AD51),COUNTIF(Helper_Ingredient!$P$3:$P$19,AD51)))&gt;0),0)</f>
        <v>1</v>
      </c>
      <c r="AI51">
        <f t="shared" si="1"/>
        <v>1003510.000051</v>
      </c>
      <c r="AJ51" t="str">
        <f>Data!A51</f>
        <v>Sprigatito</v>
      </c>
      <c r="AK51" t="str">
        <f>Data!H51</f>
        <v>Energy Recovery Bonus</v>
      </c>
      <c r="AL51">
        <f>Data!B51</f>
        <v>10</v>
      </c>
      <c r="AM51">
        <f>Data!R51</f>
        <v>3.5</v>
      </c>
      <c r="AN51" t="str">
        <f>Data!N51</f>
        <v>EXP Gains</v>
      </c>
      <c r="AO51">
        <f t="shared" si="3"/>
        <v>3510.000051</v>
      </c>
    </row>
  </sheetData>
  <mergeCells count="7">
    <mergeCell ref="G3:K3"/>
    <mergeCell ref="A18:E18"/>
    <mergeCell ref="M18:Q18"/>
    <mergeCell ref="M3:Q3"/>
    <mergeCell ref="A1:Q1"/>
    <mergeCell ref="G18:K18"/>
    <mergeCell ref="A3:E3"/>
  </mergeCells>
  <dataValidations count="1">
    <dataValidation type="list" sqref="H5" xr:uid="{00000000-0002-0000-0700-000001000000}">
      <formula1>"Curries/Stews,Salads,Desserts/Drinks"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Referentie!$B$2:$B$19</xm:f>
          </x14:formula1>
          <xm:sqref>B5 B6 B7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6699"/>
  </sheetPr>
  <dimension ref="A1:N21"/>
  <sheetViews>
    <sheetView workbookViewId="0"/>
  </sheetViews>
  <sheetFormatPr defaultRowHeight="15"/>
  <cols>
    <col min="1" max="1" width="22.85546875" customWidth="1"/>
    <col min="2" max="2" width="7.5703125" customWidth="1"/>
    <col min="3" max="4" width="13.28515625" customWidth="1"/>
    <col min="5" max="7" width="22.85546875" customWidth="1"/>
    <col min="8" max="8" width="13.28515625" customWidth="1"/>
    <col min="9" max="10" width="22.85546875" customWidth="1"/>
    <col min="11" max="11" width="15.28515625" customWidth="1"/>
    <col min="13" max="13" width="22.85546875" customWidth="1"/>
    <col min="14" max="14" width="15.28515625" customWidth="1"/>
  </cols>
  <sheetData>
    <row r="1" spans="1:14" ht="18.75" customHeight="1">
      <c r="A1" s="16" t="s">
        <v>379</v>
      </c>
    </row>
    <row r="2" spans="1:14">
      <c r="A2" s="17" t="s">
        <v>380</v>
      </c>
    </row>
    <row r="4" spans="1:14">
      <c r="A4" s="19" t="s">
        <v>27</v>
      </c>
      <c r="B4" s="19" t="s">
        <v>32</v>
      </c>
      <c r="C4" s="19" t="s">
        <v>33</v>
      </c>
      <c r="D4" s="19" t="s">
        <v>2</v>
      </c>
      <c r="E4" s="19" t="s">
        <v>381</v>
      </c>
      <c r="F4" s="19" t="s">
        <v>382</v>
      </c>
      <c r="G4" s="19" t="s">
        <v>383</v>
      </c>
      <c r="H4" s="19" t="s">
        <v>43</v>
      </c>
      <c r="I4" s="19" t="s">
        <v>28</v>
      </c>
      <c r="J4" s="19" t="s">
        <v>384</v>
      </c>
      <c r="K4" s="19" t="s">
        <v>46</v>
      </c>
      <c r="M4" s="19" t="s">
        <v>385</v>
      </c>
    </row>
    <row r="5" spans="1:14">
      <c r="A5" t="str" cm="1">
        <f t="array" ref="A5:K21">IFERROR(_xlfn._xlws.FILTER(CHOOSE({1,2,3,4,5,6,7,8,9,10,11}, Data!A2:A200, Data!B2:B200, Data!C2:C200, Data!D2:D200, Data!E2:E200, Data!F2:F200, Data!G2:G200, Data!M2:M200, Data!N2:N200, Data!O2:O200, Data!P2:P200), Data!S2:S200="Berry"), "")</f>
        <v>Cubone</v>
      </c>
      <c r="B5">
        <v>11</v>
      </c>
      <c r="C5" t="str">
        <v>Ground</v>
      </c>
      <c r="D5" t="str">
        <v>Figy</v>
      </c>
      <c r="E5" t="str">
        <v>Warming Ginger</v>
      </c>
      <c r="F5" t="str">
        <v>Soothing Cacao</v>
      </c>
      <c r="G5" t="str">
        <v>Warming Ginger</v>
      </c>
      <c r="H5" t="str">
        <v>Naughty</v>
      </c>
      <c r="I5" t="str">
        <v>Speed of Help</v>
      </c>
      <c r="J5" t="str">
        <v>Main Skill Chance</v>
      </c>
      <c r="K5">
        <v>4</v>
      </c>
      <c r="M5" s="18" t="s">
        <v>386</v>
      </c>
      <c r="N5">
        <f>COUNTIF(Data!S2:S200,"Berry")</f>
        <v>17</v>
      </c>
    </row>
    <row r="6" spans="1:14">
      <c r="A6" t="str">
        <v>Swablu</v>
      </c>
      <c r="B6">
        <v>7</v>
      </c>
      <c r="C6" t="str">
        <v>Flying</v>
      </c>
      <c r="D6" t="str">
        <v>Pamtre</v>
      </c>
      <c r="E6" t="str">
        <v>Fancy Egg</v>
      </c>
      <c r="F6" t="str">
        <v>Greengrass Soybeans</v>
      </c>
      <c r="G6" t="str">
        <v>Fancy Egg</v>
      </c>
      <c r="H6" t="str">
        <v>Serious</v>
      </c>
      <c r="I6" t="str">
        <v>Neutral</v>
      </c>
      <c r="J6" t="str">
        <v>Neutral</v>
      </c>
      <c r="K6">
        <v>3</v>
      </c>
      <c r="M6" s="18" t="s">
        <v>387</v>
      </c>
      <c r="N6" s="20">
        <f>IFERROR(AVERAGEIF(Data!S2:S200,"Berry",Data!B2:B200),0)</f>
        <v>7.7058823529411766</v>
      </c>
    </row>
    <row r="7" spans="1:14">
      <c r="A7" t="str">
        <v>Riolu</v>
      </c>
      <c r="B7">
        <v>9</v>
      </c>
      <c r="C7" t="str">
        <v>Fighting</v>
      </c>
      <c r="D7" t="str">
        <v>Cheri</v>
      </c>
      <c r="E7" t="str">
        <v>Pure Oil</v>
      </c>
      <c r="F7" t="str">
        <v>Soft Potato</v>
      </c>
      <c r="G7" t="str">
        <v>Pure Oil</v>
      </c>
      <c r="H7" t="str">
        <v>Adamant</v>
      </c>
      <c r="I7" t="str">
        <v>Speed of Help</v>
      </c>
      <c r="J7" t="str">
        <v>Ingredient Finding</v>
      </c>
      <c r="K7">
        <v>6</v>
      </c>
      <c r="M7" s="18" t="s">
        <v>388</v>
      </c>
      <c r="N7">
        <f t="array" ref="N7">IFERROR(MAX(_xlfn._xlws.FILTER(Data!P2:P200, Data!S2:S200="Berry")),0)</f>
        <v>6</v>
      </c>
    </row>
    <row r="8" spans="1:14">
      <c r="A8" t="str">
        <v>Treecko</v>
      </c>
      <c r="B8">
        <v>8</v>
      </c>
      <c r="C8" t="str">
        <v>Grass</v>
      </c>
      <c r="D8" t="str">
        <v>Durin</v>
      </c>
      <c r="E8" t="str">
        <v>Fancy Egg</v>
      </c>
      <c r="F8" t="str">
        <v>Fancy Egg</v>
      </c>
      <c r="G8" t="str">
        <v>Rousing Coffee</v>
      </c>
      <c r="H8" t="str">
        <v>Quiet</v>
      </c>
      <c r="I8" t="str">
        <v>Ingredient Finding</v>
      </c>
      <c r="J8" t="str">
        <v>EXP Gains</v>
      </c>
      <c r="K8">
        <v>3</v>
      </c>
      <c r="M8" s="18" t="s">
        <v>389</v>
      </c>
      <c r="N8" t="str">
        <f t="array" ref="N8">IFERROR(INDEX(_xlfn._xlws.FILTER(Data!A2:A200, Data!S2:S200="Berry"), MATCH(MAX(_xlfn._xlws.FILTER(Data!P2:P200, Data!S2:S200="Berry")), _xlfn._xlws.FILTER(Data!P2:P200, Data!S2:S200="Berry"), 0)),"")</f>
        <v>Riolu</v>
      </c>
    </row>
    <row r="9" spans="1:14">
      <c r="A9" t="str">
        <v>Drifloon</v>
      </c>
      <c r="B9">
        <v>6</v>
      </c>
      <c r="C9" t="str">
        <v>Ghost</v>
      </c>
      <c r="D9" t="str">
        <v>Bluk</v>
      </c>
      <c r="E9" t="str">
        <v>Greengrass Corn</v>
      </c>
      <c r="F9" t="str">
        <v>Pure Oil</v>
      </c>
      <c r="G9" t="str">
        <v>Pure Oil</v>
      </c>
      <c r="H9" t="str">
        <v>Adamant</v>
      </c>
      <c r="I9" t="str">
        <v>Speed of Help</v>
      </c>
      <c r="J9" t="str">
        <v>Ingredient Finding</v>
      </c>
      <c r="K9">
        <v>3</v>
      </c>
    </row>
    <row r="10" spans="1:14">
      <c r="A10" t="str">
        <v>Igglybuff</v>
      </c>
      <c r="B10">
        <v>4</v>
      </c>
      <c r="C10" t="str">
        <v>Fairy</v>
      </c>
      <c r="D10" t="str">
        <v>Pecha</v>
      </c>
      <c r="E10" t="str">
        <v>Honey</v>
      </c>
      <c r="F10" t="str">
        <v>Pure Oil</v>
      </c>
      <c r="G10" t="str">
        <v>Honey</v>
      </c>
      <c r="H10" t="str">
        <v>Adamant</v>
      </c>
      <c r="I10" t="str">
        <v>Speed of Help</v>
      </c>
      <c r="J10" t="str">
        <v>Ingredient Finding</v>
      </c>
      <c r="K10">
        <v>5</v>
      </c>
    </row>
    <row r="11" spans="1:14">
      <c r="A11" t="str">
        <v>Wynaut</v>
      </c>
      <c r="B11">
        <v>9</v>
      </c>
      <c r="C11" t="str">
        <v>Psychic</v>
      </c>
      <c r="D11" t="str">
        <v>Mago</v>
      </c>
      <c r="E11" t="str">
        <v>Fancy Apple</v>
      </c>
      <c r="F11" t="str">
        <v>Tasty Mushroom</v>
      </c>
      <c r="G11" t="str">
        <v>Pure Oil</v>
      </c>
      <c r="H11" t="str">
        <v>Jolly</v>
      </c>
      <c r="I11" t="str">
        <v>EXP Gains</v>
      </c>
      <c r="J11" t="str">
        <v>Ingredient Finding</v>
      </c>
      <c r="K11">
        <v>4</v>
      </c>
    </row>
    <row r="12" spans="1:14">
      <c r="A12" t="str">
        <v>Larvitar</v>
      </c>
      <c r="B12">
        <v>7</v>
      </c>
      <c r="C12" t="str">
        <v>Rock</v>
      </c>
      <c r="D12" t="str">
        <v>Sitrus</v>
      </c>
      <c r="E12" t="str">
        <v>Warming Ginger</v>
      </c>
      <c r="F12" t="str">
        <v>Greengrass Soybeans</v>
      </c>
      <c r="G12" t="str">
        <v>Greengrass Soybeans</v>
      </c>
      <c r="H12" t="str">
        <v>Quirky</v>
      </c>
      <c r="I12" t="str">
        <v>Neutral</v>
      </c>
      <c r="J12" t="str">
        <v>Neutral</v>
      </c>
      <c r="K12">
        <v>3</v>
      </c>
    </row>
    <row r="13" spans="1:14">
      <c r="A13" t="str">
        <v>Bulbasaur</v>
      </c>
      <c r="B13">
        <v>6</v>
      </c>
      <c r="C13" t="str">
        <v>Grass</v>
      </c>
      <c r="D13" t="str">
        <v>Durin</v>
      </c>
      <c r="E13" t="str">
        <v>Honey</v>
      </c>
      <c r="F13" t="str">
        <v>Honey</v>
      </c>
      <c r="G13" t="str">
        <v>Honey</v>
      </c>
      <c r="H13" t="str">
        <v>Impish</v>
      </c>
      <c r="I13" t="str">
        <v>Energy Recovery</v>
      </c>
      <c r="J13" t="str">
        <v>Ingredient Finding</v>
      </c>
      <c r="K13">
        <v>3</v>
      </c>
    </row>
    <row r="14" spans="1:14">
      <c r="A14" t="str">
        <v>Mudkip</v>
      </c>
      <c r="B14">
        <v>6</v>
      </c>
      <c r="C14" t="str">
        <v>Water</v>
      </c>
      <c r="D14" t="str">
        <v>Oran</v>
      </c>
      <c r="E14" t="str">
        <v>Greengrass Corn</v>
      </c>
      <c r="F14" t="str">
        <v>Moomoo Milk</v>
      </c>
      <c r="G14" t="str">
        <v>Greengrass Corn</v>
      </c>
      <c r="H14" t="str">
        <v>Hasty</v>
      </c>
      <c r="I14" t="str">
        <v>EXP Gains</v>
      </c>
      <c r="J14" t="str">
        <v>Energy Recovery</v>
      </c>
      <c r="K14">
        <v>3</v>
      </c>
    </row>
    <row r="15" spans="1:14">
      <c r="A15" t="str">
        <v>Togepi</v>
      </c>
      <c r="B15">
        <v>8</v>
      </c>
      <c r="C15" t="str">
        <v>Fairy</v>
      </c>
      <c r="D15" t="str">
        <v>Pecha</v>
      </c>
      <c r="E15" t="str">
        <v>Fancy Egg</v>
      </c>
      <c r="F15" t="str">
        <v>Warming Ginger</v>
      </c>
      <c r="G15" t="str">
        <v>Warming Ginger</v>
      </c>
      <c r="H15" t="str">
        <v>Adamant</v>
      </c>
      <c r="I15" t="str">
        <v>Speed of Help</v>
      </c>
      <c r="J15" t="str">
        <v>Ingredient Finding</v>
      </c>
      <c r="K15">
        <v>5</v>
      </c>
    </row>
    <row r="16" spans="1:14">
      <c r="A16" t="str">
        <v>Psyduck</v>
      </c>
      <c r="B16">
        <v>5</v>
      </c>
      <c r="C16" t="str">
        <v>Water</v>
      </c>
      <c r="D16" t="str">
        <v>Oran</v>
      </c>
      <c r="E16" t="str">
        <v>Soothing Cacao</v>
      </c>
      <c r="F16" t="str">
        <v>Fancy Apple</v>
      </c>
      <c r="G16" t="str">
        <v>Bean Sausage</v>
      </c>
      <c r="H16" t="str">
        <v>Naughty</v>
      </c>
      <c r="I16" t="str">
        <v>Speed of Help</v>
      </c>
      <c r="J16" t="str">
        <v>Main Skill Chance</v>
      </c>
      <c r="K16">
        <v>4</v>
      </c>
    </row>
    <row r="17" spans="1:11">
      <c r="A17" t="str">
        <v>Eevee</v>
      </c>
      <c r="B17">
        <v>8</v>
      </c>
      <c r="C17" t="str">
        <v>Normal</v>
      </c>
      <c r="D17" t="str">
        <v>Persim</v>
      </c>
      <c r="E17" t="str">
        <v>Moomoo Milk</v>
      </c>
      <c r="F17" t="str">
        <v>Soothing Cacao</v>
      </c>
      <c r="G17" t="str">
        <v>Soothing Cacao</v>
      </c>
      <c r="H17" t="str">
        <v>Docile</v>
      </c>
      <c r="I17" t="str">
        <v>Neutral</v>
      </c>
      <c r="J17" t="str">
        <v>Neutral</v>
      </c>
      <c r="K17">
        <v>3</v>
      </c>
    </row>
    <row r="18" spans="1:11">
      <c r="A18" t="str">
        <v>Igglybuff</v>
      </c>
      <c r="B18">
        <v>11</v>
      </c>
      <c r="C18" t="str">
        <v>Fairy</v>
      </c>
      <c r="D18" t="str">
        <v>Pecha</v>
      </c>
      <c r="E18" t="str">
        <v>Honey</v>
      </c>
      <c r="F18" t="str">
        <v>Pure Oil</v>
      </c>
      <c r="G18" t="str">
        <v>Honey</v>
      </c>
      <c r="H18" t="str">
        <v>Brave</v>
      </c>
      <c r="I18" t="str">
        <v>Speed of Help</v>
      </c>
      <c r="J18" t="str">
        <v>EXP Gains</v>
      </c>
      <c r="K18">
        <v>3</v>
      </c>
    </row>
    <row r="19" spans="1:11">
      <c r="A19" t="str">
        <v>Mareep</v>
      </c>
      <c r="B19">
        <v>6</v>
      </c>
      <c r="C19" t="str">
        <v>Electric</v>
      </c>
      <c r="D19" t="str">
        <v>Grepa</v>
      </c>
      <c r="E19" t="str">
        <v>Fiery Herb</v>
      </c>
      <c r="F19" t="str">
        <v>Fancy Egg</v>
      </c>
      <c r="G19" t="str">
        <v>Fancy Egg</v>
      </c>
      <c r="H19" t="str">
        <v>Lonely</v>
      </c>
      <c r="I19" t="str">
        <v>Speed of Help</v>
      </c>
      <c r="J19" t="str">
        <v>Energy Recovery</v>
      </c>
      <c r="K19">
        <v>3</v>
      </c>
    </row>
    <row r="20" spans="1:11">
      <c r="A20" t="str">
        <v>Chikorita</v>
      </c>
      <c r="B20">
        <v>10</v>
      </c>
      <c r="C20" t="str">
        <v>Grass</v>
      </c>
      <c r="D20" t="str">
        <v>Durin</v>
      </c>
      <c r="E20" t="str">
        <v>Soothing Cacao</v>
      </c>
      <c r="F20" t="str">
        <v>Honey</v>
      </c>
      <c r="G20" t="str">
        <v>Honey</v>
      </c>
      <c r="H20" t="str">
        <v>Docile</v>
      </c>
      <c r="I20" t="str">
        <v>Neutral</v>
      </c>
      <c r="J20" t="str">
        <v>Neutral</v>
      </c>
      <c r="K20">
        <v>3</v>
      </c>
    </row>
    <row r="21" spans="1:11">
      <c r="A21" t="str">
        <v>Slowpoke</v>
      </c>
      <c r="B21">
        <v>10</v>
      </c>
      <c r="C21" t="str">
        <v>Water</v>
      </c>
      <c r="D21" t="str">
        <v>Oran</v>
      </c>
      <c r="E21" t="str">
        <v>Soothing Cacao</v>
      </c>
      <c r="F21" t="str">
        <v>Slowpoke Tail</v>
      </c>
      <c r="G21" t="str">
        <v>Soothing Cacao</v>
      </c>
      <c r="H21" t="str">
        <v>Bold</v>
      </c>
      <c r="I21" t="str">
        <v>Energy Recovery</v>
      </c>
      <c r="J21" t="str">
        <v>Speed of Help</v>
      </c>
      <c r="K21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AA00"/>
  </sheetPr>
  <dimension ref="A1:N31"/>
  <sheetViews>
    <sheetView workbookViewId="0">
      <selection activeCell="A30" sqref="A30"/>
    </sheetView>
  </sheetViews>
  <sheetFormatPr defaultRowHeight="15"/>
  <cols>
    <col min="1" max="1" width="22.85546875" customWidth="1"/>
    <col min="2" max="2" width="7.5703125" customWidth="1"/>
    <col min="3" max="4" width="13.28515625" customWidth="1"/>
    <col min="5" max="7" width="22.85546875" customWidth="1"/>
    <col min="8" max="8" width="13.28515625" customWidth="1"/>
    <col min="9" max="10" width="22.85546875" customWidth="1"/>
    <col min="11" max="11" width="15.28515625" customWidth="1"/>
    <col min="13" max="13" width="22.85546875" customWidth="1"/>
    <col min="14" max="14" width="15.28515625" customWidth="1"/>
  </cols>
  <sheetData>
    <row r="1" spans="1:14" ht="18.75" customHeight="1">
      <c r="A1" s="21" t="s">
        <v>390</v>
      </c>
    </row>
    <row r="2" spans="1:14">
      <c r="A2" s="17" t="s">
        <v>391</v>
      </c>
    </row>
    <row r="4" spans="1:14">
      <c r="A4" s="22" t="s">
        <v>27</v>
      </c>
      <c r="B4" s="22" t="s">
        <v>32</v>
      </c>
      <c r="C4" s="22" t="s">
        <v>33</v>
      </c>
      <c r="D4" s="22" t="s">
        <v>2</v>
      </c>
      <c r="E4" s="22" t="s">
        <v>381</v>
      </c>
      <c r="F4" s="22" t="s">
        <v>382</v>
      </c>
      <c r="G4" s="22" t="s">
        <v>383</v>
      </c>
      <c r="H4" s="22" t="s">
        <v>43</v>
      </c>
      <c r="I4" s="22" t="s">
        <v>28</v>
      </c>
      <c r="J4" s="22" t="s">
        <v>384</v>
      </c>
      <c r="K4" s="22" t="s">
        <v>392</v>
      </c>
      <c r="M4" s="22" t="s">
        <v>385</v>
      </c>
    </row>
    <row r="5" spans="1:14">
      <c r="A5" t="str" cm="1">
        <f t="array" ref="A5:K31">IFERROR(_xlfn._xlws.FILTER(CHOOSE({1,2,3,4,5,6,7,8,9,10,11}, Data!A2:A200, Data!B2:B200, Data!C2:C200, Data!D2:D200, Data!E2:E200, Data!F2:F200, Data!G2:G200, Data!M2:M200, Data!N2:N200, Data!O2:O200, Data!Q2:Q200), Data!S2:S200="Ingredient"), "")</f>
        <v>Pikachu</v>
      </c>
      <c r="B5">
        <v>15</v>
      </c>
      <c r="C5" t="str">
        <v>Electric</v>
      </c>
      <c r="D5" t="str">
        <v>Grepa</v>
      </c>
      <c r="E5" t="str">
        <v>Fancy Apple</v>
      </c>
      <c r="F5" t="str">
        <v>Warming Ginger</v>
      </c>
      <c r="G5" t="str">
        <v>Fancy Apple</v>
      </c>
      <c r="H5" t="str">
        <v>Modest</v>
      </c>
      <c r="I5" t="str">
        <v>Ingredient Finding</v>
      </c>
      <c r="J5" t="str">
        <v>Speed of Help</v>
      </c>
      <c r="K5">
        <v>6.5</v>
      </c>
      <c r="M5" s="18" t="s">
        <v>386</v>
      </c>
      <c r="N5">
        <f>COUNTIF(Data!S2:S200,"Ingredient")</f>
        <v>27</v>
      </c>
    </row>
    <row r="6" spans="1:14">
      <c r="A6" t="str">
        <v>Squirtle</v>
      </c>
      <c r="B6">
        <v>8</v>
      </c>
      <c r="C6" t="str">
        <v>Water</v>
      </c>
      <c r="D6" t="str">
        <v>Oran</v>
      </c>
      <c r="E6" t="str">
        <v>Moomoo Milk</v>
      </c>
      <c r="F6" t="str">
        <v>Soothing Cacao</v>
      </c>
      <c r="G6" t="str">
        <v>Soothing Cacao</v>
      </c>
      <c r="H6" t="str">
        <v>Serious</v>
      </c>
      <c r="I6" t="str">
        <v>Neutral</v>
      </c>
      <c r="J6" t="str">
        <v>Neutral</v>
      </c>
      <c r="K6">
        <v>4</v>
      </c>
      <c r="M6" s="18" t="s">
        <v>387</v>
      </c>
      <c r="N6" s="20">
        <f>IFERROR(AVERAGEIF(Data!S2:S200,"Ingredient",Data!B2:B200),0)</f>
        <v>9.7407407407407405</v>
      </c>
    </row>
    <row r="7" spans="1:14">
      <c r="A7" t="str">
        <v>Igglybuff</v>
      </c>
      <c r="B7">
        <v>10</v>
      </c>
      <c r="C7" t="str">
        <v>Fairy</v>
      </c>
      <c r="D7" t="str">
        <v>Pecha</v>
      </c>
      <c r="E7" t="str">
        <v>Honey</v>
      </c>
      <c r="F7" t="str">
        <v>Honey</v>
      </c>
      <c r="G7" t="str">
        <v>Pure Oil</v>
      </c>
      <c r="H7" t="str">
        <v>Naive</v>
      </c>
      <c r="I7" t="str">
        <v>EXP Gains</v>
      </c>
      <c r="J7" t="str">
        <v>Main Skill Chance</v>
      </c>
      <c r="K7">
        <v>5.5</v>
      </c>
      <c r="M7" s="18" t="s">
        <v>388</v>
      </c>
      <c r="N7">
        <f t="array" ref="N7">IFERROR(MAX(_xlfn._xlws.FILTER(Data!Q2:Q200, Data!S2:S200="Ingredient")),0)</f>
        <v>7.5</v>
      </c>
    </row>
    <row r="8" spans="1:14">
      <c r="A8" t="str">
        <v>Spheal</v>
      </c>
      <c r="B8">
        <v>12</v>
      </c>
      <c r="C8" t="str">
        <v>Water</v>
      </c>
      <c r="D8" t="str">
        <v>Oran</v>
      </c>
      <c r="E8" t="str">
        <v>Pure Oil</v>
      </c>
      <c r="F8" t="str">
        <v>Bean Sausage</v>
      </c>
      <c r="G8" t="str">
        <v>Pure Oil</v>
      </c>
      <c r="H8" t="str">
        <v>Bold</v>
      </c>
      <c r="I8" t="str">
        <v>Energy Recovery</v>
      </c>
      <c r="J8" t="str">
        <v>Speed of Help</v>
      </c>
      <c r="K8">
        <v>3.5</v>
      </c>
      <c r="M8" s="18" t="s">
        <v>389</v>
      </c>
      <c r="N8" t="str">
        <f t="array" ref="N8">IFERROR(INDEX(_xlfn._xlws.FILTER(Data!A2:A200, Data!S2:S200="Ingredient"), MATCH(MAX(_xlfn._xlws.FILTER(Data!Q2:Q200, Data!S2:S200="Ingredient")), _xlfn._xlws.FILTER(Data!Q2:Q200, Data!S2:S200="Ingredient"), 0)),"")</f>
        <v>Rattata</v>
      </c>
    </row>
    <row r="9" spans="1:14">
      <c r="A9" t="str">
        <v>Noibat</v>
      </c>
      <c r="B9">
        <v>14</v>
      </c>
      <c r="C9" t="str">
        <v>Dragon</v>
      </c>
      <c r="D9" t="str">
        <v>Yache</v>
      </c>
      <c r="E9" t="str">
        <v>Fancy Apple</v>
      </c>
      <c r="F9" t="str">
        <v>Large Leek</v>
      </c>
      <c r="G9" t="str">
        <v>Bean Sausage</v>
      </c>
      <c r="H9" t="str">
        <v>Bashful</v>
      </c>
      <c r="I9" t="str">
        <v>Neutral</v>
      </c>
      <c r="J9" t="str">
        <v>Neutral</v>
      </c>
      <c r="K9">
        <v>4.5</v>
      </c>
    </row>
    <row r="10" spans="1:14">
      <c r="A10" t="str">
        <v>Rattata</v>
      </c>
      <c r="B10">
        <v>8</v>
      </c>
      <c r="C10" t="str">
        <v>Normal</v>
      </c>
      <c r="D10" t="str">
        <v>Persim</v>
      </c>
      <c r="E10" t="str">
        <v>Fancy Apple</v>
      </c>
      <c r="F10" t="str">
        <v>Greengrass Soybeans</v>
      </c>
      <c r="G10" t="str">
        <v>Fancy Apple</v>
      </c>
      <c r="H10" t="str">
        <v>Mild</v>
      </c>
      <c r="I10" t="str">
        <v>Ingredient Finding</v>
      </c>
      <c r="J10" t="str">
        <v>Energy Recovery</v>
      </c>
      <c r="K10">
        <v>5</v>
      </c>
    </row>
    <row r="11" spans="1:14">
      <c r="A11" t="str">
        <v>Gulpin</v>
      </c>
      <c r="B11">
        <v>10</v>
      </c>
      <c r="C11" t="str">
        <v>Poison</v>
      </c>
      <c r="D11" t="str">
        <v>Chesto</v>
      </c>
      <c r="E11" t="str">
        <v>Greengrass Soybeans</v>
      </c>
      <c r="F11" t="str">
        <v>Greengrass Soybeans</v>
      </c>
      <c r="G11" t="str">
        <v>Tasty Mushroom</v>
      </c>
      <c r="H11" t="str">
        <v>Hasty</v>
      </c>
      <c r="I11" t="str">
        <v>EXP Gains</v>
      </c>
      <c r="J11" t="str">
        <v>Energy Recovery</v>
      </c>
      <c r="K11">
        <v>5.5</v>
      </c>
    </row>
    <row r="12" spans="1:14">
      <c r="A12" t="str">
        <v>Igglybuff</v>
      </c>
      <c r="B12">
        <v>4</v>
      </c>
      <c r="C12" t="str">
        <v>Fairy</v>
      </c>
      <c r="D12" t="str">
        <v>Pecha</v>
      </c>
      <c r="E12" t="str">
        <v>Honey</v>
      </c>
      <c r="F12" t="str">
        <v>Pure Oil</v>
      </c>
      <c r="G12" t="str">
        <v>Honey</v>
      </c>
      <c r="H12" t="str">
        <v>Rash</v>
      </c>
      <c r="I12" t="str">
        <v>Ingredient Finding</v>
      </c>
      <c r="J12" t="str">
        <v>Main Skill Chance</v>
      </c>
      <c r="K12">
        <v>4.5</v>
      </c>
    </row>
    <row r="13" spans="1:14">
      <c r="A13" t="str">
        <v>Treecko</v>
      </c>
      <c r="B13">
        <v>5</v>
      </c>
      <c r="C13" t="str">
        <v>Grass</v>
      </c>
      <c r="D13" t="str">
        <v>Durin</v>
      </c>
      <c r="E13" t="str">
        <v>Fancy Egg</v>
      </c>
      <c r="F13" t="str">
        <v>Fancy Egg</v>
      </c>
      <c r="G13" t="str">
        <v>Fancy Egg</v>
      </c>
      <c r="H13" t="str">
        <v>Naughty</v>
      </c>
      <c r="I13" t="str">
        <v>Speed of Help</v>
      </c>
      <c r="J13" t="str">
        <v>Main Skill Chance</v>
      </c>
      <c r="K13">
        <v>5</v>
      </c>
    </row>
    <row r="14" spans="1:14">
      <c r="A14" t="str">
        <v>Psyduck</v>
      </c>
      <c r="B14">
        <v>6</v>
      </c>
      <c r="C14" t="str">
        <v>Water</v>
      </c>
      <c r="D14" t="str">
        <v>Oran</v>
      </c>
      <c r="E14" t="str">
        <v>Soothing Cacao</v>
      </c>
      <c r="F14" t="str">
        <v>Soothing Cacao</v>
      </c>
      <c r="G14" t="str">
        <v>Soothing Cacao</v>
      </c>
      <c r="H14" t="str">
        <v>Relaxed</v>
      </c>
      <c r="I14" t="str">
        <v>Energy Recovery</v>
      </c>
      <c r="J14" t="str">
        <v>EXP Gains</v>
      </c>
      <c r="K14">
        <v>4.5</v>
      </c>
    </row>
    <row r="15" spans="1:14">
      <c r="A15" t="str">
        <v>Swablu</v>
      </c>
      <c r="B15">
        <v>5</v>
      </c>
      <c r="C15" t="str">
        <v>Flying</v>
      </c>
      <c r="D15" t="str">
        <v>Pamtre</v>
      </c>
      <c r="E15" t="str">
        <v>Fancy Egg</v>
      </c>
      <c r="F15" t="str">
        <v>Greengrass Soybeans</v>
      </c>
      <c r="G15" t="str">
        <v>Greengrass Soybeans</v>
      </c>
      <c r="H15" t="str">
        <v>Timid</v>
      </c>
      <c r="I15" t="str">
        <v>EXP Gains</v>
      </c>
      <c r="J15" t="str">
        <v>Speed of Help</v>
      </c>
      <c r="K15">
        <v>3.5</v>
      </c>
    </row>
    <row r="16" spans="1:14">
      <c r="A16" t="str">
        <v>Mareep</v>
      </c>
      <c r="B16">
        <v>12</v>
      </c>
      <c r="C16" t="str">
        <v>Electric</v>
      </c>
      <c r="D16" t="str">
        <v>Grepa</v>
      </c>
      <c r="E16" t="str">
        <v>Fiery Herb</v>
      </c>
      <c r="F16" t="str">
        <v>Fiery Herb</v>
      </c>
      <c r="G16" t="str">
        <v>Fiery Herb</v>
      </c>
      <c r="H16" t="str">
        <v>Naive</v>
      </c>
      <c r="I16" t="str">
        <v>EXP Gains</v>
      </c>
      <c r="J16" t="str">
        <v>Main Skill Chance</v>
      </c>
      <c r="K16">
        <v>4.5</v>
      </c>
    </row>
    <row r="17" spans="1:11">
      <c r="A17" t="str">
        <v>Pichu</v>
      </c>
      <c r="B17">
        <v>6</v>
      </c>
      <c r="C17" t="str">
        <v>Electric</v>
      </c>
      <c r="D17" t="str">
        <v>Grepa</v>
      </c>
      <c r="E17" t="str">
        <v>Fancy Apple</v>
      </c>
      <c r="F17" t="str">
        <v>Warming Ginger</v>
      </c>
      <c r="G17" t="str">
        <v>Fancy Egg</v>
      </c>
      <c r="H17" t="str">
        <v>Bold</v>
      </c>
      <c r="I17" t="str">
        <v>Energy Recovery</v>
      </c>
      <c r="J17" t="str">
        <v>Speed of Help</v>
      </c>
      <c r="K17">
        <v>3.5</v>
      </c>
    </row>
    <row r="18" spans="1:11">
      <c r="A18" t="str">
        <v>Rattata</v>
      </c>
      <c r="B18">
        <v>6</v>
      </c>
      <c r="C18" t="str">
        <v>Normal</v>
      </c>
      <c r="D18" t="str">
        <v>Persim</v>
      </c>
      <c r="E18" t="str">
        <v>Fancy Apple</v>
      </c>
      <c r="F18" t="str">
        <v>Fancy Apple</v>
      </c>
      <c r="G18" t="str">
        <v>Greengrass Soybeans</v>
      </c>
      <c r="H18" t="str">
        <v>Naive</v>
      </c>
      <c r="I18" t="str">
        <v>EXP Gains</v>
      </c>
      <c r="J18" t="str">
        <v>Main Skill Chance</v>
      </c>
      <c r="K18">
        <v>6.5</v>
      </c>
    </row>
    <row r="19" spans="1:11">
      <c r="A19" t="str">
        <v>Totodile</v>
      </c>
      <c r="B19">
        <v>8</v>
      </c>
      <c r="C19" t="str">
        <v>Water</v>
      </c>
      <c r="D19" t="str">
        <v>Oran</v>
      </c>
      <c r="E19" t="str">
        <v>Bean Sausage</v>
      </c>
      <c r="F19" t="str">
        <v>Pure Oil</v>
      </c>
      <c r="G19" t="str">
        <v>Pure Oil</v>
      </c>
      <c r="H19" t="str">
        <v>Mild</v>
      </c>
      <c r="I19" t="str">
        <v>Ingredient Finding</v>
      </c>
      <c r="J19" t="str">
        <v>Energy Recovery</v>
      </c>
      <c r="K19">
        <v>5.5</v>
      </c>
    </row>
    <row r="20" spans="1:11">
      <c r="A20" t="str">
        <v>Houndour</v>
      </c>
      <c r="B20">
        <v>4</v>
      </c>
      <c r="C20" t="str">
        <v>Dark</v>
      </c>
      <c r="D20" t="str">
        <v>Wiki</v>
      </c>
      <c r="E20" t="str">
        <v>Fiery Herb</v>
      </c>
      <c r="F20" t="str">
        <v>Fiery Herb</v>
      </c>
      <c r="G20" t="str">
        <v>Warming Ginger</v>
      </c>
      <c r="H20" t="str">
        <v>Timid</v>
      </c>
      <c r="I20" t="str">
        <v>EXP Gains</v>
      </c>
      <c r="J20" t="str">
        <v>Speed of Help</v>
      </c>
      <c r="K20">
        <v>3.5</v>
      </c>
    </row>
    <row r="21" spans="1:11">
      <c r="A21" t="str">
        <v>Diglett</v>
      </c>
      <c r="B21">
        <v>4</v>
      </c>
      <c r="C21" t="str">
        <v>Ground</v>
      </c>
      <c r="D21" t="str">
        <v>Figy</v>
      </c>
      <c r="E21" t="str">
        <v>Snoozy Tomato</v>
      </c>
      <c r="F21" t="str">
        <v>Snoozy Tomato</v>
      </c>
      <c r="G21" t="str">
        <v>Large Leek</v>
      </c>
      <c r="H21" t="str">
        <v>Jolly</v>
      </c>
      <c r="I21" t="str">
        <v>EXP Gains</v>
      </c>
      <c r="J21" t="str">
        <v>Ingredient Finding</v>
      </c>
      <c r="K21">
        <v>3.5</v>
      </c>
    </row>
    <row r="22" spans="1:11">
      <c r="A22" t="str">
        <v>Psyduck</v>
      </c>
      <c r="B22">
        <v>8</v>
      </c>
      <c r="C22" t="str">
        <v>Water</v>
      </c>
      <c r="D22" t="str">
        <v>Oran</v>
      </c>
      <c r="E22" t="str">
        <v>Soothing Cacao</v>
      </c>
      <c r="F22" t="str">
        <v>Soothing Cacao</v>
      </c>
      <c r="G22" t="str">
        <v>Fancy Apple</v>
      </c>
      <c r="H22" t="str">
        <v>Naive</v>
      </c>
      <c r="I22" t="str">
        <v>EXP Gains</v>
      </c>
      <c r="J22" t="str">
        <v>Main Skill Chance</v>
      </c>
      <c r="K22">
        <v>6.5</v>
      </c>
    </row>
    <row r="23" spans="1:11">
      <c r="A23" t="str">
        <v>Marshtomp</v>
      </c>
      <c r="B23">
        <v>12</v>
      </c>
      <c r="C23" t="str">
        <v>Ground</v>
      </c>
      <c r="D23" t="str">
        <v>Figy</v>
      </c>
      <c r="E23" t="str">
        <v>Greengrass Corn</v>
      </c>
      <c r="F23" t="str">
        <v>Moomoo Milk</v>
      </c>
      <c r="G23" t="str">
        <v>Moomoo Milk</v>
      </c>
      <c r="H23" t="str">
        <v>Naughty</v>
      </c>
      <c r="I23" t="str">
        <v>Speed of Help</v>
      </c>
      <c r="J23" t="str">
        <v>Main Skill Chance</v>
      </c>
      <c r="K23">
        <v>5</v>
      </c>
    </row>
    <row r="24" spans="1:11">
      <c r="A24" t="str">
        <v>Magnemite</v>
      </c>
      <c r="B24">
        <v>13</v>
      </c>
      <c r="C24" t="str">
        <v>Electric</v>
      </c>
      <c r="D24" t="str">
        <v>Grepa</v>
      </c>
      <c r="E24" t="str">
        <v>Pure Oil</v>
      </c>
      <c r="F24" t="str">
        <v>Fiery Herb</v>
      </c>
      <c r="G24" t="str">
        <v>Pure Oil</v>
      </c>
      <c r="H24" t="str">
        <v>Serious</v>
      </c>
      <c r="I24" t="str">
        <v>Neutral</v>
      </c>
      <c r="J24" t="str">
        <v>Neutral</v>
      </c>
      <c r="K24">
        <v>4.5</v>
      </c>
    </row>
    <row r="25" spans="1:11">
      <c r="A25" t="str">
        <v>Wynaut</v>
      </c>
      <c r="B25">
        <v>5</v>
      </c>
      <c r="C25" t="str">
        <v>Psychic</v>
      </c>
      <c r="D25" t="str">
        <v>Mago</v>
      </c>
      <c r="E25" t="str">
        <v>Fancy Apple</v>
      </c>
      <c r="F25" t="str">
        <v>Tasty Mushroom</v>
      </c>
      <c r="G25" t="str">
        <v>Pure Oil</v>
      </c>
      <c r="H25" t="str">
        <v>Bold</v>
      </c>
      <c r="I25" t="str">
        <v>Energy Recovery</v>
      </c>
      <c r="J25" t="str">
        <v>Speed of Help</v>
      </c>
      <c r="K25">
        <v>3.5</v>
      </c>
    </row>
    <row r="26" spans="1:11">
      <c r="A26" t="str">
        <v>Latias</v>
      </c>
      <c r="B26">
        <v>26</v>
      </c>
      <c r="C26" t="str">
        <v>Dragon</v>
      </c>
      <c r="D26" t="str">
        <v>Yache</v>
      </c>
      <c r="E26" t="str">
        <v>Snoozy Tomato</v>
      </c>
      <c r="F26" t="str">
        <v>Plump Pumpkin</v>
      </c>
      <c r="G26" t="str">
        <v>Plump Pumpkin</v>
      </c>
      <c r="H26" t="str">
        <v>Naughty</v>
      </c>
      <c r="I26" t="str">
        <v>Speed of Help</v>
      </c>
      <c r="J26" t="str">
        <v>Main Skill Chance</v>
      </c>
      <c r="K26">
        <v>4</v>
      </c>
    </row>
    <row r="27" spans="1:11">
      <c r="A27" t="str">
        <v>Ivysaur</v>
      </c>
      <c r="B27">
        <v>24</v>
      </c>
      <c r="C27" t="str">
        <v>Grass</v>
      </c>
      <c r="D27" t="str">
        <v>Durin</v>
      </c>
      <c r="E27" t="str">
        <v>Honey</v>
      </c>
      <c r="F27" t="str">
        <v>Honey</v>
      </c>
      <c r="G27" t="str">
        <v>Snoozy Tomato</v>
      </c>
      <c r="H27" t="str">
        <v>Mild</v>
      </c>
      <c r="I27" t="str">
        <v>Ingredient Finding</v>
      </c>
      <c r="J27" t="str">
        <v>Energy Recovery</v>
      </c>
      <c r="K27">
        <v>5</v>
      </c>
    </row>
    <row r="28" spans="1:11">
      <c r="A28" t="str">
        <v>Rattata</v>
      </c>
      <c r="B28">
        <v>11</v>
      </c>
      <c r="C28" t="str">
        <v>Normal</v>
      </c>
      <c r="D28" t="str">
        <v>Persim</v>
      </c>
      <c r="E28" t="str">
        <v>Fancy Apple</v>
      </c>
      <c r="F28" t="str">
        <v>Fancy Apple</v>
      </c>
      <c r="G28" t="str">
        <v>Fancy Apple</v>
      </c>
      <c r="H28" t="str">
        <v>Naive</v>
      </c>
      <c r="I28" t="str">
        <v>EXP Gains</v>
      </c>
      <c r="J28" t="str">
        <v>Main Skill Chance</v>
      </c>
      <c r="K28">
        <v>7.5</v>
      </c>
    </row>
    <row r="29" spans="1:11">
      <c r="A29" t="str">
        <v>Treecko</v>
      </c>
      <c r="B29">
        <v>9</v>
      </c>
      <c r="C29" t="str">
        <v>Grass</v>
      </c>
      <c r="D29" t="str">
        <v>Durin</v>
      </c>
      <c r="E29" t="str">
        <v>Fancy Egg</v>
      </c>
      <c r="F29" t="str">
        <v>Rousing Coffee</v>
      </c>
      <c r="G29" t="str">
        <v>Large Leek</v>
      </c>
      <c r="H29" t="str">
        <v>Rash</v>
      </c>
      <c r="I29" t="str">
        <v>Ingredient Finding</v>
      </c>
      <c r="J29" t="str">
        <v>Main Skill Chance</v>
      </c>
      <c r="K29">
        <v>3.5</v>
      </c>
    </row>
    <row r="30" spans="1:11">
      <c r="A30" t="str">
        <v>Wynaut</v>
      </c>
      <c r="B30">
        <v>8</v>
      </c>
      <c r="C30" t="str">
        <v>Psychic</v>
      </c>
      <c r="D30" t="str">
        <v>Mago</v>
      </c>
      <c r="E30" t="str">
        <v>Fancy Apple</v>
      </c>
      <c r="F30" t="str">
        <v>Tasty Mushroom</v>
      </c>
      <c r="G30" t="str">
        <v>Pure Oil</v>
      </c>
      <c r="H30" t="str">
        <v>Sassy</v>
      </c>
      <c r="I30" t="str">
        <v>Main Skill Chance</v>
      </c>
      <c r="J30" t="str">
        <v>EXP Gains</v>
      </c>
      <c r="K30">
        <v>2</v>
      </c>
    </row>
    <row r="31" spans="1:11">
      <c r="A31" t="str">
        <v>Sprigatito</v>
      </c>
      <c r="B31">
        <v>10</v>
      </c>
      <c r="C31" t="str">
        <v>Grass</v>
      </c>
      <c r="D31" t="str">
        <v>Durin</v>
      </c>
      <c r="E31" t="str">
        <v>Soft Potato</v>
      </c>
      <c r="F31" t="str">
        <v>Moomoo Milk</v>
      </c>
      <c r="G31" t="str">
        <v>Moomoo Milk</v>
      </c>
      <c r="H31" t="str">
        <v>Timid</v>
      </c>
      <c r="I31" t="str">
        <v>EXP Gains</v>
      </c>
      <c r="J31" t="str">
        <v>Speed of Help</v>
      </c>
      <c r="K31">
        <v>3.5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366FF"/>
  </sheetPr>
  <dimension ref="A1:P13"/>
  <sheetViews>
    <sheetView workbookViewId="0">
      <selection activeCell="A12" sqref="A12"/>
    </sheetView>
  </sheetViews>
  <sheetFormatPr defaultRowHeight="15"/>
  <cols>
    <col min="1" max="1" width="22.85546875" customWidth="1"/>
    <col min="2" max="2" width="7.5703125" customWidth="1"/>
    <col min="3" max="4" width="13.28515625" customWidth="1"/>
    <col min="5" max="9" width="26.7109375" customWidth="1"/>
    <col min="10" max="10" width="13.28515625" customWidth="1"/>
    <col min="11" max="12" width="22.85546875" customWidth="1"/>
    <col min="13" max="13" width="15.28515625" customWidth="1"/>
    <col min="15" max="15" width="22.85546875" customWidth="1"/>
    <col min="16" max="16" width="15.28515625" customWidth="1"/>
  </cols>
  <sheetData>
    <row r="1" spans="1:16" ht="18.75" customHeight="1">
      <c r="A1" s="23" t="s">
        <v>393</v>
      </c>
    </row>
    <row r="2" spans="1:16">
      <c r="A2" s="17" t="s">
        <v>394</v>
      </c>
    </row>
    <row r="4" spans="1:16">
      <c r="A4" s="24" t="s">
        <v>27</v>
      </c>
      <c r="B4" s="24" t="s">
        <v>32</v>
      </c>
      <c r="C4" s="24" t="s">
        <v>33</v>
      </c>
      <c r="D4" s="24" t="s">
        <v>2</v>
      </c>
      <c r="E4" s="24" t="s">
        <v>395</v>
      </c>
      <c r="F4" s="24" t="s">
        <v>396</v>
      </c>
      <c r="G4" s="24" t="s">
        <v>397</v>
      </c>
      <c r="H4" s="24" t="s">
        <v>398</v>
      </c>
      <c r="I4" s="24" t="s">
        <v>399</v>
      </c>
      <c r="J4" s="24" t="s">
        <v>43</v>
      </c>
      <c r="K4" s="24" t="s">
        <v>28</v>
      </c>
      <c r="L4" s="24" t="s">
        <v>384</v>
      </c>
      <c r="M4" s="24" t="s">
        <v>48</v>
      </c>
      <c r="O4" s="24" t="s">
        <v>385</v>
      </c>
    </row>
    <row r="5" spans="1:16">
      <c r="A5" t="str" cm="1">
        <f t="array" ref="A5:M13">IFERROR(_xlfn._xlws.FILTER(CHOOSE({1,2,3,4,5,6,7,8,9,10,11,12,13}, Data!A2:A200, Data!B2:B200, Data!C2:C200, Data!D2:D200, Data!H2:H200, Data!I2:I200, Data!J2:J200, Data!K2:K200, Data!L2:L200, Data!M2:M200, Data!N2:N200, Data!O2:O200, Data!R2:R200), Data!S2:S200="Skill"), "")</f>
        <v>Growlithe</v>
      </c>
      <c r="B5">
        <v>10</v>
      </c>
      <c r="C5" t="str">
        <v>Fire</v>
      </c>
      <c r="D5" t="str">
        <v>Leppa</v>
      </c>
      <c r="E5" t="str">
        <v>Energy Recovery Bonus</v>
      </c>
      <c r="F5" t="str">
        <v>Ingredient Finder M</v>
      </c>
      <c r="G5" t="str">
        <v>Ingredient Finder S</v>
      </c>
      <c r="H5" t="str">
        <v>Inventory Up M</v>
      </c>
      <c r="I5" t="str">
        <v>Skill Level Up S</v>
      </c>
      <c r="J5" t="str">
        <v>Jolly</v>
      </c>
      <c r="K5" t="str">
        <v>EXP Gains</v>
      </c>
      <c r="L5" t="str">
        <v>Ingredient Finding</v>
      </c>
      <c r="M5">
        <v>3.5</v>
      </c>
      <c r="O5" s="18" t="s">
        <v>386</v>
      </c>
      <c r="P5">
        <f>COUNTIF(Data!S2:S200,"Skill")</f>
        <v>9</v>
      </c>
    </row>
    <row r="6" spans="1:16">
      <c r="A6" t="str">
        <v>Cubone</v>
      </c>
      <c r="B6">
        <v>5</v>
      </c>
      <c r="C6" t="str">
        <v>Ground</v>
      </c>
      <c r="D6" t="str">
        <v>Figy</v>
      </c>
      <c r="E6" t="str">
        <v>Skill Level Up M</v>
      </c>
      <c r="F6" t="str">
        <v>Helping Speed S</v>
      </c>
      <c r="G6" t="str">
        <v>Helping Bonus</v>
      </c>
      <c r="H6" t="str">
        <v>Sleep EXP Bonus</v>
      </c>
      <c r="I6" t="str">
        <v>Skill Trigger M</v>
      </c>
      <c r="J6" t="str">
        <v>Impish</v>
      </c>
      <c r="K6" t="str">
        <v>Energy Recovery</v>
      </c>
      <c r="L6" t="str">
        <v>Ingredient Finding</v>
      </c>
      <c r="M6">
        <v>5</v>
      </c>
      <c r="O6" s="18" t="s">
        <v>387</v>
      </c>
      <c r="P6" s="20">
        <f>IFERROR(AVERAGEIF(Data!S2:S200,"Skill",Data!B2:B200),0)</f>
        <v>9.5555555555555554</v>
      </c>
    </row>
    <row r="7" spans="1:16">
      <c r="A7" t="str">
        <v>Riolu</v>
      </c>
      <c r="B7">
        <v>5</v>
      </c>
      <c r="C7" t="str">
        <v>Fighting</v>
      </c>
      <c r="D7" t="str">
        <v>Cheri</v>
      </c>
      <c r="E7" t="str">
        <v>Inventory Up L</v>
      </c>
      <c r="F7" t="str">
        <v>Skill Level Up S</v>
      </c>
      <c r="G7" t="str">
        <v>Inventory Up M</v>
      </c>
      <c r="H7" t="str">
        <v>Skill Trigger M</v>
      </c>
      <c r="I7" t="str">
        <v>Ingredient Finder S</v>
      </c>
      <c r="J7" t="str">
        <v>Sassy</v>
      </c>
      <c r="K7" t="str">
        <v>Main Skill Chance</v>
      </c>
      <c r="L7" t="str">
        <v>EXP Gains</v>
      </c>
      <c r="M7">
        <v>4</v>
      </c>
      <c r="O7" s="18" t="s">
        <v>388</v>
      </c>
      <c r="P7">
        <f t="array" ref="P7">IFERROR(MAX(_xlfn._xlws.FILTER(Data!R2:R200, Data!S2:S200="Skill")),0)</f>
        <v>5</v>
      </c>
    </row>
    <row r="8" spans="1:16">
      <c r="A8" t="str">
        <v>Ivysaur</v>
      </c>
      <c r="B8">
        <v>15</v>
      </c>
      <c r="C8" t="str">
        <v>Grass</v>
      </c>
      <c r="D8" t="str">
        <v>Durin</v>
      </c>
      <c r="E8" t="str">
        <v>Skill Level Up S</v>
      </c>
      <c r="F8" t="str">
        <v>Helping Speed S</v>
      </c>
      <c r="G8" t="str">
        <v>Research EXP Bonus</v>
      </c>
      <c r="H8" t="str">
        <v>Skill Trigger S</v>
      </c>
      <c r="I8" t="str">
        <v>Inventory Up M</v>
      </c>
      <c r="J8" t="str">
        <v>Sassy</v>
      </c>
      <c r="K8" t="str">
        <v>Main Skill Chance</v>
      </c>
      <c r="L8" t="str">
        <v>EXP Gains</v>
      </c>
      <c r="M8">
        <v>4</v>
      </c>
      <c r="O8" s="18" t="s">
        <v>389</v>
      </c>
      <c r="P8" t="str">
        <f t="array" ref="P8">IFERROR(INDEX(_xlfn._xlws.FILTER(Data!A2:A200, Data!S2:S200="Skill"), MATCH(MAX(_xlfn._xlws.FILTER(Data!R2:R200, Data!S2:S200="Skill")), _xlfn._xlws.FILTER(Data!R2:R200, Data!S2:S200="Skill"), 0)),"")</f>
        <v>Cubone</v>
      </c>
    </row>
    <row r="9" spans="1:16">
      <c r="A9" t="str">
        <v>Charmander</v>
      </c>
      <c r="B9">
        <v>7</v>
      </c>
      <c r="C9" t="str">
        <v>Fire</v>
      </c>
      <c r="D9" t="str">
        <v>Leppa</v>
      </c>
      <c r="E9" t="str">
        <v>Helping Speed S</v>
      </c>
      <c r="F9" t="str">
        <v>Skill Trigger S</v>
      </c>
      <c r="G9" t="str">
        <v>Helping Speed M</v>
      </c>
      <c r="H9" t="str">
        <v>Ingredient Finder S</v>
      </c>
      <c r="I9" t="str">
        <v>Skill Trigger M</v>
      </c>
      <c r="J9" t="str">
        <v>Timid</v>
      </c>
      <c r="K9" t="str">
        <v>EXP Gains</v>
      </c>
      <c r="L9" t="str">
        <v>Speed of Help</v>
      </c>
      <c r="M9">
        <v>4</v>
      </c>
    </row>
    <row r="10" spans="1:16">
      <c r="A10" t="str">
        <v>Bonsly</v>
      </c>
      <c r="B10">
        <v>7</v>
      </c>
      <c r="C10" t="str">
        <v>Rock</v>
      </c>
      <c r="D10" t="str">
        <v>Sitrus</v>
      </c>
      <c r="E10" t="str">
        <v>Helping Speed S</v>
      </c>
      <c r="F10" t="str">
        <v>Ingredient Finder S</v>
      </c>
      <c r="G10" t="str">
        <v>Inventory Up M</v>
      </c>
      <c r="H10" t="str">
        <v>Skill Trigger M</v>
      </c>
      <c r="I10" t="str">
        <v>Skill Level Up M</v>
      </c>
      <c r="J10" t="str">
        <v>Adamant</v>
      </c>
      <c r="K10" t="str">
        <v>Speed of Help</v>
      </c>
      <c r="L10" t="str">
        <v>Ingredient Finding</v>
      </c>
      <c r="M10">
        <v>4</v>
      </c>
    </row>
    <row r="11" spans="1:16">
      <c r="A11" t="str">
        <v>Latias</v>
      </c>
      <c r="B11">
        <v>18</v>
      </c>
      <c r="C11" t="str">
        <v>Dragon</v>
      </c>
      <c r="D11" t="str">
        <v>Yache</v>
      </c>
      <c r="E11" t="str">
        <v>Sleep EXP Bonus</v>
      </c>
      <c r="F11" t="str">
        <v>Skill Level Up S</v>
      </c>
      <c r="G11" t="str">
        <v>Inventory Up L</v>
      </c>
      <c r="H11" t="str">
        <v>Helping Speed S</v>
      </c>
      <c r="I11" t="str">
        <v>Skill Trigger S</v>
      </c>
      <c r="J11" t="str">
        <v>Hardy</v>
      </c>
      <c r="K11" t="str">
        <v>Neutral</v>
      </c>
      <c r="L11" t="str">
        <v>Neutral</v>
      </c>
      <c r="M11">
        <v>3</v>
      </c>
    </row>
    <row r="12" spans="1:16">
      <c r="A12" t="str">
        <v>Wobbuffet</v>
      </c>
      <c r="B12">
        <v>10</v>
      </c>
      <c r="C12" t="str">
        <v>Psychic</v>
      </c>
      <c r="D12" t="str">
        <v>Mago</v>
      </c>
      <c r="E12" t="str">
        <v>Skill Trigger S</v>
      </c>
      <c r="F12" t="str">
        <v>Helping Speed S</v>
      </c>
      <c r="G12" t="str">
        <v>Ingredient Finder S</v>
      </c>
      <c r="H12" t="str">
        <v>Inventory Up S</v>
      </c>
      <c r="I12" t="str">
        <v>Skill Level Up M</v>
      </c>
      <c r="J12" t="str">
        <v>Quirky</v>
      </c>
      <c r="K12" t="str">
        <v>Neutral</v>
      </c>
      <c r="L12" t="str">
        <v>Neutral</v>
      </c>
      <c r="M12">
        <v>3</v>
      </c>
    </row>
    <row r="13" spans="1:16">
      <c r="A13" t="str">
        <v>Eevee</v>
      </c>
      <c r="B13">
        <v>9</v>
      </c>
      <c r="C13" t="str">
        <v>Normal</v>
      </c>
      <c r="D13" t="str">
        <v>Persim</v>
      </c>
      <c r="E13" t="str">
        <v>Helping Speed M</v>
      </c>
      <c r="F13" t="str">
        <v>Skill Level Up S</v>
      </c>
      <c r="G13" t="str">
        <v>Helping Speed S</v>
      </c>
      <c r="H13" t="str">
        <v>Ingredient Finder S</v>
      </c>
      <c r="I13" t="str">
        <v>Skill Trigger S</v>
      </c>
      <c r="J13" t="str">
        <v>Careful</v>
      </c>
      <c r="K13" t="str">
        <v>Main Skill Chance</v>
      </c>
      <c r="L13" t="str">
        <v>Ingredient Finding</v>
      </c>
      <c r="M1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D700"/>
  </sheetPr>
  <dimension ref="A1:O100"/>
  <sheetViews>
    <sheetView workbookViewId="0">
      <selection activeCell="J8" sqref="J8"/>
    </sheetView>
  </sheetViews>
  <sheetFormatPr defaultRowHeight="15"/>
  <cols>
    <col min="1" max="1" width="17.140625" customWidth="1"/>
    <col min="2" max="2" width="6.7109375" customWidth="1"/>
    <col min="3" max="3" width="11.42578125" customWidth="1"/>
    <col min="4" max="4" width="13.28515625" customWidth="1"/>
    <col min="5" max="6" width="22.85546875" customWidth="1"/>
    <col min="7" max="8" width="21" customWidth="1"/>
    <col min="9" max="9" width="8.5703125" customWidth="1"/>
    <col min="10" max="10" width="53.28515625" customWidth="1"/>
    <col min="11" max="12" width="22.85546875" customWidth="1"/>
    <col min="13" max="13" width="19" customWidth="1"/>
    <col min="14" max="14" width="41.85546875" customWidth="1"/>
    <col min="15" max="15" width="9.5703125" customWidth="1"/>
  </cols>
  <sheetData>
    <row r="1" spans="1:15" ht="15" customHeight="1">
      <c r="A1" s="28" t="s">
        <v>400</v>
      </c>
    </row>
    <row r="2" spans="1:15" ht="15" customHeight="1">
      <c r="A2" s="17" t="s">
        <v>401</v>
      </c>
    </row>
    <row r="3" spans="1:15" ht="15" customHeight="1"/>
    <row r="4" spans="1:15" ht="15" customHeight="1">
      <c r="A4" s="29" t="s">
        <v>402</v>
      </c>
      <c r="J4" s="37" t="s">
        <v>403</v>
      </c>
      <c r="L4" s="37" t="s">
        <v>403</v>
      </c>
    </row>
    <row r="5" spans="1:15" ht="15" customHeight="1">
      <c r="A5" s="30" t="s">
        <v>27</v>
      </c>
      <c r="B5" s="30" t="s">
        <v>32</v>
      </c>
      <c r="C5" s="30" t="s">
        <v>33</v>
      </c>
      <c r="D5" s="30" t="s">
        <v>49</v>
      </c>
      <c r="E5" s="30" t="s">
        <v>395</v>
      </c>
      <c r="F5" s="30" t="s">
        <v>396</v>
      </c>
      <c r="G5" s="30" t="s">
        <v>28</v>
      </c>
      <c r="H5" s="30" t="s">
        <v>384</v>
      </c>
      <c r="I5" s="30" t="s">
        <v>4</v>
      </c>
      <c r="J5" s="30" t="s">
        <v>52</v>
      </c>
      <c r="L5" s="38" t="s">
        <v>27</v>
      </c>
      <c r="M5" s="38" t="s">
        <v>404</v>
      </c>
      <c r="N5" s="38" t="s">
        <v>405</v>
      </c>
      <c r="O5" s="38" t="s">
        <v>406</v>
      </c>
    </row>
    <row r="6" spans="1:15" ht="15" customHeight="1">
      <c r="A6" t="str" cm="1">
        <f t="array" ref="A6:J8">IFERROR(_xlfn._xlws.FILTER(CHOOSE({1,2,3,4,5,6,7,8,9,10}, Data!A2:A200, Data!B2:B200, Data!C2:C200, Data!S2:S200, Data!H2:H200, Data!I2:I200, Data!N2:N200, Data!O2:O200, Data!T2:T200, Data!V2:V200), Data!U2:U200="⭐ Keep"), "")</f>
        <v>Pikachu</v>
      </c>
      <c r="B6">
        <v>15</v>
      </c>
      <c r="C6" t="str">
        <v>Electric</v>
      </c>
      <c r="D6" t="str">
        <v>Ingredient</v>
      </c>
      <c r="E6" t="str">
        <v>Inventory Up S</v>
      </c>
      <c r="F6" t="str">
        <v>Ingredient Finder S</v>
      </c>
      <c r="G6" t="str">
        <v>Ingredient Finding</v>
      </c>
      <c r="H6" t="str">
        <v>Speed of Help</v>
      </c>
      <c r="I6">
        <v>8</v>
      </c>
      <c r="J6" t="str">
        <v>Evolve naar Raichu = snelste berry helper!; Perfecte nature voor Ingredient team!</v>
      </c>
      <c r="L6" t="str">
        <f>IF(COUNTIF(Data!A2:A200,"Pikachu")&gt;0,"Pikachu (✓)","Pikachu (✗)")</f>
        <v>Pikachu (✓)</v>
      </c>
      <c r="M6" t="s">
        <v>205</v>
      </c>
      <c r="N6" t="s">
        <v>407</v>
      </c>
      <c r="O6" t="s">
        <v>408</v>
      </c>
    </row>
    <row r="7" spans="1:15" ht="15" customHeight="1">
      <c r="A7" t="str">
        <v>Riolu</v>
      </c>
      <c r="B7">
        <v>9</v>
      </c>
      <c r="C7" t="str">
        <v>Fighting</v>
      </c>
      <c r="D7" t="str">
        <v>Berry</v>
      </c>
      <c r="E7" t="str">
        <v>Helping Speed M</v>
      </c>
      <c r="F7" t="str">
        <v>Inventory Up M</v>
      </c>
      <c r="G7" t="str">
        <v>Speed of Help</v>
      </c>
      <c r="H7" t="str">
        <v>Ingredient Finding</v>
      </c>
      <c r="I7">
        <v>7</v>
      </c>
      <c r="J7" t="str">
        <v>Evolve → Lucario = sterke fighter; Perfecte nature voor Berry team!</v>
      </c>
      <c r="L7" t="str">
        <f>IF(COUNTIF(Data!A2:A200,"Igglybuff")&gt;0,"Igglybuff (✓)","Igglybuff (✗)")</f>
        <v>Igglybuff (✓)</v>
      </c>
      <c r="M7" t="s">
        <v>214</v>
      </c>
      <c r="N7" t="s">
        <v>409</v>
      </c>
      <c r="O7" t="s">
        <v>408</v>
      </c>
    </row>
    <row r="8" spans="1:15" ht="15" customHeight="1">
      <c r="A8" t="str">
        <v>Rattata</v>
      </c>
      <c r="B8">
        <v>11</v>
      </c>
      <c r="C8" t="str">
        <v>Normal</v>
      </c>
      <c r="D8" t="str">
        <v>Ingredient</v>
      </c>
      <c r="E8" t="str">
        <v>Helping Speed M</v>
      </c>
      <c r="F8" t="str">
        <v>Helping Speed S</v>
      </c>
      <c r="G8" t="str">
        <v>EXP Gains</v>
      </c>
      <c r="H8" t="str">
        <v>Main Skill Chance</v>
      </c>
      <c r="I8">
        <v>8</v>
      </c>
      <c r="J8" t="str">
        <v/>
      </c>
      <c r="L8" t="str">
        <f>IF(COUNTIF(Data!A2:A200,"Eevee")&gt;0,"Eevee (✓)","Eevee (✗)")</f>
        <v>Eevee (✓)</v>
      </c>
      <c r="M8" t="s">
        <v>346</v>
      </c>
      <c r="N8" t="s">
        <v>410</v>
      </c>
      <c r="O8" t="s">
        <v>408</v>
      </c>
    </row>
    <row r="9" spans="1:15" ht="15" customHeight="1">
      <c r="L9" t="str">
        <f>IF(COUNTIF(Data!A2:A200,"Charmander")&gt;0,"Charmander (✓)","Charmander (✗)")</f>
        <v>Charmander (✓)</v>
      </c>
      <c r="M9" t="s">
        <v>177</v>
      </c>
      <c r="N9" t="s">
        <v>411</v>
      </c>
      <c r="O9" t="s">
        <v>408</v>
      </c>
    </row>
    <row r="10" spans="1:15" ht="15" customHeight="1">
      <c r="L10" t="str">
        <f>IF(COUNTIF(Data!A2:A200,"Spheal")&gt;0,"Spheal (✓)","Spheal (✗)")</f>
        <v>Spheal (✓)</v>
      </c>
      <c r="M10" t="s">
        <v>315</v>
      </c>
      <c r="N10" t="s">
        <v>412</v>
      </c>
      <c r="O10" t="s">
        <v>413</v>
      </c>
    </row>
    <row r="11" spans="1:15" ht="15" customHeight="1">
      <c r="L11" t="str">
        <f>IF(COUNTIF(Data!A2:A200,"Mareep")&gt;0,"Mareep (✓)","Mareep (✗)")</f>
        <v>Mareep (✓)</v>
      </c>
      <c r="M11" t="s">
        <v>264</v>
      </c>
      <c r="N11" t="s">
        <v>414</v>
      </c>
      <c r="O11" t="s">
        <v>413</v>
      </c>
    </row>
    <row r="12" spans="1:15" ht="15" customHeight="1">
      <c r="L12" t="str">
        <f>IF(COUNTIF(Data!A2:A200,"Totodile")&gt;0,"Totodile (✓)","Totodile (✗)")</f>
        <v>Totodile (✓)</v>
      </c>
      <c r="M12" t="s">
        <v>258</v>
      </c>
      <c r="N12" t="s">
        <v>415</v>
      </c>
      <c r="O12" t="s">
        <v>413</v>
      </c>
    </row>
    <row r="13" spans="1:15" ht="15" customHeight="1">
      <c r="L13" t="str">
        <f>IF(COUNTIF(Data!A2:A200,"Riolu")&gt;0,"Riolu (✓)","Riolu (✗)")</f>
        <v>Riolu (✓)</v>
      </c>
      <c r="M13" t="s">
        <v>327</v>
      </c>
      <c r="N13" t="s">
        <v>416</v>
      </c>
      <c r="O13" t="s">
        <v>413</v>
      </c>
    </row>
    <row r="14" spans="1:15" ht="15" customHeight="1"/>
    <row r="15" spans="1:15" ht="15" customHeight="1">
      <c r="L15" s="39" t="s">
        <v>417</v>
      </c>
    </row>
    <row r="16" spans="1:15" ht="15" customHeight="1">
      <c r="A16" s="31" t="s">
        <v>418</v>
      </c>
    </row>
    <row r="17" spans="1:13" ht="15" customHeight="1">
      <c r="A17" s="32" t="s">
        <v>27</v>
      </c>
      <c r="B17" s="32" t="s">
        <v>32</v>
      </c>
      <c r="C17" s="32" t="s">
        <v>33</v>
      </c>
      <c r="D17" s="32" t="s">
        <v>49</v>
      </c>
      <c r="E17" s="32" t="s">
        <v>395</v>
      </c>
      <c r="F17" s="32" t="s">
        <v>396</v>
      </c>
      <c r="G17" s="32" t="s">
        <v>28</v>
      </c>
      <c r="H17" s="32" t="s">
        <v>384</v>
      </c>
      <c r="I17" s="32" t="s">
        <v>4</v>
      </c>
      <c r="L17" s="40" t="s">
        <v>419</v>
      </c>
    </row>
    <row r="18" spans="1:13" ht="15" customHeight="1">
      <c r="A18" t="str" cm="1">
        <f t="array" ref="A18:J40">IFERROR(_xlfn._xlws.FILTER(CHOOSE({1,2,3,4,5,6,7,8,9,10}, Data!A2:A200, Data!B2:B200, Data!C2:C200, Data!S2:S200, Data!H2:H200, Data!I2:I200, Data!N2:N200, Data!O2:O200, Data!T2:T200, Data!V2:V200), Data!U2:U200="📈 Level Up"), "")</f>
        <v>Igglybuff</v>
      </c>
      <c r="B18">
        <v>10</v>
      </c>
      <c r="C18" t="str">
        <v>Fairy</v>
      </c>
      <c r="D18" t="str">
        <v>Ingredient</v>
      </c>
      <c r="E18" t="str">
        <v>Helping Speed S</v>
      </c>
      <c r="F18" t="str">
        <v>Ingredient Finder M</v>
      </c>
      <c r="G18" t="str">
        <v>EXP Gains</v>
      </c>
      <c r="H18" t="str">
        <v>Main Skill Chance</v>
      </c>
      <c r="I18">
        <v>6</v>
      </c>
      <c r="J18" t="str">
        <v>Evolve → Wigglytuff = Energy for Everyone S (top skill!)</v>
      </c>
      <c r="L18" s="41" t="s">
        <v>420</v>
      </c>
      <c r="M18">
        <f>COUNTIF(Data!U2:U200,"⭐ Keep")</f>
        <v>3</v>
      </c>
    </row>
    <row r="19" spans="1:13" ht="15" customHeight="1">
      <c r="A19" t="str">
        <v>Cubone</v>
      </c>
      <c r="B19">
        <v>11</v>
      </c>
      <c r="C19" t="str">
        <v>Ground</v>
      </c>
      <c r="D19" t="str">
        <v>Berry</v>
      </c>
      <c r="E19" t="str">
        <v>Helping Speed M</v>
      </c>
      <c r="F19" t="str">
        <v>Ingredient Finder S</v>
      </c>
      <c r="G19" t="str">
        <v>Speed of Help</v>
      </c>
      <c r="H19" t="str">
        <v>Main Skill Chance</v>
      </c>
      <c r="I19">
        <v>5.5</v>
      </c>
      <c r="J19" t="str">
        <v>Perfecte nature voor Berry team!</v>
      </c>
      <c r="L19" s="42" t="s">
        <v>421</v>
      </c>
      <c r="M19">
        <f>COUNTIF(Data!U2:U200,"📈 Level Up")</f>
        <v>23</v>
      </c>
    </row>
    <row r="20" spans="1:13" ht="15" customHeight="1">
      <c r="A20" t="str">
        <v>Noibat</v>
      </c>
      <c r="B20">
        <v>14</v>
      </c>
      <c r="C20" t="str">
        <v>Dragon</v>
      </c>
      <c r="D20" t="str">
        <v>Ingredient</v>
      </c>
      <c r="E20" t="str">
        <v>Inventory Up S</v>
      </c>
      <c r="F20" t="str">
        <v>Inventory Up M</v>
      </c>
      <c r="G20" t="str">
        <v>Neutral</v>
      </c>
      <c r="H20" t="str">
        <v>Neutral</v>
      </c>
      <c r="I20">
        <v>5</v>
      </c>
      <c r="J20" t="str">
        <v>Neutrale nature = ok maar niet ideaal</v>
      </c>
      <c r="L20" s="43" t="s">
        <v>422</v>
      </c>
      <c r="M20">
        <f>COUNTIF(Data!U2:U200,"🤔 Bench")</f>
        <v>27</v>
      </c>
    </row>
    <row r="21" spans="1:13" ht="15" customHeight="1">
      <c r="A21" t="str">
        <v>Rattata</v>
      </c>
      <c r="B21">
        <v>8</v>
      </c>
      <c r="C21" t="str">
        <v>Normal</v>
      </c>
      <c r="D21" t="str">
        <v>Ingredient</v>
      </c>
      <c r="E21" t="str">
        <v>Helping Speed S</v>
      </c>
      <c r="F21" t="str">
        <v>Ingredient Finder M</v>
      </c>
      <c r="G21" t="str">
        <v>Ingredient Finding</v>
      </c>
      <c r="H21" t="str">
        <v>Energy Recovery</v>
      </c>
      <c r="I21">
        <v>6</v>
      </c>
      <c r="J21" t="str">
        <v>Perfecte nature voor Ingredient team!</v>
      </c>
      <c r="L21" s="44" t="s">
        <v>423</v>
      </c>
      <c r="M21">
        <f>COUNTIF(Data!U2:U200,"❌ Transfer")</f>
        <v>0</v>
      </c>
    </row>
    <row r="22" spans="1:13" ht="15" customHeight="1">
      <c r="A22" t="str">
        <v>Gulpin</v>
      </c>
      <c r="B22">
        <v>10</v>
      </c>
      <c r="C22" t="str">
        <v>Poison</v>
      </c>
      <c r="D22" t="str">
        <v>Ingredient</v>
      </c>
      <c r="E22" t="str">
        <v>Ingredient Finder M</v>
      </c>
      <c r="F22" t="str">
        <v>Ingredient Finder S</v>
      </c>
      <c r="G22" t="str">
        <v>EXP Gains</v>
      </c>
      <c r="H22" t="str">
        <v>Energy Recovery</v>
      </c>
      <c r="I22">
        <v>6</v>
      </c>
      <c r="J22" t="str">
        <v/>
      </c>
      <c r="L22" s="18" t="s">
        <v>424</v>
      </c>
      <c r="M22">
        <f>COUNTA(Data!A2:A200)</f>
        <v>53</v>
      </c>
    </row>
    <row r="23" spans="1:13" ht="15" customHeight="1">
      <c r="A23" t="str">
        <v>Igglybuff</v>
      </c>
      <c r="B23">
        <v>4</v>
      </c>
      <c r="C23" t="str">
        <v>Fairy</v>
      </c>
      <c r="D23" t="str">
        <v>Ingredient</v>
      </c>
      <c r="E23" t="str">
        <v>Ingredient Finder M</v>
      </c>
      <c r="F23" t="str">
        <v>Skill Level Up S</v>
      </c>
      <c r="G23" t="str">
        <v>Ingredient Finding</v>
      </c>
      <c r="H23" t="str">
        <v>Main Skill Chance</v>
      </c>
      <c r="I23">
        <v>5.5</v>
      </c>
      <c r="J23" t="str">
        <v>Evolve → Wigglytuff = Energy for Everyone S (top skill!); Perfecte nature voor Ingredient team!</v>
      </c>
    </row>
    <row r="24" spans="1:13" ht="15" customHeight="1">
      <c r="A24" t="str">
        <v>Treecko</v>
      </c>
      <c r="B24">
        <v>5</v>
      </c>
      <c r="C24" t="str">
        <v>Grass</v>
      </c>
      <c r="D24" t="str">
        <v>Ingredient</v>
      </c>
      <c r="E24" t="str">
        <v>Inventory Up L</v>
      </c>
      <c r="F24" t="str">
        <v>Ingredient Finder S</v>
      </c>
      <c r="G24" t="str">
        <v>Speed of Help</v>
      </c>
      <c r="H24" t="str">
        <v>Main Skill Chance</v>
      </c>
      <c r="I24">
        <v>6</v>
      </c>
      <c r="J24" t="str">
        <v>Perfecte nature voor Ingredient team!</v>
      </c>
    </row>
    <row r="25" spans="1:13" ht="15" customHeight="1">
      <c r="A25" t="str">
        <v>Mareep</v>
      </c>
      <c r="B25">
        <v>12</v>
      </c>
      <c r="C25" t="str">
        <v>Electric</v>
      </c>
      <c r="D25" t="str">
        <v>Ingredient</v>
      </c>
      <c r="E25" t="str">
        <v>Helping Speed S</v>
      </c>
      <c r="F25" t="str">
        <v>Ingredient Finder S</v>
      </c>
      <c r="G25" t="str">
        <v>EXP Gains</v>
      </c>
      <c r="H25" t="str">
        <v>Main Skill Chance</v>
      </c>
      <c r="I25">
        <v>5</v>
      </c>
      <c r="J25" t="str">
        <v>Evolve → Ampharos = hoge frequentie + waardevolle ingrediënten</v>
      </c>
    </row>
    <row r="26" spans="1:13" ht="15" customHeight="1">
      <c r="A26" t="str">
        <v>Igglybuff</v>
      </c>
      <c r="B26">
        <v>4</v>
      </c>
      <c r="C26" t="str">
        <v>Fairy</v>
      </c>
      <c r="D26" t="str">
        <v>Berry</v>
      </c>
      <c r="E26" t="str">
        <v>Ingredient Finder S</v>
      </c>
      <c r="F26" t="str">
        <v>Helping Speed S</v>
      </c>
      <c r="G26" t="str">
        <v>Speed of Help</v>
      </c>
      <c r="H26" t="str">
        <v>Ingredient Finding</v>
      </c>
      <c r="I26">
        <v>6</v>
      </c>
      <c r="J26" t="str">
        <v>Evolve → Wigglytuff = Energy for Everyone S (top skill!); Perfecte nature voor Berry team!</v>
      </c>
    </row>
    <row r="27" spans="1:13" ht="15" customHeight="1">
      <c r="A27" t="str">
        <v>Rattata</v>
      </c>
      <c r="B27">
        <v>6</v>
      </c>
      <c r="C27" t="str">
        <v>Normal</v>
      </c>
      <c r="D27" t="str">
        <v>Ingredient</v>
      </c>
      <c r="E27" t="str">
        <v>Skill Level Up S</v>
      </c>
      <c r="F27" t="str">
        <v>Skill Trigger S</v>
      </c>
      <c r="G27" t="str">
        <v>EXP Gains</v>
      </c>
      <c r="H27" t="str">
        <v>Main Skill Chance</v>
      </c>
      <c r="I27">
        <v>6.5</v>
      </c>
      <c r="J27" t="str">
        <v/>
      </c>
    </row>
    <row r="28" spans="1:13" ht="15" customHeight="1">
      <c r="A28" t="str">
        <v>Cubone</v>
      </c>
      <c r="B28">
        <v>5</v>
      </c>
      <c r="C28" t="str">
        <v>Ground</v>
      </c>
      <c r="D28" t="str">
        <v>Skill</v>
      </c>
      <c r="E28" t="str">
        <v>Skill Level Up M</v>
      </c>
      <c r="F28" t="str">
        <v>Helping Speed S</v>
      </c>
      <c r="G28" t="str">
        <v>Energy Recovery</v>
      </c>
      <c r="H28" t="str">
        <v>Ingredient Finding</v>
      </c>
      <c r="I28">
        <v>5</v>
      </c>
      <c r="J28" t="str">
        <v/>
      </c>
    </row>
    <row r="29" spans="1:13" ht="15" customHeight="1">
      <c r="A29" t="str">
        <v>Togepi</v>
      </c>
      <c r="B29">
        <v>8</v>
      </c>
      <c r="C29" t="str">
        <v>Fairy</v>
      </c>
      <c r="D29" t="str">
        <v>Berry</v>
      </c>
      <c r="E29" t="str">
        <v>Inventory Up L</v>
      </c>
      <c r="F29" t="str">
        <v>Ingredient Finder S</v>
      </c>
      <c r="G29" t="str">
        <v>Speed of Help</v>
      </c>
      <c r="H29" t="str">
        <v>Ingredient Finding</v>
      </c>
      <c r="I29">
        <v>6</v>
      </c>
      <c r="J29" t="str">
        <v>Let op: Togekiss Metronome is onbetrouwbaar; Perfecte nature voor Berry team!</v>
      </c>
    </row>
    <row r="30" spans="1:13" ht="15" customHeight="1">
      <c r="A30" t="str">
        <v>Totodile</v>
      </c>
      <c r="B30">
        <v>8</v>
      </c>
      <c r="C30" t="str">
        <v>Water</v>
      </c>
      <c r="D30" t="str">
        <v>Ingredient</v>
      </c>
      <c r="E30" t="str">
        <v>Skill Trigger S</v>
      </c>
      <c r="F30" t="str">
        <v>Inventory Up M</v>
      </c>
      <c r="G30" t="str">
        <v>Ingredient Finding</v>
      </c>
      <c r="H30" t="str">
        <v>Energy Recovery</v>
      </c>
      <c r="I30">
        <v>6.5</v>
      </c>
      <c r="J30" t="str">
        <v>Evolve → Feraligatr = top berry voor Cyan Beach; Perfecte nature voor Ingredient team!</v>
      </c>
    </row>
    <row r="31" spans="1:13" ht="15" customHeight="1">
      <c r="A31" t="str">
        <v>Riolu</v>
      </c>
      <c r="B31">
        <v>5</v>
      </c>
      <c r="C31" t="str">
        <v>Fighting</v>
      </c>
      <c r="D31" t="str">
        <v>Skill</v>
      </c>
      <c r="E31" t="str">
        <v>Inventory Up L</v>
      </c>
      <c r="F31" t="str">
        <v>Skill Level Up S</v>
      </c>
      <c r="G31" t="str">
        <v>Main Skill Chance</v>
      </c>
      <c r="H31" t="str">
        <v>EXP Gains</v>
      </c>
      <c r="I31">
        <v>5</v>
      </c>
      <c r="J31" t="str">
        <v>Evolve → Lucario = sterke fighter; Perfecte nature voor Skill team!</v>
      </c>
    </row>
    <row r="32" spans="1:13" ht="15" customHeight="1">
      <c r="A32" t="str">
        <v>Psyduck</v>
      </c>
      <c r="B32">
        <v>8</v>
      </c>
      <c r="C32" t="str">
        <v>Water</v>
      </c>
      <c r="D32" t="str">
        <v>Ingredient</v>
      </c>
      <c r="E32" t="str">
        <v>Energy Recovery Bonus</v>
      </c>
      <c r="F32" t="str">
        <v>Inventory Up L</v>
      </c>
      <c r="G32" t="str">
        <v>EXP Gains</v>
      </c>
      <c r="H32" t="str">
        <v>Main Skill Chance</v>
      </c>
      <c r="I32">
        <v>6.5</v>
      </c>
      <c r="J32" t="str">
        <v/>
      </c>
    </row>
    <row r="33" spans="1:10" ht="15" customHeight="1">
      <c r="A33" t="str">
        <v>Ivysaur</v>
      </c>
      <c r="B33">
        <v>15</v>
      </c>
      <c r="C33" t="str">
        <v>Grass</v>
      </c>
      <c r="D33" t="str">
        <v>Skill</v>
      </c>
      <c r="E33" t="str">
        <v>Skill Level Up S</v>
      </c>
      <c r="F33" t="str">
        <v>Helping Speed S</v>
      </c>
      <c r="G33" t="str">
        <v>Main Skill Chance</v>
      </c>
      <c r="H33" t="str">
        <v>EXP Gains</v>
      </c>
      <c r="I33">
        <v>5.5</v>
      </c>
      <c r="J33" t="str">
        <v>Evolve → Venusaur = 2x ingrediënten specialist; Perfecte nature voor Skill team!</v>
      </c>
    </row>
    <row r="34" spans="1:10" ht="15" customHeight="1">
      <c r="A34" t="str">
        <v>Marshtomp</v>
      </c>
      <c r="B34">
        <v>12</v>
      </c>
      <c r="C34" t="str">
        <v>Ground</v>
      </c>
      <c r="D34" t="str">
        <v>Ingredient</v>
      </c>
      <c r="E34" t="str">
        <v>Skill Trigger M</v>
      </c>
      <c r="F34" t="str">
        <v>Ingredient Finder S</v>
      </c>
      <c r="G34" t="str">
        <v>Speed of Help</v>
      </c>
      <c r="H34" t="str">
        <v>Main Skill Chance</v>
      </c>
      <c r="I34">
        <v>6.5</v>
      </c>
      <c r="J34" t="str">
        <v>Perfecte nature voor Ingredient team!</v>
      </c>
    </row>
    <row r="35" spans="1:10" ht="15" customHeight="1">
      <c r="A35" t="str">
        <v>Magnemite</v>
      </c>
      <c r="B35">
        <v>13</v>
      </c>
      <c r="C35" t="str">
        <v>Electric</v>
      </c>
      <c r="D35" t="str">
        <v>Ingredient</v>
      </c>
      <c r="E35" t="str">
        <v>Inventory Up L</v>
      </c>
      <c r="F35" t="str">
        <v>Skill Level Up M</v>
      </c>
      <c r="G35" t="str">
        <v>Neutral</v>
      </c>
      <c r="H35" t="str">
        <v>Neutral</v>
      </c>
      <c r="I35">
        <v>5</v>
      </c>
      <c r="J35" t="str">
        <v>Evolve → Magnezone = sterke skill helper; Neutrale nature = ok maar niet ideaal</v>
      </c>
    </row>
    <row r="36" spans="1:10" ht="15" customHeight="1">
      <c r="A36" t="str">
        <v>Psyduck</v>
      </c>
      <c r="B36">
        <v>5</v>
      </c>
      <c r="C36" t="str">
        <v>Water</v>
      </c>
      <c r="D36" t="str">
        <v>Berry</v>
      </c>
      <c r="E36" t="str">
        <v>Ingredient Finder S</v>
      </c>
      <c r="F36" t="str">
        <v>Helping Speed M</v>
      </c>
      <c r="G36" t="str">
        <v>Speed of Help</v>
      </c>
      <c r="H36" t="str">
        <v>Main Skill Chance</v>
      </c>
      <c r="I36">
        <v>5</v>
      </c>
      <c r="J36" t="str">
        <v>Perfecte nature voor Berry team!</v>
      </c>
    </row>
    <row r="37" spans="1:10" ht="15" customHeight="1">
      <c r="A37" t="str">
        <v>Bonsly</v>
      </c>
      <c r="B37">
        <v>7</v>
      </c>
      <c r="C37" t="str">
        <v>Rock</v>
      </c>
      <c r="D37" t="str">
        <v>Skill</v>
      </c>
      <c r="E37" t="str">
        <v>Helping Speed S</v>
      </c>
      <c r="F37" t="str">
        <v>Ingredient Finder S</v>
      </c>
      <c r="G37" t="str">
        <v>Speed of Help</v>
      </c>
      <c r="H37" t="str">
        <v>Ingredient Finding</v>
      </c>
      <c r="I37">
        <v>5</v>
      </c>
      <c r="J37" t="str">
        <v/>
      </c>
    </row>
    <row r="38" spans="1:10" ht="15" customHeight="1">
      <c r="A38" t="str">
        <v>Latias</v>
      </c>
      <c r="B38">
        <v>26</v>
      </c>
      <c r="C38" t="str">
        <v>Dragon</v>
      </c>
      <c r="D38" t="str">
        <v>Ingredient</v>
      </c>
      <c r="E38" t="str">
        <v>Sleep EXP Bonus</v>
      </c>
      <c r="F38" t="str">
        <v>Ingredient Finder M</v>
      </c>
      <c r="G38" t="str">
        <v>Speed of Help</v>
      </c>
      <c r="H38" t="str">
        <v>Main Skill Chance</v>
      </c>
      <c r="I38">
        <v>5.5</v>
      </c>
      <c r="J38" t="str">
        <v>Perfecte nature voor Ingredient team!</v>
      </c>
    </row>
    <row r="39" spans="1:10" ht="15" customHeight="1">
      <c r="A39" t="str">
        <v>Ivysaur</v>
      </c>
      <c r="B39">
        <v>24</v>
      </c>
      <c r="C39" t="str">
        <v>Grass</v>
      </c>
      <c r="D39" t="str">
        <v>Ingredient</v>
      </c>
      <c r="E39" t="str">
        <v>Helping Speed S</v>
      </c>
      <c r="F39" t="str">
        <v>Helping Speed M</v>
      </c>
      <c r="G39" t="str">
        <v>Ingredient Finding</v>
      </c>
      <c r="H39" t="str">
        <v>Energy Recovery</v>
      </c>
      <c r="I39">
        <v>6.5</v>
      </c>
      <c r="J39" t="str">
        <v>Evolve → Venusaur = 2x ingrediënten specialist; Perfecte nature voor Ingredient team!</v>
      </c>
    </row>
    <row r="40" spans="1:10" ht="15" customHeight="1">
      <c r="A40" t="str">
        <v>Eevee</v>
      </c>
      <c r="B40">
        <v>9</v>
      </c>
      <c r="C40" t="str">
        <v>Normal</v>
      </c>
      <c r="D40" t="str">
        <v>Skill</v>
      </c>
      <c r="E40" t="str">
        <v>Helping Speed M</v>
      </c>
      <c r="F40" t="str">
        <v>Skill Level Up S</v>
      </c>
      <c r="G40" t="str">
        <v>Main Skill Chance</v>
      </c>
      <c r="H40" t="str">
        <v>Ingredient Finding</v>
      </c>
      <c r="I40">
        <v>6.5</v>
      </c>
      <c r="J40" t="str">
        <v>Sylveon (skill) of Jolteon (berry) = top evoluties; Perfecte nature voor Skill team!</v>
      </c>
    </row>
    <row r="41" spans="1:10" ht="15" customHeight="1"/>
    <row r="42" spans="1:10" ht="15" customHeight="1"/>
    <row r="43" spans="1:10" ht="15" customHeight="1"/>
    <row r="44" spans="1:10" ht="15" customHeight="1"/>
    <row r="45" spans="1:10" ht="15" customHeight="1">
      <c r="A45" s="33" t="s">
        <v>425</v>
      </c>
    </row>
    <row r="46" spans="1:10" ht="15" customHeight="1">
      <c r="A46" s="34" t="s">
        <v>27</v>
      </c>
      <c r="B46" s="34" t="s">
        <v>32</v>
      </c>
      <c r="C46" s="34" t="s">
        <v>33</v>
      </c>
      <c r="D46" s="34" t="s">
        <v>49</v>
      </c>
      <c r="E46" s="34" t="s">
        <v>395</v>
      </c>
      <c r="F46" s="34" t="s">
        <v>396</v>
      </c>
      <c r="G46" s="34" t="s">
        <v>28</v>
      </c>
      <c r="H46" s="34" t="s">
        <v>384</v>
      </c>
      <c r="I46" s="34" t="s">
        <v>4</v>
      </c>
      <c r="J46" s="34" t="s">
        <v>426</v>
      </c>
    </row>
    <row r="47" spans="1:10" ht="15" customHeight="1">
      <c r="A47" t="str" cm="1">
        <f t="array" ref="A47:J73">IFERROR(_xlfn._xlws.FILTER(CHOOSE({1,2,3,4,5,6,7,8,9,10}, Data!A2:A200, Data!B2:B200, Data!C2:C200, Data!S2:S200, Data!H2:H200, Data!I2:I200, Data!N2:N200, Data!O2:O200, Data!T2:T200, Data!V2:V200), Data!U2:U200="🤔 Bench"), "")</f>
        <v>Squirtle</v>
      </c>
      <c r="B47">
        <v>8</v>
      </c>
      <c r="C47" t="str">
        <v>Water</v>
      </c>
      <c r="D47" t="str">
        <v>Ingredient</v>
      </c>
      <c r="E47" t="str">
        <v>Ingredient Finder S</v>
      </c>
      <c r="F47" t="str">
        <v>Skill Trigger S</v>
      </c>
      <c r="G47" t="str">
        <v>Neutral</v>
      </c>
      <c r="H47" t="str">
        <v>Neutral</v>
      </c>
      <c r="I47">
        <v>4</v>
      </c>
      <c r="J47" t="str">
        <v>Kanto starter: 2x ingrediënten + Ingredient Magnet S; Neutrale nature = ok maar niet ideaal</v>
      </c>
    </row>
    <row r="48" spans="1:10" ht="15" customHeight="1">
      <c r="A48" t="str">
        <v>Spheal</v>
      </c>
      <c r="B48">
        <v>12</v>
      </c>
      <c r="C48" t="str">
        <v>Water</v>
      </c>
      <c r="D48" t="str">
        <v>Ingredient</v>
      </c>
      <c r="E48" t="str">
        <v>Ingredient Finder S</v>
      </c>
      <c r="F48" t="str">
        <v>Helping Speed S</v>
      </c>
      <c r="G48" t="str">
        <v>Energy Recovery</v>
      </c>
      <c r="H48" t="str">
        <v>Speed of Help</v>
      </c>
      <c r="I48">
        <v>4</v>
      </c>
      <c r="J48" t="str">
        <v>Evolve → Walrein = key voor Snowdrop Tundra (berry+ingr)</v>
      </c>
    </row>
    <row r="49" spans="1:10" ht="15" customHeight="1">
      <c r="A49" t="str">
        <v>Swablu</v>
      </c>
      <c r="B49">
        <v>7</v>
      </c>
      <c r="C49" t="str">
        <v>Flying</v>
      </c>
      <c r="D49" t="str">
        <v>Berry</v>
      </c>
      <c r="E49" t="str">
        <v>Skill Trigger S</v>
      </c>
      <c r="F49" t="str">
        <v>Inventory Up S</v>
      </c>
      <c r="G49" t="str">
        <v>Neutral</v>
      </c>
      <c r="H49" t="str">
        <v>Neutral</v>
      </c>
      <c r="I49">
        <v>3</v>
      </c>
      <c r="J49" t="str">
        <v>Neutrale nature = ok maar niet ideaal</v>
      </c>
    </row>
    <row r="50" spans="1:10" ht="15" customHeight="1">
      <c r="A50" t="str">
        <v>Growlithe</v>
      </c>
      <c r="B50">
        <v>10</v>
      </c>
      <c r="C50" t="str">
        <v>Fire</v>
      </c>
      <c r="D50" t="str">
        <v>Skill</v>
      </c>
      <c r="E50" t="str">
        <v>Energy Recovery Bonus</v>
      </c>
      <c r="F50" t="str">
        <v>Ingredient Finder M</v>
      </c>
      <c r="G50" t="str">
        <v>EXP Gains</v>
      </c>
      <c r="H50" t="str">
        <v>Ingredient Finding</v>
      </c>
      <c r="I50">
        <v>4</v>
      </c>
      <c r="J50" t="str">
        <v>Evolve → Arcanine = sterke all-rounder</v>
      </c>
    </row>
    <row r="51" spans="1:10" ht="15" customHeight="1">
      <c r="A51" t="str">
        <v>Psyduck</v>
      </c>
      <c r="B51">
        <v>6</v>
      </c>
      <c r="C51" t="str">
        <v>Water</v>
      </c>
      <c r="D51" t="str">
        <v>Ingredient</v>
      </c>
      <c r="E51" t="str">
        <v>Inventory Up M</v>
      </c>
      <c r="F51" t="str">
        <v>Ingredient Finder M</v>
      </c>
      <c r="G51" t="str">
        <v>Energy Recovery</v>
      </c>
      <c r="H51" t="str">
        <v>EXP Gains</v>
      </c>
      <c r="I51">
        <v>4.5</v>
      </c>
      <c r="J51" t="str">
        <v/>
      </c>
    </row>
    <row r="52" spans="1:10" ht="15" customHeight="1">
      <c r="A52" t="str">
        <v>Treecko</v>
      </c>
      <c r="B52">
        <v>8</v>
      </c>
      <c r="C52" t="str">
        <v>Grass</v>
      </c>
      <c r="D52" t="str">
        <v>Berry</v>
      </c>
      <c r="E52" t="str">
        <v>Helping Speed S</v>
      </c>
      <c r="F52" t="str">
        <v>Skill Trigger S</v>
      </c>
      <c r="G52" t="str">
        <v>Ingredient Finding</v>
      </c>
      <c r="H52" t="str">
        <v>EXP Gains</v>
      </c>
      <c r="I52">
        <v>4</v>
      </c>
      <c r="J52" t="str">
        <v/>
      </c>
    </row>
    <row r="53" spans="1:10" ht="15" customHeight="1">
      <c r="A53" t="str">
        <v>Swablu</v>
      </c>
      <c r="B53">
        <v>5</v>
      </c>
      <c r="C53" t="str">
        <v>Flying</v>
      </c>
      <c r="D53" t="str">
        <v>Ingredient</v>
      </c>
      <c r="E53" t="str">
        <v>Skill Trigger S</v>
      </c>
      <c r="F53" t="str">
        <v>Skill Level Up S</v>
      </c>
      <c r="G53" t="str">
        <v>EXP Gains</v>
      </c>
      <c r="H53" t="str">
        <v>Speed of Help</v>
      </c>
      <c r="I53">
        <v>3.5</v>
      </c>
      <c r="J53" t="str">
        <v/>
      </c>
    </row>
    <row r="54" spans="1:10" ht="15" customHeight="1">
      <c r="A54" t="str">
        <v>Drifloon</v>
      </c>
      <c r="B54">
        <v>6</v>
      </c>
      <c r="C54" t="str">
        <v>Ghost</v>
      </c>
      <c r="D54" t="str">
        <v>Berry</v>
      </c>
      <c r="E54" t="str">
        <v>Ingredient Finder S</v>
      </c>
      <c r="F54" t="str">
        <v>Skill Trigger M</v>
      </c>
      <c r="G54" t="str">
        <v>Speed of Help</v>
      </c>
      <c r="H54" t="str">
        <v>Ingredient Finding</v>
      </c>
      <c r="I54">
        <v>4</v>
      </c>
      <c r="J54" t="str">
        <v>Perfecte nature voor Berry team!</v>
      </c>
    </row>
    <row r="55" spans="1:10" ht="15" customHeight="1">
      <c r="A55" t="str">
        <v>Wynaut</v>
      </c>
      <c r="B55">
        <v>9</v>
      </c>
      <c r="C55" t="str">
        <v>Psychic</v>
      </c>
      <c r="D55" t="str">
        <v>Berry</v>
      </c>
      <c r="E55" t="str">
        <v>Helping Speed M</v>
      </c>
      <c r="F55" t="str">
        <v>Skill Trigger S</v>
      </c>
      <c r="G55" t="str">
        <v>EXP Gains</v>
      </c>
      <c r="H55" t="str">
        <v>Ingredient Finding</v>
      </c>
      <c r="I55">
        <v>4</v>
      </c>
      <c r="J55" t="str">
        <v/>
      </c>
    </row>
    <row r="56" spans="1:10" ht="15" customHeight="1">
      <c r="A56" t="str">
        <v>Pichu</v>
      </c>
      <c r="B56">
        <v>6</v>
      </c>
      <c r="C56" t="str">
        <v>Electric</v>
      </c>
      <c r="D56" t="str">
        <v>Ingredient</v>
      </c>
      <c r="E56" t="str">
        <v>Ingredient Finder M</v>
      </c>
      <c r="F56" t="str">
        <v>Inventory Up S</v>
      </c>
      <c r="G56" t="str">
        <v>Energy Recovery</v>
      </c>
      <c r="H56" t="str">
        <v>Speed of Help</v>
      </c>
      <c r="I56">
        <v>3.5</v>
      </c>
      <c r="J56" t="str">
        <v>Evolve → Pikachu → Raichu (top berry)</v>
      </c>
    </row>
    <row r="57" spans="1:10" ht="15" customHeight="1">
      <c r="A57" t="str">
        <v>Larvitar</v>
      </c>
      <c r="B57">
        <v>7</v>
      </c>
      <c r="C57" t="str">
        <v>Rock</v>
      </c>
      <c r="D57" t="str">
        <v>Berry</v>
      </c>
      <c r="E57" t="str">
        <v>Helping Speed S</v>
      </c>
      <c r="F57" t="str">
        <v>Ingredient Finder S</v>
      </c>
      <c r="G57" t="str">
        <v>Neutral</v>
      </c>
      <c r="H57" t="str">
        <v>Neutral</v>
      </c>
      <c r="I57">
        <v>3</v>
      </c>
      <c r="J57" t="str">
        <v>Neutrale nature = ok maar niet ideaal</v>
      </c>
    </row>
    <row r="58" spans="1:10" ht="15" customHeight="1">
      <c r="A58" t="str">
        <v>Bulbasaur</v>
      </c>
      <c r="B58">
        <v>6</v>
      </c>
      <c r="C58" t="str">
        <v>Grass</v>
      </c>
      <c r="D58" t="str">
        <v>Berry</v>
      </c>
      <c r="E58" t="str">
        <v>Helping Speed M</v>
      </c>
      <c r="F58" t="str">
        <v>Inventory Up S</v>
      </c>
      <c r="G58" t="str">
        <v>Energy Recovery</v>
      </c>
      <c r="H58" t="str">
        <v>Ingredient Finding</v>
      </c>
      <c r="I58">
        <v>3</v>
      </c>
      <c r="J58" t="str">
        <v>Kanto starter: 2x ingrediënten + Ingredient Magnet S</v>
      </c>
    </row>
    <row r="59" spans="1:10" ht="15" customHeight="1">
      <c r="A59" t="str">
        <v>Mudkip</v>
      </c>
      <c r="B59">
        <v>6</v>
      </c>
      <c r="C59" t="str">
        <v>Water</v>
      </c>
      <c r="D59" t="str">
        <v>Berry</v>
      </c>
      <c r="E59" t="str">
        <v>Ingredient Finder S</v>
      </c>
      <c r="F59" t="str">
        <v>Skill Trigger S</v>
      </c>
      <c r="G59" t="str">
        <v>EXP Gains</v>
      </c>
      <c r="H59" t="str">
        <v>Energy Recovery</v>
      </c>
      <c r="I59">
        <v>3</v>
      </c>
      <c r="J59" t="str">
        <v/>
      </c>
    </row>
    <row r="60" spans="1:10" ht="15" customHeight="1">
      <c r="A60" t="str">
        <v>Houndour</v>
      </c>
      <c r="B60">
        <v>4</v>
      </c>
      <c r="C60" t="str">
        <v>Dark</v>
      </c>
      <c r="D60" t="str">
        <v>Ingredient</v>
      </c>
      <c r="E60" t="str">
        <v>Skill Trigger M</v>
      </c>
      <c r="F60" t="str">
        <v>Inventory Up S</v>
      </c>
      <c r="G60" t="str">
        <v>EXP Gains</v>
      </c>
      <c r="H60" t="str">
        <v>Speed of Help</v>
      </c>
      <c r="I60">
        <v>3.5</v>
      </c>
      <c r="J60" t="str">
        <v/>
      </c>
    </row>
    <row r="61" spans="1:10" ht="15" customHeight="1">
      <c r="A61" t="str">
        <v>Diglett</v>
      </c>
      <c r="B61">
        <v>4</v>
      </c>
      <c r="C61" t="str">
        <v>Ground</v>
      </c>
      <c r="D61" t="str">
        <v>Ingredient</v>
      </c>
      <c r="E61" t="str">
        <v>Ingredient Finder M</v>
      </c>
      <c r="F61" t="str">
        <v>Skill Trigger S</v>
      </c>
      <c r="G61" t="str">
        <v>EXP Gains</v>
      </c>
      <c r="H61" t="str">
        <v>Ingredient Finding</v>
      </c>
      <c r="I61">
        <v>3.5</v>
      </c>
      <c r="J61" t="str">
        <v>Let op: Ingredient Finding NEGATIEF schaadt ingredient-prestatie</v>
      </c>
    </row>
    <row r="62" spans="1:10" ht="15" customHeight="1">
      <c r="A62" t="str">
        <v>Wynaut</v>
      </c>
      <c r="B62">
        <v>5</v>
      </c>
      <c r="C62" t="str">
        <v>Psychic</v>
      </c>
      <c r="D62" t="str">
        <v>Ingredient</v>
      </c>
      <c r="E62" t="str">
        <v>Inventory Up S</v>
      </c>
      <c r="F62" t="str">
        <v>Helping Speed M</v>
      </c>
      <c r="G62" t="str">
        <v>Energy Recovery</v>
      </c>
      <c r="H62" t="str">
        <v>Speed of Help</v>
      </c>
      <c r="I62">
        <v>3.5</v>
      </c>
      <c r="J62" t="str">
        <v/>
      </c>
    </row>
    <row r="63" spans="1:10" ht="15" customHeight="1">
      <c r="A63" t="str">
        <v>Charmander</v>
      </c>
      <c r="B63">
        <v>7</v>
      </c>
      <c r="C63" t="str">
        <v>Fire</v>
      </c>
      <c r="D63" t="str">
        <v>Skill</v>
      </c>
      <c r="E63" t="str">
        <v>Helping Speed S</v>
      </c>
      <c r="F63" t="str">
        <v>Skill Trigger S</v>
      </c>
      <c r="G63" t="str">
        <v>EXP Gains</v>
      </c>
      <c r="H63" t="str">
        <v>Speed of Help</v>
      </c>
      <c r="I63">
        <v>4</v>
      </c>
      <c r="J63" t="str">
        <v>Evolve → Charizard = snelle berry+ingredient verzamelaar</v>
      </c>
    </row>
    <row r="64" spans="1:10" ht="15" customHeight="1">
      <c r="A64" t="str">
        <v>Eevee</v>
      </c>
      <c r="B64">
        <v>8</v>
      </c>
      <c r="C64" t="str">
        <v>Normal</v>
      </c>
      <c r="D64" t="str">
        <v>Berry</v>
      </c>
      <c r="E64" t="str">
        <v>Ingredient Finder S</v>
      </c>
      <c r="F64" t="str">
        <v>Skill Trigger S</v>
      </c>
      <c r="G64" t="str">
        <v>Neutral</v>
      </c>
      <c r="H64" t="str">
        <v>Neutral</v>
      </c>
      <c r="I64">
        <v>4.5</v>
      </c>
      <c r="J64" t="str">
        <v>Sylveon (skill) of Jolteon (berry) = top evoluties; Neutrale nature = ok maar niet ideaal</v>
      </c>
    </row>
    <row r="65" spans="1:10" ht="15" customHeight="1">
      <c r="A65" t="str">
        <v>Igglybuff</v>
      </c>
      <c r="B65">
        <v>11</v>
      </c>
      <c r="C65" t="str">
        <v>Fairy</v>
      </c>
      <c r="D65" t="str">
        <v>Berry</v>
      </c>
      <c r="E65" t="str">
        <v>Inventory Up M</v>
      </c>
      <c r="F65" t="str">
        <v>Inventory Up S</v>
      </c>
      <c r="G65" t="str">
        <v>Speed of Help</v>
      </c>
      <c r="H65" t="str">
        <v>EXP Gains</v>
      </c>
      <c r="I65">
        <v>4.5</v>
      </c>
      <c r="J65" t="str">
        <v>Evolve → Wigglytuff = Energy for Everyone S (top skill!); Perfecte nature voor Berry team!</v>
      </c>
    </row>
    <row r="66" spans="1:10" ht="15" customHeight="1">
      <c r="A66" t="str">
        <v>Mareep</v>
      </c>
      <c r="B66">
        <v>6</v>
      </c>
      <c r="C66" t="str">
        <v>Electric</v>
      </c>
      <c r="D66" t="str">
        <v>Berry</v>
      </c>
      <c r="E66" t="str">
        <v>Skill Trigger M</v>
      </c>
      <c r="F66" t="str">
        <v>Inventory Up S</v>
      </c>
      <c r="G66" t="str">
        <v>Speed of Help</v>
      </c>
      <c r="H66" t="str">
        <v>Energy Recovery</v>
      </c>
      <c r="I66">
        <v>4</v>
      </c>
      <c r="J66" t="str">
        <v>Evolve → Ampharos = hoge frequentie + waardevolle ingrediënten; Perfecte nature voor Berry team!</v>
      </c>
    </row>
    <row r="67" spans="1:10" ht="15" customHeight="1">
      <c r="A67" t="str">
        <v>Latias</v>
      </c>
      <c r="B67">
        <v>18</v>
      </c>
      <c r="C67" t="str">
        <v>Dragon</v>
      </c>
      <c r="D67" t="str">
        <v>Skill</v>
      </c>
      <c r="E67" t="str">
        <v>Sleep EXP Bonus</v>
      </c>
      <c r="F67" t="str">
        <v>Skill Level Up S</v>
      </c>
      <c r="G67" t="str">
        <v>Neutral</v>
      </c>
      <c r="H67" t="str">
        <v>Neutral</v>
      </c>
      <c r="I67">
        <v>3.5</v>
      </c>
      <c r="J67" t="str">
        <v>Neutrale nature = ok maar niet ideaal</v>
      </c>
    </row>
    <row r="68" spans="1:10" ht="15" customHeight="1">
      <c r="A68" t="str">
        <v>Wobbuffet</v>
      </c>
      <c r="B68">
        <v>10</v>
      </c>
      <c r="C68" t="str">
        <v>Psychic</v>
      </c>
      <c r="D68" t="str">
        <v>Skill</v>
      </c>
      <c r="E68" t="str">
        <v>Skill Trigger S</v>
      </c>
      <c r="F68" t="str">
        <v>Helping Speed S</v>
      </c>
      <c r="G68" t="str">
        <v>Neutral</v>
      </c>
      <c r="H68" t="str">
        <v>Neutral</v>
      </c>
      <c r="I68">
        <v>3.5</v>
      </c>
      <c r="J68" t="str">
        <v>Neutrale nature = ok maar niet ideaal</v>
      </c>
    </row>
    <row r="69" spans="1:10" ht="15" customHeight="1">
      <c r="A69" t="str">
        <v>Treecko</v>
      </c>
      <c r="B69">
        <v>9</v>
      </c>
      <c r="C69" t="str">
        <v>Grass</v>
      </c>
      <c r="D69" t="str">
        <v>Ingredient</v>
      </c>
      <c r="E69" t="str">
        <v>Skill Trigger S</v>
      </c>
      <c r="F69" t="str">
        <v>Research EXP Bonus</v>
      </c>
      <c r="G69" t="str">
        <v>Ingredient Finding</v>
      </c>
      <c r="H69" t="str">
        <v>Main Skill Chance</v>
      </c>
      <c r="I69">
        <v>4.5</v>
      </c>
      <c r="J69" t="str">
        <v>Perfecte nature voor Ingredient team!</v>
      </c>
    </row>
    <row r="70" spans="1:10" ht="15" customHeight="1">
      <c r="A70" t="str">
        <v>Wynaut</v>
      </c>
      <c r="B70">
        <v>8</v>
      </c>
      <c r="C70" t="str">
        <v>Psychic</v>
      </c>
      <c r="D70" t="str">
        <v>Ingredient</v>
      </c>
      <c r="E70" t="str">
        <v>Inventory Up L</v>
      </c>
      <c r="F70" t="str">
        <v>Berry Finding S</v>
      </c>
      <c r="G70" t="str">
        <v>Main Skill Chance</v>
      </c>
      <c r="H70" t="str">
        <v>EXP Gains</v>
      </c>
      <c r="I70">
        <v>3</v>
      </c>
      <c r="J70" t="str">
        <v/>
      </c>
    </row>
    <row r="71" spans="1:10" ht="15" customHeight="1">
      <c r="A71" t="str">
        <v>Sprigatito</v>
      </c>
      <c r="B71">
        <v>10</v>
      </c>
      <c r="C71" t="str">
        <v>Grass</v>
      </c>
      <c r="D71" t="str">
        <v>Ingredient</v>
      </c>
      <c r="E71" t="str">
        <v>Energy Recovery Bonus</v>
      </c>
      <c r="F71" t="str">
        <v>Inventory Up S</v>
      </c>
      <c r="G71" t="str">
        <v>EXP Gains</v>
      </c>
      <c r="H71" t="str">
        <v>Speed of Help</v>
      </c>
      <c r="I71">
        <v>4</v>
      </c>
      <c r="J71" t="str">
        <v/>
      </c>
    </row>
    <row r="72" spans="1:10" ht="15" customHeight="1">
      <c r="A72" t="str">
        <v>Chikorita</v>
      </c>
      <c r="B72">
        <v>10</v>
      </c>
      <c r="C72" t="str">
        <v>Grass</v>
      </c>
      <c r="D72" t="str">
        <v>Berry</v>
      </c>
      <c r="E72" t="str">
        <v>Helping Speed S</v>
      </c>
      <c r="F72" t="str">
        <v>Skill Trigger S</v>
      </c>
      <c r="G72" t="str">
        <v>Neutral</v>
      </c>
      <c r="H72" t="str">
        <v>Neutral</v>
      </c>
      <c r="I72">
        <v>3.5</v>
      </c>
      <c r="J72" t="str">
        <v>Neutrale nature = ok maar niet ideaal</v>
      </c>
    </row>
    <row r="73" spans="1:10" ht="15" customHeight="1">
      <c r="A73" t="str">
        <v>Slowpoke</v>
      </c>
      <c r="B73">
        <v>10</v>
      </c>
      <c r="C73" t="str">
        <v>Water</v>
      </c>
      <c r="D73" t="str">
        <v>Berry</v>
      </c>
      <c r="E73" t="str">
        <v>Ingredient Finder S</v>
      </c>
      <c r="F73" t="str">
        <v>Berry Finding S</v>
      </c>
      <c r="G73" t="str">
        <v>Energy Recovery</v>
      </c>
      <c r="H73" t="str">
        <v>Speed of Help</v>
      </c>
      <c r="I73">
        <v>3.5</v>
      </c>
      <c r="J73" t="str">
        <v>Let op: Speed of Help NEGATIEF schaadt berry-prestatie</v>
      </c>
    </row>
    <row r="74" spans="1:10" ht="15" customHeight="1"/>
    <row r="75" spans="1:10" ht="15" customHeight="1"/>
    <row r="76" spans="1:10" ht="15" customHeight="1"/>
    <row r="77" spans="1:10" ht="15" customHeight="1"/>
    <row r="78" spans="1:10" ht="15" customHeight="1">
      <c r="A78" s="35" t="s">
        <v>427</v>
      </c>
    </row>
    <row r="79" spans="1:10" ht="15" customHeight="1">
      <c r="A79" s="36" t="s">
        <v>27</v>
      </c>
      <c r="B79" s="36" t="s">
        <v>32</v>
      </c>
      <c r="C79" s="36" t="s">
        <v>33</v>
      </c>
      <c r="D79" s="36" t="s">
        <v>49</v>
      </c>
      <c r="E79" s="36" t="s">
        <v>395</v>
      </c>
      <c r="F79" s="36" t="s">
        <v>396</v>
      </c>
      <c r="G79" s="36" t="s">
        <v>28</v>
      </c>
      <c r="H79" s="36" t="s">
        <v>384</v>
      </c>
      <c r="I79" s="36" t="s">
        <v>4</v>
      </c>
      <c r="J79" s="36" t="s">
        <v>428</v>
      </c>
    </row>
    <row r="80" spans="1:10" ht="15" customHeight="1">
      <c r="A80" t="str" cm="1">
        <f t="array" ref="A80">IFERROR(_xlfn._xlws.FILTER(CHOOSE({1,2,3,4,5,6,7,8,9,10}, Data!A2:A200, Data!B2:B200, Data!C2:C200, Data!S2:S200, Data!H2:H200, Data!I2:I200, Data!N2:N200, Data!O2:O200, Data!T2:T200, Data!V2:V200), Data!U2:U200="❌ Transfer"), "")</f>
        <v/>
      </c>
    </row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0"/>
  <sheetViews>
    <sheetView topLeftCell="B1" workbookViewId="0">
      <selection activeCell="L21" sqref="L21"/>
    </sheetView>
  </sheetViews>
  <sheetFormatPr defaultRowHeight="15"/>
  <cols>
    <col min="1" max="1" width="36.5703125" bestFit="1" customWidth="1"/>
    <col min="2" max="2" width="16.85546875" style="56" bestFit="1" customWidth="1"/>
    <col min="4" max="4" width="19.42578125" bestFit="1" customWidth="1"/>
    <col min="5" max="5" width="21.140625" bestFit="1" customWidth="1"/>
    <col min="8" max="9" width="16.7109375" bestFit="1" customWidth="1"/>
    <col min="10" max="10" width="12.85546875" bestFit="1" customWidth="1"/>
    <col min="11" max="11" width="23.85546875" bestFit="1" customWidth="1"/>
  </cols>
  <sheetData>
    <row r="1" spans="1:14">
      <c r="A1" s="5" t="s">
        <v>33</v>
      </c>
      <c r="B1" s="54" t="s">
        <v>2</v>
      </c>
      <c r="D1" t="s">
        <v>157</v>
      </c>
      <c r="E1" t="s">
        <v>158</v>
      </c>
      <c r="F1" t="s">
        <v>159</v>
      </c>
      <c r="G1" t="s">
        <v>43</v>
      </c>
      <c r="H1" t="s">
        <v>160</v>
      </c>
      <c r="I1" t="s">
        <v>161</v>
      </c>
      <c r="K1" t="s">
        <v>162</v>
      </c>
      <c r="L1" s="18" t="s">
        <v>434</v>
      </c>
      <c r="M1" s="18" t="s">
        <v>435</v>
      </c>
      <c r="N1" s="18" t="s">
        <v>436</v>
      </c>
    </row>
    <row r="2" spans="1:14">
      <c r="A2" s="5" t="s">
        <v>96</v>
      </c>
      <c r="B2" s="55" t="s">
        <v>163</v>
      </c>
      <c r="D2" t="s">
        <v>55</v>
      </c>
      <c r="E2" t="s">
        <v>78</v>
      </c>
      <c r="F2" t="s">
        <v>164</v>
      </c>
      <c r="G2" t="s">
        <v>100</v>
      </c>
      <c r="H2" t="s">
        <v>165</v>
      </c>
      <c r="I2" t="s">
        <v>166</v>
      </c>
      <c r="K2" t="s">
        <v>135</v>
      </c>
      <c r="L2" t="s">
        <v>149</v>
      </c>
      <c r="M2" t="s">
        <v>245</v>
      </c>
      <c r="N2" t="s">
        <v>2</v>
      </c>
    </row>
    <row r="3" spans="1:14">
      <c r="A3" s="5" t="s">
        <v>113</v>
      </c>
      <c r="B3" s="55" t="s">
        <v>167</v>
      </c>
      <c r="D3" t="s">
        <v>97</v>
      </c>
      <c r="E3" t="s">
        <v>121</v>
      </c>
      <c r="F3" t="s">
        <v>164</v>
      </c>
      <c r="G3" t="s">
        <v>105</v>
      </c>
      <c r="H3" t="s">
        <v>168</v>
      </c>
      <c r="I3" t="s">
        <v>166</v>
      </c>
      <c r="K3" t="s">
        <v>145</v>
      </c>
      <c r="L3" t="s">
        <v>149</v>
      </c>
      <c r="M3" t="s">
        <v>246</v>
      </c>
      <c r="N3" t="s">
        <v>2</v>
      </c>
    </row>
    <row r="4" spans="1:14">
      <c r="A4" s="5" t="s">
        <v>64</v>
      </c>
      <c r="B4" s="55" t="s">
        <v>16</v>
      </c>
      <c r="D4" t="s">
        <v>144</v>
      </c>
      <c r="E4" t="s">
        <v>99</v>
      </c>
      <c r="F4" t="s">
        <v>164</v>
      </c>
      <c r="G4" t="s">
        <v>125</v>
      </c>
      <c r="H4" t="s">
        <v>168</v>
      </c>
      <c r="I4" t="s">
        <v>169</v>
      </c>
      <c r="K4" t="s">
        <v>170</v>
      </c>
      <c r="L4" t="s">
        <v>149</v>
      </c>
      <c r="M4" t="s">
        <v>244</v>
      </c>
      <c r="N4" t="s">
        <v>437</v>
      </c>
    </row>
    <row r="5" spans="1:14">
      <c r="A5" s="5" t="s">
        <v>111</v>
      </c>
      <c r="B5" s="55" t="s">
        <v>171</v>
      </c>
      <c r="D5" t="s">
        <v>120</v>
      </c>
      <c r="E5" t="s">
        <v>83</v>
      </c>
      <c r="F5" t="s">
        <v>164</v>
      </c>
      <c r="G5" t="s">
        <v>142</v>
      </c>
      <c r="H5" t="s">
        <v>172</v>
      </c>
      <c r="I5" t="s">
        <v>168</v>
      </c>
      <c r="K5" t="s">
        <v>148</v>
      </c>
      <c r="L5" t="s">
        <v>149</v>
      </c>
      <c r="M5" t="s">
        <v>269</v>
      </c>
      <c r="N5" t="s">
        <v>438</v>
      </c>
    </row>
    <row r="6" spans="1:14">
      <c r="A6" s="5" t="s">
        <v>54</v>
      </c>
      <c r="B6" s="55" t="s">
        <v>22</v>
      </c>
      <c r="D6" t="s">
        <v>114</v>
      </c>
      <c r="E6" t="s">
        <v>98</v>
      </c>
      <c r="F6" t="s">
        <v>164</v>
      </c>
      <c r="G6" t="s">
        <v>90</v>
      </c>
      <c r="H6" t="s">
        <v>168</v>
      </c>
      <c r="I6" t="s">
        <v>165</v>
      </c>
      <c r="K6" t="s">
        <v>173</v>
      </c>
      <c r="L6" t="s">
        <v>149</v>
      </c>
      <c r="M6" t="s">
        <v>270</v>
      </c>
      <c r="N6" t="s">
        <v>2</v>
      </c>
    </row>
    <row r="7" spans="1:14">
      <c r="A7" s="5" t="s">
        <v>174</v>
      </c>
      <c r="B7" s="55" t="s">
        <v>175</v>
      </c>
      <c r="D7" t="s">
        <v>77</v>
      </c>
      <c r="E7" t="s">
        <v>115</v>
      </c>
      <c r="F7" t="s">
        <v>164</v>
      </c>
      <c r="G7" t="s">
        <v>176</v>
      </c>
      <c r="H7" t="s">
        <v>172</v>
      </c>
      <c r="I7" t="s">
        <v>165</v>
      </c>
      <c r="K7" t="s">
        <v>177</v>
      </c>
      <c r="L7" t="s">
        <v>149</v>
      </c>
      <c r="M7" t="s">
        <v>335</v>
      </c>
      <c r="N7" t="s">
        <v>437</v>
      </c>
    </row>
    <row r="8" spans="1:14">
      <c r="A8" s="5" t="s">
        <v>119</v>
      </c>
      <c r="B8" s="55" t="s">
        <v>178</v>
      </c>
      <c r="D8" t="s">
        <v>72</v>
      </c>
      <c r="E8" t="s">
        <v>104</v>
      </c>
      <c r="F8" t="s">
        <v>164</v>
      </c>
      <c r="G8" t="s">
        <v>179</v>
      </c>
      <c r="H8" t="s">
        <v>172</v>
      </c>
      <c r="I8" t="s">
        <v>166</v>
      </c>
      <c r="K8" t="s">
        <v>63</v>
      </c>
      <c r="L8" t="s">
        <v>149</v>
      </c>
      <c r="M8" t="s">
        <v>336</v>
      </c>
      <c r="N8" t="s">
        <v>437</v>
      </c>
    </row>
    <row r="9" spans="1:14">
      <c r="A9" s="5" t="s">
        <v>102</v>
      </c>
      <c r="B9" s="55" t="s">
        <v>432</v>
      </c>
      <c r="D9" t="s">
        <v>65</v>
      </c>
      <c r="E9" t="s">
        <v>68</v>
      </c>
      <c r="F9" t="s">
        <v>180</v>
      </c>
      <c r="G9" t="s">
        <v>181</v>
      </c>
      <c r="H9" t="s">
        <v>172</v>
      </c>
      <c r="I9" t="s">
        <v>169</v>
      </c>
      <c r="K9" t="s">
        <v>182</v>
      </c>
      <c r="L9" t="s">
        <v>149</v>
      </c>
      <c r="M9" t="s">
        <v>346</v>
      </c>
      <c r="N9" t="s">
        <v>438</v>
      </c>
    </row>
    <row r="10" spans="1:14">
      <c r="A10" s="5" t="s">
        <v>81</v>
      </c>
      <c r="B10" s="55" t="s">
        <v>183</v>
      </c>
      <c r="D10" t="s">
        <v>108</v>
      </c>
      <c r="E10" t="s">
        <v>86</v>
      </c>
      <c r="F10" t="s">
        <v>180</v>
      </c>
      <c r="G10" t="s">
        <v>124</v>
      </c>
      <c r="H10" t="s">
        <v>165</v>
      </c>
      <c r="I10" t="s">
        <v>168</v>
      </c>
      <c r="K10" t="s">
        <v>184</v>
      </c>
      <c r="L10" t="s">
        <v>88</v>
      </c>
      <c r="M10" t="s">
        <v>227</v>
      </c>
      <c r="N10" t="s">
        <v>438</v>
      </c>
    </row>
    <row r="11" spans="1:14">
      <c r="A11" s="5" t="s">
        <v>107</v>
      </c>
      <c r="B11" s="55" t="s">
        <v>433</v>
      </c>
      <c r="D11" t="s">
        <v>73</v>
      </c>
      <c r="E11" t="s">
        <v>59</v>
      </c>
      <c r="F11" t="s">
        <v>180</v>
      </c>
      <c r="G11" t="s">
        <v>109</v>
      </c>
      <c r="H11" t="s">
        <v>165</v>
      </c>
      <c r="I11" t="s">
        <v>172</v>
      </c>
      <c r="K11" t="s">
        <v>186</v>
      </c>
      <c r="L11" t="s">
        <v>88</v>
      </c>
      <c r="M11" t="s">
        <v>272</v>
      </c>
      <c r="N11" t="s">
        <v>438</v>
      </c>
    </row>
    <row r="12" spans="1:14">
      <c r="A12" s="5" t="s">
        <v>131</v>
      </c>
      <c r="B12" s="55" t="s">
        <v>187</v>
      </c>
      <c r="D12" t="s">
        <v>56</v>
      </c>
      <c r="E12" t="s">
        <v>67</v>
      </c>
      <c r="F12" t="s">
        <v>180</v>
      </c>
      <c r="G12" t="s">
        <v>75</v>
      </c>
      <c r="H12" t="s">
        <v>168</v>
      </c>
      <c r="I12" t="s">
        <v>172</v>
      </c>
      <c r="K12" t="s">
        <v>188</v>
      </c>
      <c r="L12" t="s">
        <v>292</v>
      </c>
      <c r="M12" t="s">
        <v>294</v>
      </c>
      <c r="N12" t="s">
        <v>438</v>
      </c>
    </row>
    <row r="13" spans="1:14">
      <c r="A13" s="5" t="s">
        <v>189</v>
      </c>
      <c r="B13" s="55" t="s">
        <v>185</v>
      </c>
      <c r="D13" t="s">
        <v>103</v>
      </c>
      <c r="E13" t="s">
        <v>60</v>
      </c>
      <c r="F13" t="s">
        <v>180</v>
      </c>
      <c r="G13" t="s">
        <v>62</v>
      </c>
      <c r="H13" t="s">
        <v>165</v>
      </c>
      <c r="I13" t="s">
        <v>169</v>
      </c>
      <c r="K13" t="s">
        <v>190</v>
      </c>
      <c r="L13" t="s">
        <v>292</v>
      </c>
      <c r="M13" t="s">
        <v>337</v>
      </c>
      <c r="N13" t="s">
        <v>438</v>
      </c>
    </row>
    <row r="14" spans="1:14">
      <c r="A14" s="5" t="s">
        <v>133</v>
      </c>
      <c r="B14" s="55" t="s">
        <v>191</v>
      </c>
      <c r="D14" t="s">
        <v>66</v>
      </c>
      <c r="E14" t="s">
        <v>82</v>
      </c>
      <c r="F14" t="s">
        <v>180</v>
      </c>
      <c r="G14" t="s">
        <v>117</v>
      </c>
      <c r="H14" t="s">
        <v>166</v>
      </c>
      <c r="I14" t="s">
        <v>168</v>
      </c>
      <c r="K14" t="s">
        <v>95</v>
      </c>
      <c r="L14" t="s">
        <v>293</v>
      </c>
      <c r="M14" t="s">
        <v>294</v>
      </c>
      <c r="N14" t="s">
        <v>438</v>
      </c>
    </row>
    <row r="15" spans="1:14">
      <c r="A15" s="5" t="s">
        <v>127</v>
      </c>
      <c r="B15" s="55" t="s">
        <v>192</v>
      </c>
      <c r="D15" t="s">
        <v>89</v>
      </c>
      <c r="E15" t="s">
        <v>61</v>
      </c>
      <c r="F15" t="s">
        <v>193</v>
      </c>
      <c r="G15" t="s">
        <v>194</v>
      </c>
      <c r="H15" t="s">
        <v>166</v>
      </c>
      <c r="I15" t="s">
        <v>172</v>
      </c>
      <c r="K15" t="s">
        <v>195</v>
      </c>
      <c r="L15" t="s">
        <v>293</v>
      </c>
      <c r="M15" t="s">
        <v>337</v>
      </c>
      <c r="N15" t="s">
        <v>438</v>
      </c>
    </row>
    <row r="16" spans="1:14">
      <c r="A16" s="5" t="s">
        <v>92</v>
      </c>
      <c r="B16" s="55" t="s">
        <v>196</v>
      </c>
      <c r="D16" t="s">
        <v>93</v>
      </c>
      <c r="E16" t="s">
        <v>57</v>
      </c>
      <c r="F16" t="s">
        <v>193</v>
      </c>
      <c r="G16" t="s">
        <v>87</v>
      </c>
      <c r="H16" t="s">
        <v>166</v>
      </c>
      <c r="I16" t="s">
        <v>165</v>
      </c>
      <c r="K16" t="s">
        <v>197</v>
      </c>
      <c r="L16" t="s">
        <v>85</v>
      </c>
      <c r="M16" t="s">
        <v>53</v>
      </c>
      <c r="N16" t="s">
        <v>2</v>
      </c>
    </row>
    <row r="17" spans="1:14">
      <c r="A17" s="5" t="s">
        <v>141</v>
      </c>
      <c r="B17" s="55" t="s">
        <v>198</v>
      </c>
      <c r="D17" t="s">
        <v>123</v>
      </c>
      <c r="E17" t="s">
        <v>58</v>
      </c>
      <c r="F17" t="s">
        <v>193</v>
      </c>
      <c r="G17" t="s">
        <v>79</v>
      </c>
      <c r="H17" t="s">
        <v>166</v>
      </c>
      <c r="I17" t="s">
        <v>169</v>
      </c>
      <c r="K17" t="s">
        <v>199</v>
      </c>
      <c r="L17" t="s">
        <v>53</v>
      </c>
      <c r="M17" t="s">
        <v>205</v>
      </c>
      <c r="N17" t="s">
        <v>2</v>
      </c>
    </row>
    <row r="18" spans="1:14">
      <c r="A18" s="5" t="s">
        <v>200</v>
      </c>
      <c r="B18" s="55" t="s">
        <v>201</v>
      </c>
      <c r="D18" t="s">
        <v>128</v>
      </c>
      <c r="E18" t="s">
        <v>74</v>
      </c>
      <c r="F18" t="s">
        <v>193</v>
      </c>
      <c r="G18" t="s">
        <v>151</v>
      </c>
      <c r="H18" t="s">
        <v>169</v>
      </c>
      <c r="I18" t="s">
        <v>168</v>
      </c>
      <c r="K18" t="s">
        <v>53</v>
      </c>
      <c r="L18" t="s">
        <v>70</v>
      </c>
      <c r="M18" t="s">
        <v>213</v>
      </c>
      <c r="N18" t="s">
        <v>2</v>
      </c>
    </row>
    <row r="19" spans="1:14">
      <c r="A19" s="5" t="s">
        <v>71</v>
      </c>
      <c r="B19" s="55" t="s">
        <v>20</v>
      </c>
      <c r="D19" t="s">
        <v>202</v>
      </c>
      <c r="G19" t="s">
        <v>84</v>
      </c>
      <c r="H19" t="s">
        <v>169</v>
      </c>
      <c r="I19" t="s">
        <v>172</v>
      </c>
      <c r="K19" t="s">
        <v>203</v>
      </c>
      <c r="L19" t="s">
        <v>213</v>
      </c>
      <c r="M19" t="s">
        <v>214</v>
      </c>
      <c r="N19" t="s">
        <v>438</v>
      </c>
    </row>
    <row r="20" spans="1:14">
      <c r="D20" t="s">
        <v>155</v>
      </c>
      <c r="G20" t="s">
        <v>122</v>
      </c>
      <c r="H20" t="s">
        <v>169</v>
      </c>
      <c r="I20" t="s">
        <v>165</v>
      </c>
      <c r="K20" t="s">
        <v>204</v>
      </c>
      <c r="L20" t="s">
        <v>209</v>
      </c>
      <c r="M20" t="s">
        <v>211</v>
      </c>
      <c r="N20" t="s">
        <v>2</v>
      </c>
    </row>
    <row r="21" spans="1:14">
      <c r="G21" t="s">
        <v>153</v>
      </c>
      <c r="H21" t="s">
        <v>169</v>
      </c>
      <c r="I21" t="s">
        <v>166</v>
      </c>
      <c r="K21" t="s">
        <v>205</v>
      </c>
      <c r="L21" t="s">
        <v>210</v>
      </c>
      <c r="M21" t="s">
        <v>212</v>
      </c>
      <c r="N21" t="s">
        <v>2</v>
      </c>
    </row>
    <row r="22" spans="1:14">
      <c r="G22" t="s">
        <v>69</v>
      </c>
      <c r="H22" t="s">
        <v>206</v>
      </c>
      <c r="I22" t="s">
        <v>206</v>
      </c>
      <c r="K22" t="s">
        <v>207</v>
      </c>
    </row>
    <row r="23" spans="1:14">
      <c r="G23" t="s">
        <v>156</v>
      </c>
      <c r="H23" t="s">
        <v>206</v>
      </c>
      <c r="I23" t="s">
        <v>206</v>
      </c>
      <c r="K23" t="s">
        <v>208</v>
      </c>
    </row>
    <row r="24" spans="1:14">
      <c r="G24" t="s">
        <v>134</v>
      </c>
      <c r="H24" t="s">
        <v>206</v>
      </c>
      <c r="I24" t="s">
        <v>206</v>
      </c>
      <c r="K24" t="s">
        <v>209</v>
      </c>
    </row>
    <row r="25" spans="1:14">
      <c r="G25" t="s">
        <v>94</v>
      </c>
      <c r="H25" t="s">
        <v>206</v>
      </c>
      <c r="I25" t="s">
        <v>206</v>
      </c>
      <c r="K25" t="s">
        <v>210</v>
      </c>
    </row>
    <row r="26" spans="1:14">
      <c r="G26" t="s">
        <v>150</v>
      </c>
      <c r="H26" t="s">
        <v>206</v>
      </c>
      <c r="I26" t="s">
        <v>206</v>
      </c>
      <c r="K26" t="s">
        <v>211</v>
      </c>
    </row>
    <row r="27" spans="1:14">
      <c r="K27" t="s">
        <v>212</v>
      </c>
    </row>
    <row r="28" spans="1:14">
      <c r="K28" t="s">
        <v>213</v>
      </c>
    </row>
    <row r="29" spans="1:14">
      <c r="K29" t="s">
        <v>214</v>
      </c>
    </row>
    <row r="30" spans="1:14">
      <c r="K30" t="s">
        <v>143</v>
      </c>
    </row>
    <row r="31" spans="1:14">
      <c r="K31" t="s">
        <v>215</v>
      </c>
    </row>
    <row r="32" spans="1:14">
      <c r="K32" t="s">
        <v>216</v>
      </c>
    </row>
    <row r="33" spans="11:11">
      <c r="K33" t="s">
        <v>217</v>
      </c>
    </row>
    <row r="34" spans="11:11">
      <c r="K34" t="s">
        <v>116</v>
      </c>
    </row>
    <row r="35" spans="11:11">
      <c r="K35" t="s">
        <v>218</v>
      </c>
    </row>
    <row r="36" spans="11:11">
      <c r="K36" t="s">
        <v>219</v>
      </c>
    </row>
    <row r="37" spans="11:11">
      <c r="K37" t="s">
        <v>220</v>
      </c>
    </row>
    <row r="38" spans="11:11">
      <c r="K38" t="s">
        <v>112</v>
      </c>
    </row>
    <row r="39" spans="11:11">
      <c r="K39" t="s">
        <v>221</v>
      </c>
    </row>
    <row r="40" spans="11:11">
      <c r="K40" t="s">
        <v>222</v>
      </c>
    </row>
    <row r="41" spans="11:11">
      <c r="K41" t="s">
        <v>223</v>
      </c>
    </row>
    <row r="42" spans="11:11">
      <c r="K42" t="s">
        <v>224</v>
      </c>
    </row>
    <row r="43" spans="11:11">
      <c r="K43" t="s">
        <v>138</v>
      </c>
    </row>
    <row r="44" spans="11:11">
      <c r="K44" t="s">
        <v>225</v>
      </c>
    </row>
    <row r="45" spans="11:11">
      <c r="K45" t="s">
        <v>226</v>
      </c>
    </row>
    <row r="46" spans="11:11">
      <c r="K46" t="s">
        <v>88</v>
      </c>
    </row>
    <row r="47" spans="11:11">
      <c r="K47" t="s">
        <v>227</v>
      </c>
    </row>
    <row r="48" spans="11:11">
      <c r="K48" t="s">
        <v>147</v>
      </c>
    </row>
    <row r="49" spans="11:11">
      <c r="K49" t="s">
        <v>228</v>
      </c>
    </row>
    <row r="50" spans="11:11">
      <c r="K50" t="s">
        <v>229</v>
      </c>
    </row>
    <row r="51" spans="11:11">
      <c r="K51" t="s">
        <v>230</v>
      </c>
    </row>
    <row r="52" spans="11:11">
      <c r="K52" t="s">
        <v>231</v>
      </c>
    </row>
    <row r="53" spans="11:11">
      <c r="K53" t="s">
        <v>232</v>
      </c>
    </row>
    <row r="54" spans="11:11">
      <c r="K54" t="s">
        <v>233</v>
      </c>
    </row>
    <row r="55" spans="11:11">
      <c r="K55" t="s">
        <v>234</v>
      </c>
    </row>
    <row r="56" spans="11:11">
      <c r="K56" t="s">
        <v>235</v>
      </c>
    </row>
    <row r="57" spans="11:11">
      <c r="K57" t="s">
        <v>80</v>
      </c>
    </row>
    <row r="58" spans="11:11">
      <c r="K58" t="s">
        <v>236</v>
      </c>
    </row>
    <row r="59" spans="11:11">
      <c r="K59" t="s">
        <v>237</v>
      </c>
    </row>
    <row r="60" spans="11:11">
      <c r="K60" t="s">
        <v>238</v>
      </c>
    </row>
    <row r="61" spans="11:11">
      <c r="K61" t="s">
        <v>239</v>
      </c>
    </row>
    <row r="62" spans="11:11">
      <c r="K62" t="s">
        <v>240</v>
      </c>
    </row>
    <row r="63" spans="11:11">
      <c r="K63" t="s">
        <v>241</v>
      </c>
    </row>
    <row r="64" spans="11:11">
      <c r="K64" t="s">
        <v>149</v>
      </c>
    </row>
    <row r="65" spans="11:11">
      <c r="K65" t="s">
        <v>242</v>
      </c>
    </row>
    <row r="66" spans="11:11">
      <c r="K66" t="s">
        <v>243</v>
      </c>
    </row>
    <row r="67" spans="11:11">
      <c r="K67" t="s">
        <v>244</v>
      </c>
    </row>
    <row r="68" spans="11:11">
      <c r="K68" t="s">
        <v>245</v>
      </c>
    </row>
    <row r="69" spans="11:11">
      <c r="K69" t="s">
        <v>246</v>
      </c>
    </row>
    <row r="70" spans="11:11">
      <c r="K70" t="s">
        <v>247</v>
      </c>
    </row>
    <row r="71" spans="11:11">
      <c r="K71" t="s">
        <v>248</v>
      </c>
    </row>
    <row r="72" spans="11:11">
      <c r="K72" t="s">
        <v>249</v>
      </c>
    </row>
    <row r="73" spans="11:11">
      <c r="K73" t="s">
        <v>250</v>
      </c>
    </row>
    <row r="74" spans="11:11">
      <c r="K74" t="s">
        <v>251</v>
      </c>
    </row>
    <row r="75" spans="11:11">
      <c r="K75" t="s">
        <v>252</v>
      </c>
    </row>
    <row r="76" spans="11:11">
      <c r="K76" t="s">
        <v>253</v>
      </c>
    </row>
    <row r="77" spans="11:11">
      <c r="K77" t="s">
        <v>254</v>
      </c>
    </row>
    <row r="78" spans="11:11">
      <c r="K78" t="s">
        <v>255</v>
      </c>
    </row>
    <row r="79" spans="11:11">
      <c r="K79" t="s">
        <v>256</v>
      </c>
    </row>
    <row r="80" spans="11:11">
      <c r="K80" t="s">
        <v>139</v>
      </c>
    </row>
    <row r="81" spans="11:11">
      <c r="K81" t="s">
        <v>257</v>
      </c>
    </row>
    <row r="82" spans="11:11">
      <c r="K82" t="s">
        <v>258</v>
      </c>
    </row>
    <row r="83" spans="11:11">
      <c r="K83" t="s">
        <v>85</v>
      </c>
    </row>
    <row r="84" spans="11:11">
      <c r="K84" t="s">
        <v>259</v>
      </c>
    </row>
    <row r="85" spans="11:11">
      <c r="K85" t="s">
        <v>70</v>
      </c>
    </row>
    <row r="86" spans="11:11">
      <c r="K86" t="s">
        <v>137</v>
      </c>
    </row>
    <row r="87" spans="11:11">
      <c r="K87" t="s">
        <v>260</v>
      </c>
    </row>
    <row r="88" spans="11:11">
      <c r="K88" t="s">
        <v>261</v>
      </c>
    </row>
    <row r="89" spans="11:11">
      <c r="K89" t="s">
        <v>262</v>
      </c>
    </row>
    <row r="90" spans="11:11">
      <c r="K90" t="s">
        <v>129</v>
      </c>
    </row>
    <row r="91" spans="11:11">
      <c r="K91" t="s">
        <v>263</v>
      </c>
    </row>
    <row r="92" spans="11:11">
      <c r="K92" t="s">
        <v>264</v>
      </c>
    </row>
    <row r="93" spans="11:11">
      <c r="K93" t="s">
        <v>265</v>
      </c>
    </row>
    <row r="94" spans="11:11">
      <c r="K94" t="s">
        <v>266</v>
      </c>
    </row>
    <row r="95" spans="11:11">
      <c r="K95" t="s">
        <v>267</v>
      </c>
    </row>
    <row r="96" spans="11:11">
      <c r="K96" t="s">
        <v>268</v>
      </c>
    </row>
    <row r="97" spans="11:11">
      <c r="K97" t="s">
        <v>269</v>
      </c>
    </row>
    <row r="98" spans="11:11">
      <c r="K98" t="s">
        <v>270</v>
      </c>
    </row>
    <row r="99" spans="11:11">
      <c r="K99" t="s">
        <v>271</v>
      </c>
    </row>
    <row r="100" spans="11:11">
      <c r="K100" t="s">
        <v>272</v>
      </c>
    </row>
    <row r="101" spans="11:11">
      <c r="K101" t="s">
        <v>273</v>
      </c>
    </row>
    <row r="102" spans="11:11">
      <c r="K102" t="s">
        <v>274</v>
      </c>
    </row>
    <row r="103" spans="11:11">
      <c r="K103" t="s">
        <v>275</v>
      </c>
    </row>
    <row r="104" spans="11:11">
      <c r="K104" t="s">
        <v>276</v>
      </c>
    </row>
    <row r="105" spans="11:11">
      <c r="K105" t="s">
        <v>277</v>
      </c>
    </row>
    <row r="106" spans="11:11">
      <c r="K106" t="s">
        <v>278</v>
      </c>
    </row>
    <row r="107" spans="11:11">
      <c r="K107" t="s">
        <v>140</v>
      </c>
    </row>
    <row r="108" spans="11:11">
      <c r="K108" t="s">
        <v>279</v>
      </c>
    </row>
    <row r="109" spans="11:11">
      <c r="K109" t="s">
        <v>280</v>
      </c>
    </row>
    <row r="110" spans="11:11">
      <c r="K110" t="s">
        <v>281</v>
      </c>
    </row>
    <row r="111" spans="11:11">
      <c r="K111" t="s">
        <v>282</v>
      </c>
    </row>
    <row r="112" spans="11:11">
      <c r="K112" t="s">
        <v>283</v>
      </c>
    </row>
    <row r="113" spans="11:11">
      <c r="K113" t="s">
        <v>132</v>
      </c>
    </row>
    <row r="114" spans="11:11">
      <c r="K114" t="s">
        <v>284</v>
      </c>
    </row>
    <row r="115" spans="11:11">
      <c r="K115" t="s">
        <v>285</v>
      </c>
    </row>
    <row r="116" spans="11:11">
      <c r="K116" t="s">
        <v>110</v>
      </c>
    </row>
    <row r="117" spans="11:11">
      <c r="K117" t="s">
        <v>286</v>
      </c>
    </row>
    <row r="118" spans="11:11">
      <c r="K118" t="s">
        <v>287</v>
      </c>
    </row>
    <row r="119" spans="11:11">
      <c r="K119" t="s">
        <v>288</v>
      </c>
    </row>
    <row r="120" spans="11:11">
      <c r="K120" t="s">
        <v>289</v>
      </c>
    </row>
    <row r="121" spans="11:11">
      <c r="K121" t="s">
        <v>290</v>
      </c>
    </row>
    <row r="122" spans="11:11">
      <c r="K122" t="s">
        <v>136</v>
      </c>
    </row>
    <row r="123" spans="11:11">
      <c r="K123" t="s">
        <v>146</v>
      </c>
    </row>
    <row r="124" spans="11:11">
      <c r="K124" t="s">
        <v>291</v>
      </c>
    </row>
    <row r="125" spans="11:11">
      <c r="K125" t="s">
        <v>292</v>
      </c>
    </row>
    <row r="126" spans="11:11">
      <c r="K126" t="s">
        <v>293</v>
      </c>
    </row>
    <row r="127" spans="11:11">
      <c r="K127" t="s">
        <v>294</v>
      </c>
    </row>
    <row r="128" spans="11:11">
      <c r="K128" t="s">
        <v>295</v>
      </c>
    </row>
    <row r="129" spans="11:11">
      <c r="K129" t="s">
        <v>296</v>
      </c>
    </row>
    <row r="130" spans="11:11">
      <c r="K130" t="s">
        <v>297</v>
      </c>
    </row>
    <row r="131" spans="11:11">
      <c r="K131" t="s">
        <v>298</v>
      </c>
    </row>
    <row r="132" spans="11:11">
      <c r="K132" t="s">
        <v>299</v>
      </c>
    </row>
    <row r="133" spans="11:11">
      <c r="K133" t="s">
        <v>300</v>
      </c>
    </row>
    <row r="134" spans="11:11">
      <c r="K134" t="s">
        <v>301</v>
      </c>
    </row>
    <row r="135" spans="11:11">
      <c r="K135" t="s">
        <v>302</v>
      </c>
    </row>
    <row r="136" spans="11:11">
      <c r="K136" t="s">
        <v>303</v>
      </c>
    </row>
    <row r="137" spans="11:11">
      <c r="K137" t="s">
        <v>304</v>
      </c>
    </row>
    <row r="138" spans="11:11">
      <c r="K138" t="s">
        <v>101</v>
      </c>
    </row>
    <row r="139" spans="11:11">
      <c r="K139" t="s">
        <v>305</v>
      </c>
    </row>
    <row r="140" spans="11:11">
      <c r="K140" t="s">
        <v>306</v>
      </c>
    </row>
    <row r="141" spans="11:11">
      <c r="K141" t="s">
        <v>307</v>
      </c>
    </row>
    <row r="142" spans="11:11">
      <c r="K142" t="s">
        <v>308</v>
      </c>
    </row>
    <row r="143" spans="11:11">
      <c r="K143" t="s">
        <v>106</v>
      </c>
    </row>
    <row r="144" spans="11:11">
      <c r="K144" t="s">
        <v>309</v>
      </c>
    </row>
    <row r="145" spans="11:11">
      <c r="K145" t="s">
        <v>310</v>
      </c>
    </row>
    <row r="146" spans="11:11">
      <c r="K146" t="s">
        <v>311</v>
      </c>
    </row>
    <row r="147" spans="11:11">
      <c r="K147" t="s">
        <v>312</v>
      </c>
    </row>
    <row r="148" spans="11:11">
      <c r="K148" t="s">
        <v>130</v>
      </c>
    </row>
    <row r="149" spans="11:11">
      <c r="K149" t="s">
        <v>76</v>
      </c>
    </row>
    <row r="150" spans="11:11">
      <c r="K150" t="s">
        <v>313</v>
      </c>
    </row>
    <row r="151" spans="11:11">
      <c r="K151" t="s">
        <v>314</v>
      </c>
    </row>
    <row r="152" spans="11:11">
      <c r="K152" t="s">
        <v>315</v>
      </c>
    </row>
    <row r="153" spans="11:11">
      <c r="K153" t="s">
        <v>316</v>
      </c>
    </row>
    <row r="154" spans="11:11">
      <c r="K154" t="s">
        <v>317</v>
      </c>
    </row>
    <row r="155" spans="11:11">
      <c r="K155" t="s">
        <v>318</v>
      </c>
    </row>
    <row r="156" spans="11:11">
      <c r="K156" t="s">
        <v>319</v>
      </c>
    </row>
    <row r="157" spans="11:11">
      <c r="K157" t="s">
        <v>320</v>
      </c>
    </row>
    <row r="158" spans="11:11">
      <c r="K158" t="s">
        <v>321</v>
      </c>
    </row>
    <row r="159" spans="11:11">
      <c r="K159" t="s">
        <v>126</v>
      </c>
    </row>
    <row r="160" spans="11:11">
      <c r="K160" t="s">
        <v>322</v>
      </c>
    </row>
    <row r="161" spans="11:11">
      <c r="K161" t="s">
        <v>323</v>
      </c>
    </row>
    <row r="162" spans="11:11">
      <c r="K162" t="s">
        <v>152</v>
      </c>
    </row>
    <row r="163" spans="11:11">
      <c r="K163" t="s">
        <v>324</v>
      </c>
    </row>
    <row r="164" spans="11:11">
      <c r="K164" t="s">
        <v>325</v>
      </c>
    </row>
    <row r="165" spans="11:11">
      <c r="K165" t="s">
        <v>326</v>
      </c>
    </row>
    <row r="166" spans="11:11">
      <c r="K166" t="s">
        <v>118</v>
      </c>
    </row>
    <row r="167" spans="11:11">
      <c r="K167" t="s">
        <v>327</v>
      </c>
    </row>
    <row r="168" spans="11:11">
      <c r="K168" t="s">
        <v>328</v>
      </c>
    </row>
    <row r="169" spans="11:11">
      <c r="K169" t="s">
        <v>329</v>
      </c>
    </row>
    <row r="170" spans="11:11">
      <c r="K170" t="s">
        <v>330</v>
      </c>
    </row>
    <row r="171" spans="11:11">
      <c r="K171" t="s">
        <v>331</v>
      </c>
    </row>
    <row r="172" spans="11:11">
      <c r="K172" t="s">
        <v>332</v>
      </c>
    </row>
    <row r="173" spans="11:11">
      <c r="K173" t="s">
        <v>333</v>
      </c>
    </row>
    <row r="174" spans="11:11">
      <c r="K174" t="s">
        <v>334</v>
      </c>
    </row>
    <row r="175" spans="11:11">
      <c r="K175" t="s">
        <v>335</v>
      </c>
    </row>
    <row r="176" spans="11:11">
      <c r="K176" t="s">
        <v>336</v>
      </c>
    </row>
    <row r="177" spans="11:11">
      <c r="K177" t="s">
        <v>337</v>
      </c>
    </row>
    <row r="178" spans="11:11">
      <c r="K178" t="s">
        <v>338</v>
      </c>
    </row>
    <row r="179" spans="11:11">
      <c r="K179" t="s">
        <v>339</v>
      </c>
    </row>
    <row r="180" spans="11:11">
      <c r="K180" t="s">
        <v>340</v>
      </c>
    </row>
    <row r="181" spans="11:11">
      <c r="K181" t="s">
        <v>341</v>
      </c>
    </row>
    <row r="182" spans="11:11">
      <c r="K182" t="s">
        <v>342</v>
      </c>
    </row>
    <row r="183" spans="11:11">
      <c r="K183" t="s">
        <v>343</v>
      </c>
    </row>
    <row r="184" spans="11:11">
      <c r="K184" t="s">
        <v>344</v>
      </c>
    </row>
    <row r="185" spans="11:11">
      <c r="K185" t="s">
        <v>345</v>
      </c>
    </row>
    <row r="186" spans="11:11">
      <c r="K186" t="s">
        <v>346</v>
      </c>
    </row>
    <row r="187" spans="11:11">
      <c r="K187" t="s">
        <v>347</v>
      </c>
    </row>
    <row r="188" spans="11:11">
      <c r="K188" t="s">
        <v>348</v>
      </c>
    </row>
    <row r="189" spans="11:11">
      <c r="K189" t="s">
        <v>349</v>
      </c>
    </row>
    <row r="190" spans="11:11">
      <c r="K190" t="s">
        <v>350</v>
      </c>
    </row>
    <row r="191" spans="11:11">
      <c r="K191" t="s">
        <v>351</v>
      </c>
    </row>
    <row r="192" spans="11:11">
      <c r="K192" t="s">
        <v>352</v>
      </c>
    </row>
    <row r="193" spans="11:11">
      <c r="K193" t="s">
        <v>353</v>
      </c>
    </row>
    <row r="194" spans="11:11">
      <c r="K194" t="s">
        <v>354</v>
      </c>
    </row>
    <row r="195" spans="11:11">
      <c r="K195" t="s">
        <v>355</v>
      </c>
    </row>
    <row r="196" spans="11:11">
      <c r="K196" t="s">
        <v>356</v>
      </c>
    </row>
    <row r="197" spans="11:11">
      <c r="K197" t="s">
        <v>357</v>
      </c>
    </row>
    <row r="198" spans="11:11">
      <c r="K198" t="s">
        <v>358</v>
      </c>
    </row>
    <row r="199" spans="11:11">
      <c r="K199" t="s">
        <v>359</v>
      </c>
    </row>
    <row r="200" spans="11:11">
      <c r="K200" t="s">
        <v>360</v>
      </c>
    </row>
    <row r="201" spans="11:11">
      <c r="K201" t="s">
        <v>361</v>
      </c>
    </row>
    <row r="202" spans="11:11">
      <c r="K202" t="s">
        <v>362</v>
      </c>
    </row>
    <row r="203" spans="11:11">
      <c r="K203" t="s">
        <v>363</v>
      </c>
    </row>
    <row r="204" spans="11:11">
      <c r="K204" t="s">
        <v>364</v>
      </c>
    </row>
    <row r="205" spans="11:11">
      <c r="K205" t="s">
        <v>365</v>
      </c>
    </row>
    <row r="206" spans="11:11">
      <c r="K206" t="s">
        <v>366</v>
      </c>
    </row>
    <row r="207" spans="11:11">
      <c r="K207" t="s">
        <v>367</v>
      </c>
    </row>
    <row r="208" spans="11:11">
      <c r="K208" t="s">
        <v>368</v>
      </c>
    </row>
    <row r="209" spans="11:11">
      <c r="K209" t="s">
        <v>369</v>
      </c>
    </row>
    <row r="210" spans="11:11">
      <c r="K210" t="s">
        <v>370</v>
      </c>
    </row>
    <row r="211" spans="11:11">
      <c r="K211" t="s">
        <v>371</v>
      </c>
    </row>
    <row r="212" spans="11:11">
      <c r="K212" t="s">
        <v>372</v>
      </c>
    </row>
    <row r="213" spans="11:11">
      <c r="K213" t="s">
        <v>373</v>
      </c>
    </row>
    <row r="214" spans="11:11">
      <c r="K214" t="s">
        <v>374</v>
      </c>
    </row>
    <row r="215" spans="11:11">
      <c r="K215" t="s">
        <v>375</v>
      </c>
    </row>
    <row r="216" spans="11:11">
      <c r="K216" t="s">
        <v>376</v>
      </c>
    </row>
    <row r="217" spans="11:11">
      <c r="K217" t="s">
        <v>377</v>
      </c>
    </row>
    <row r="218" spans="11:11">
      <c r="K218" t="s">
        <v>378</v>
      </c>
    </row>
    <row r="219" spans="11:11">
      <c r="K219" t="s">
        <v>91</v>
      </c>
    </row>
    <row r="220" spans="11:11">
      <c r="K220" t="s">
        <v>154</v>
      </c>
    </row>
  </sheetData>
  <dataValidations count="1">
    <dataValidation type="list" allowBlank="1" showInputMessage="1" showErrorMessage="1" sqref="A2:A19" xr:uid="{00000000-0002-0000-0100-000000000000}">
      <formula1>$A$3:$A$19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0"/>
  <sheetViews>
    <sheetView workbookViewId="0"/>
  </sheetViews>
  <sheetFormatPr defaultRowHeight="15"/>
  <sheetData>
    <row r="1" spans="1:16">
      <c r="A1" s="45" t="s">
        <v>429</v>
      </c>
      <c r="B1" s="46" t="s">
        <v>18</v>
      </c>
    </row>
    <row r="2" spans="1:16">
      <c r="N2" s="45" t="s">
        <v>18</v>
      </c>
      <c r="O2" s="45" t="s">
        <v>430</v>
      </c>
      <c r="P2" s="45" t="s">
        <v>431</v>
      </c>
    </row>
    <row r="3" spans="1:16">
      <c r="N3" t="s">
        <v>77</v>
      </c>
      <c r="O3" t="s">
        <v>73</v>
      </c>
      <c r="P3" t="s">
        <v>72</v>
      </c>
    </row>
    <row r="4" spans="1:16">
      <c r="N4" t="s">
        <v>65</v>
      </c>
      <c r="O4" t="s">
        <v>77</v>
      </c>
      <c r="P4" t="s">
        <v>65</v>
      </c>
    </row>
    <row r="5" spans="1:16">
      <c r="N5" t="s">
        <v>144</v>
      </c>
      <c r="O5" t="s">
        <v>144</v>
      </c>
      <c r="P5" t="s">
        <v>55</v>
      </c>
    </row>
    <row r="6" spans="1:16">
      <c r="N6" t="s">
        <v>114</v>
      </c>
      <c r="O6" t="s">
        <v>108</v>
      </c>
      <c r="P6" t="s">
        <v>66</v>
      </c>
    </row>
    <row r="7" spans="1:16">
      <c r="N7" t="s">
        <v>72</v>
      </c>
      <c r="O7" t="s">
        <v>128</v>
      </c>
      <c r="P7" t="s">
        <v>56</v>
      </c>
    </row>
    <row r="8" spans="1:16">
      <c r="N8" t="s">
        <v>120</v>
      </c>
      <c r="O8" t="s">
        <v>56</v>
      </c>
      <c r="P8" t="s">
        <v>108</v>
      </c>
    </row>
    <row r="9" spans="1:16">
      <c r="N9" t="s">
        <v>97</v>
      </c>
      <c r="O9" t="s">
        <v>103</v>
      </c>
      <c r="P9" t="s">
        <v>73</v>
      </c>
    </row>
    <row r="10" spans="1:16">
      <c r="N10" t="s">
        <v>93</v>
      </c>
      <c r="O10" t="s">
        <v>97</v>
      </c>
      <c r="P10" t="s">
        <v>97</v>
      </c>
    </row>
    <row r="11" spans="1:16">
      <c r="N11" t="s">
        <v>56</v>
      </c>
      <c r="O11" t="s">
        <v>65</v>
      </c>
      <c r="P11" t="s">
        <v>123</v>
      </c>
    </row>
    <row r="12" spans="1:16">
      <c r="N12" t="s">
        <v>103</v>
      </c>
      <c r="O12" t="s">
        <v>55</v>
      </c>
      <c r="P12" t="s">
        <v>128</v>
      </c>
    </row>
    <row r="13" spans="1:16">
      <c r="N13" t="s">
        <v>128</v>
      </c>
      <c r="O13" t="s">
        <v>114</v>
      </c>
      <c r="P13" t="s">
        <v>144</v>
      </c>
    </row>
    <row r="14" spans="1:16">
      <c r="N14" t="s">
        <v>66</v>
      </c>
      <c r="O14" t="s">
        <v>66</v>
      </c>
      <c r="P14" t="s">
        <v>103</v>
      </c>
    </row>
    <row r="15" spans="1:16">
      <c r="N15" t="s">
        <v>89</v>
      </c>
      <c r="O15" t="s">
        <v>89</v>
      </c>
      <c r="P15" t="s">
        <v>93</v>
      </c>
    </row>
    <row r="16" spans="1:16">
      <c r="N16" t="s">
        <v>123</v>
      </c>
      <c r="O16" t="s">
        <v>202</v>
      </c>
      <c r="P16" t="s">
        <v>155</v>
      </c>
    </row>
    <row r="17" spans="14:16">
      <c r="N17" t="s">
        <v>155</v>
      </c>
      <c r="O17" t="s">
        <v>123</v>
      </c>
      <c r="P17" t="s">
        <v>202</v>
      </c>
    </row>
    <row r="18" spans="14:16">
      <c r="N18" t="s">
        <v>202</v>
      </c>
      <c r="O18" t="s">
        <v>120</v>
      </c>
      <c r="P18" t="s">
        <v>89</v>
      </c>
    </row>
    <row r="19" spans="14:16">
      <c r="N19" t="s">
        <v>108</v>
      </c>
      <c r="O19" t="s">
        <v>93</v>
      </c>
      <c r="P19" t="s">
        <v>120</v>
      </c>
    </row>
    <row r="20" spans="14:16">
      <c r="N20" t="s">
        <v>73</v>
      </c>
      <c r="O20" t="s">
        <v>72</v>
      </c>
    </row>
  </sheetData>
  <dataValidations count="1">
    <dataValidation type="list" sqref="B1" xr:uid="{00000000-0002-0000-0600-000000000000}">
      <formula1>"Curries/Stews,Salads,Desserts/Drinks"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8</vt:i4>
      </vt:variant>
    </vt:vector>
  </HeadingPairs>
  <TitlesOfParts>
    <vt:vector size="8" baseType="lpstr">
      <vt:lpstr>Data</vt:lpstr>
      <vt:lpstr>Weekplanner</vt:lpstr>
      <vt:lpstr>Berry Team</vt:lpstr>
      <vt:lpstr>Ingredient Team</vt:lpstr>
      <vt:lpstr>Skill Team</vt:lpstr>
      <vt:lpstr>Advies</vt:lpstr>
      <vt:lpstr>Referentie</vt:lpstr>
      <vt:lpstr>Helper_Ingredient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M. Brouwer</cp:lastModifiedBy>
  <dcterms:created xsi:type="dcterms:W3CDTF">2026-04-08T07:18:31Z</dcterms:created>
  <dcterms:modified xsi:type="dcterms:W3CDTF">2026-04-22T13:31:47Z</dcterms:modified>
</cp:coreProperties>
</file>