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25dbf0700dd290/Documenten/"/>
    </mc:Choice>
  </mc:AlternateContent>
  <xr:revisionPtr revIDLastSave="127" documentId="8_{6217F150-3C97-4805-BFD2-03E1AEDCDB7A}" xr6:coauthVersionLast="47" xr6:coauthVersionMax="47" xr10:uidLastSave="{096742A7-3287-4E52-8777-14A0349C9A4A}"/>
  <bookViews>
    <workbookView xWindow="-120" yWindow="-120" windowWidth="29040" windowHeight="16440" xr2:uid="{00000000-000D-0000-FFFF-FFFF00000000}"/>
  </bookViews>
  <sheets>
    <sheet name="Data" sheetId="1" r:id="rId1"/>
    <sheet name="Weekplanner" sheetId="8" r:id="rId2"/>
    <sheet name="Berry Team" sheetId="3" r:id="rId3"/>
    <sheet name="Ingredient Team" sheetId="4" r:id="rId4"/>
    <sheet name="Skill Team" sheetId="5" r:id="rId5"/>
    <sheet name="Advies" sheetId="6" r:id="rId6"/>
    <sheet name="Referentie" sheetId="2" r:id="rId7"/>
    <sheet name="Helper_Ingredient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6" l="1"/>
  <c r="L13" i="6"/>
  <c r="L12" i="6"/>
  <c r="L11" i="6"/>
  <c r="L10" i="6"/>
  <c r="L9" i="6"/>
  <c r="L8" i="6"/>
  <c r="L7" i="6"/>
  <c r="L6" i="6"/>
  <c r="V250" i="1"/>
  <c r="U250" i="1"/>
  <c r="T250" i="1"/>
  <c r="S250" i="1"/>
  <c r="R250" i="1"/>
  <c r="Q250" i="1"/>
  <c r="P250" i="1"/>
  <c r="O250" i="1"/>
  <c r="N250" i="1"/>
  <c r="D250" i="1"/>
  <c r="V249" i="1"/>
  <c r="U249" i="1"/>
  <c r="T249" i="1"/>
  <c r="S249" i="1"/>
  <c r="R249" i="1"/>
  <c r="Q249" i="1"/>
  <c r="P249" i="1"/>
  <c r="O249" i="1"/>
  <c r="N249" i="1"/>
  <c r="D249" i="1"/>
  <c r="V248" i="1"/>
  <c r="U248" i="1"/>
  <c r="T248" i="1"/>
  <c r="S248" i="1"/>
  <c r="R248" i="1"/>
  <c r="Q248" i="1"/>
  <c r="P248" i="1"/>
  <c r="O248" i="1"/>
  <c r="N248" i="1"/>
  <c r="D248" i="1"/>
  <c r="V247" i="1"/>
  <c r="U247" i="1"/>
  <c r="T247" i="1"/>
  <c r="S247" i="1"/>
  <c r="R247" i="1"/>
  <c r="Q247" i="1"/>
  <c r="P247" i="1"/>
  <c r="O247" i="1"/>
  <c r="N247" i="1"/>
  <c r="D247" i="1"/>
  <c r="V246" i="1"/>
  <c r="U246" i="1"/>
  <c r="T246" i="1"/>
  <c r="S246" i="1"/>
  <c r="R246" i="1"/>
  <c r="Q246" i="1"/>
  <c r="P246" i="1"/>
  <c r="O246" i="1"/>
  <c r="N246" i="1"/>
  <c r="D246" i="1"/>
  <c r="V245" i="1"/>
  <c r="U245" i="1"/>
  <c r="T245" i="1"/>
  <c r="S245" i="1"/>
  <c r="R245" i="1"/>
  <c r="Q245" i="1"/>
  <c r="P245" i="1"/>
  <c r="O245" i="1"/>
  <c r="N245" i="1"/>
  <c r="D245" i="1"/>
  <c r="V244" i="1"/>
  <c r="U244" i="1"/>
  <c r="T244" i="1"/>
  <c r="S244" i="1"/>
  <c r="R244" i="1"/>
  <c r="Q244" i="1"/>
  <c r="P244" i="1"/>
  <c r="O244" i="1"/>
  <c r="N244" i="1"/>
  <c r="D244" i="1"/>
  <c r="V243" i="1"/>
  <c r="U243" i="1"/>
  <c r="T243" i="1"/>
  <c r="S243" i="1"/>
  <c r="R243" i="1"/>
  <c r="Q243" i="1"/>
  <c r="P243" i="1"/>
  <c r="O243" i="1"/>
  <c r="N243" i="1"/>
  <c r="D243" i="1"/>
  <c r="V242" i="1"/>
  <c r="U242" i="1"/>
  <c r="T242" i="1"/>
  <c r="S242" i="1"/>
  <c r="R242" i="1"/>
  <c r="Q242" i="1"/>
  <c r="P242" i="1"/>
  <c r="O242" i="1"/>
  <c r="N242" i="1"/>
  <c r="D242" i="1"/>
  <c r="V241" i="1"/>
  <c r="U241" i="1"/>
  <c r="T241" i="1"/>
  <c r="S241" i="1"/>
  <c r="R241" i="1"/>
  <c r="Q241" i="1"/>
  <c r="P241" i="1"/>
  <c r="O241" i="1"/>
  <c r="N241" i="1"/>
  <c r="D241" i="1"/>
  <c r="V240" i="1"/>
  <c r="U240" i="1"/>
  <c r="T240" i="1"/>
  <c r="S240" i="1"/>
  <c r="R240" i="1"/>
  <c r="Q240" i="1"/>
  <c r="P240" i="1"/>
  <c r="O240" i="1"/>
  <c r="N240" i="1"/>
  <c r="D240" i="1"/>
  <c r="V239" i="1"/>
  <c r="U239" i="1"/>
  <c r="T239" i="1"/>
  <c r="S239" i="1"/>
  <c r="R239" i="1"/>
  <c r="Q239" i="1"/>
  <c r="P239" i="1"/>
  <c r="O239" i="1"/>
  <c r="N239" i="1"/>
  <c r="D239" i="1"/>
  <c r="V238" i="1"/>
  <c r="U238" i="1"/>
  <c r="T238" i="1"/>
  <c r="S238" i="1"/>
  <c r="R238" i="1"/>
  <c r="Q238" i="1"/>
  <c r="P238" i="1"/>
  <c r="O238" i="1"/>
  <c r="N238" i="1"/>
  <c r="D238" i="1"/>
  <c r="V237" i="1"/>
  <c r="U237" i="1"/>
  <c r="T237" i="1"/>
  <c r="S237" i="1"/>
  <c r="R237" i="1"/>
  <c r="Q237" i="1"/>
  <c r="P237" i="1"/>
  <c r="O237" i="1"/>
  <c r="N237" i="1"/>
  <c r="D237" i="1"/>
  <c r="V236" i="1"/>
  <c r="U236" i="1"/>
  <c r="T236" i="1"/>
  <c r="S236" i="1"/>
  <c r="R236" i="1"/>
  <c r="Q236" i="1"/>
  <c r="P236" i="1"/>
  <c r="O236" i="1"/>
  <c r="N236" i="1"/>
  <c r="D236" i="1"/>
  <c r="V235" i="1"/>
  <c r="U235" i="1"/>
  <c r="T235" i="1"/>
  <c r="S235" i="1"/>
  <c r="R235" i="1"/>
  <c r="Q235" i="1"/>
  <c r="P235" i="1"/>
  <c r="O235" i="1"/>
  <c r="N235" i="1"/>
  <c r="D235" i="1"/>
  <c r="V234" i="1"/>
  <c r="U234" i="1"/>
  <c r="T234" i="1"/>
  <c r="S234" i="1"/>
  <c r="R234" i="1"/>
  <c r="Q234" i="1"/>
  <c r="P234" i="1"/>
  <c r="O234" i="1"/>
  <c r="N234" i="1"/>
  <c r="D234" i="1"/>
  <c r="V233" i="1"/>
  <c r="U233" i="1"/>
  <c r="T233" i="1"/>
  <c r="S233" i="1"/>
  <c r="R233" i="1"/>
  <c r="Q233" i="1"/>
  <c r="P233" i="1"/>
  <c r="O233" i="1"/>
  <c r="N233" i="1"/>
  <c r="D233" i="1"/>
  <c r="V232" i="1"/>
  <c r="U232" i="1"/>
  <c r="T232" i="1"/>
  <c r="S232" i="1"/>
  <c r="R232" i="1"/>
  <c r="Q232" i="1"/>
  <c r="P232" i="1"/>
  <c r="O232" i="1"/>
  <c r="N232" i="1"/>
  <c r="D232" i="1"/>
  <c r="V231" i="1"/>
  <c r="U231" i="1"/>
  <c r="T231" i="1"/>
  <c r="S231" i="1"/>
  <c r="R231" i="1"/>
  <c r="Q231" i="1"/>
  <c r="P231" i="1"/>
  <c r="O231" i="1"/>
  <c r="N231" i="1"/>
  <c r="D231" i="1"/>
  <c r="V230" i="1"/>
  <c r="U230" i="1"/>
  <c r="T230" i="1"/>
  <c r="S230" i="1"/>
  <c r="R230" i="1"/>
  <c r="Q230" i="1"/>
  <c r="P230" i="1"/>
  <c r="O230" i="1"/>
  <c r="N230" i="1"/>
  <c r="D230" i="1"/>
  <c r="V229" i="1"/>
  <c r="U229" i="1"/>
  <c r="T229" i="1"/>
  <c r="S229" i="1"/>
  <c r="R229" i="1"/>
  <c r="Q229" i="1"/>
  <c r="P229" i="1"/>
  <c r="O229" i="1"/>
  <c r="N229" i="1"/>
  <c r="D229" i="1"/>
  <c r="V228" i="1"/>
  <c r="U228" i="1"/>
  <c r="T228" i="1"/>
  <c r="S228" i="1"/>
  <c r="R228" i="1"/>
  <c r="Q228" i="1"/>
  <c r="P228" i="1"/>
  <c r="O228" i="1"/>
  <c r="N228" i="1"/>
  <c r="D228" i="1"/>
  <c r="V227" i="1"/>
  <c r="U227" i="1"/>
  <c r="T227" i="1"/>
  <c r="S227" i="1"/>
  <c r="R227" i="1"/>
  <c r="Q227" i="1"/>
  <c r="P227" i="1"/>
  <c r="O227" i="1"/>
  <c r="N227" i="1"/>
  <c r="D227" i="1"/>
  <c r="V226" i="1"/>
  <c r="U226" i="1"/>
  <c r="T226" i="1"/>
  <c r="S226" i="1"/>
  <c r="R226" i="1"/>
  <c r="Q226" i="1"/>
  <c r="P226" i="1"/>
  <c r="O226" i="1"/>
  <c r="N226" i="1"/>
  <c r="D226" i="1"/>
  <c r="V225" i="1"/>
  <c r="U225" i="1"/>
  <c r="T225" i="1"/>
  <c r="S225" i="1"/>
  <c r="R225" i="1"/>
  <c r="Q225" i="1"/>
  <c r="P225" i="1"/>
  <c r="O225" i="1"/>
  <c r="N225" i="1"/>
  <c r="D225" i="1"/>
  <c r="V224" i="1"/>
  <c r="U224" i="1"/>
  <c r="T224" i="1"/>
  <c r="S224" i="1"/>
  <c r="R224" i="1"/>
  <c r="Q224" i="1"/>
  <c r="P224" i="1"/>
  <c r="O224" i="1"/>
  <c r="N224" i="1"/>
  <c r="D224" i="1"/>
  <c r="V223" i="1"/>
  <c r="U223" i="1"/>
  <c r="T223" i="1"/>
  <c r="S223" i="1"/>
  <c r="R223" i="1"/>
  <c r="Q223" i="1"/>
  <c r="P223" i="1"/>
  <c r="O223" i="1"/>
  <c r="N223" i="1"/>
  <c r="D223" i="1"/>
  <c r="V222" i="1"/>
  <c r="U222" i="1"/>
  <c r="T222" i="1"/>
  <c r="S222" i="1"/>
  <c r="R222" i="1"/>
  <c r="Q222" i="1"/>
  <c r="P222" i="1"/>
  <c r="O222" i="1"/>
  <c r="N222" i="1"/>
  <c r="D222" i="1"/>
  <c r="V221" i="1"/>
  <c r="U221" i="1"/>
  <c r="T221" i="1"/>
  <c r="S221" i="1"/>
  <c r="R221" i="1"/>
  <c r="Q221" i="1"/>
  <c r="P221" i="1"/>
  <c r="O221" i="1"/>
  <c r="N221" i="1"/>
  <c r="D221" i="1"/>
  <c r="V220" i="1"/>
  <c r="U220" i="1"/>
  <c r="T220" i="1"/>
  <c r="S220" i="1"/>
  <c r="R220" i="1"/>
  <c r="Q220" i="1"/>
  <c r="P220" i="1"/>
  <c r="O220" i="1"/>
  <c r="N220" i="1"/>
  <c r="D220" i="1"/>
  <c r="V219" i="1"/>
  <c r="U219" i="1"/>
  <c r="T219" i="1"/>
  <c r="S219" i="1"/>
  <c r="R219" i="1"/>
  <c r="Q219" i="1"/>
  <c r="P219" i="1"/>
  <c r="O219" i="1"/>
  <c r="N219" i="1"/>
  <c r="D219" i="1"/>
  <c r="V218" i="1"/>
  <c r="U218" i="1"/>
  <c r="T218" i="1"/>
  <c r="S218" i="1"/>
  <c r="R218" i="1"/>
  <c r="Q218" i="1"/>
  <c r="P218" i="1"/>
  <c r="O218" i="1"/>
  <c r="N218" i="1"/>
  <c r="D218" i="1"/>
  <c r="T218" i="8" s="1"/>
  <c r="X218" i="8" s="1"/>
  <c r="V217" i="1"/>
  <c r="U217" i="1"/>
  <c r="T217" i="1"/>
  <c r="S217" i="1"/>
  <c r="R217" i="1"/>
  <c r="Q217" i="1"/>
  <c r="P217" i="1"/>
  <c r="O217" i="1"/>
  <c r="N217" i="1"/>
  <c r="D217" i="1"/>
  <c r="T217" i="8" s="1"/>
  <c r="X217" i="8" s="1"/>
  <c r="V216" i="1"/>
  <c r="U216" i="1"/>
  <c r="T216" i="1"/>
  <c r="S216" i="1"/>
  <c r="R216" i="1"/>
  <c r="Q216" i="1"/>
  <c r="P216" i="1"/>
  <c r="O216" i="1"/>
  <c r="N216" i="1"/>
  <c r="D216" i="1"/>
  <c r="T216" i="8" s="1"/>
  <c r="X216" i="8" s="1"/>
  <c r="V215" i="1"/>
  <c r="U215" i="1"/>
  <c r="T215" i="1"/>
  <c r="S215" i="1"/>
  <c r="R215" i="1"/>
  <c r="Q215" i="1"/>
  <c r="P215" i="1"/>
  <c r="O215" i="1"/>
  <c r="N215" i="1"/>
  <c r="D215" i="1"/>
  <c r="T215" i="8" s="1"/>
  <c r="X215" i="8" s="1"/>
  <c r="V214" i="1"/>
  <c r="U214" i="1"/>
  <c r="T214" i="1"/>
  <c r="S214" i="1"/>
  <c r="R214" i="1"/>
  <c r="Q214" i="1"/>
  <c r="P214" i="1"/>
  <c r="O214" i="1"/>
  <c r="N214" i="1"/>
  <c r="D214" i="1"/>
  <c r="T214" i="8" s="1"/>
  <c r="X214" i="8" s="1"/>
  <c r="V213" i="1"/>
  <c r="U213" i="1"/>
  <c r="T213" i="1"/>
  <c r="S213" i="1"/>
  <c r="R213" i="1"/>
  <c r="Q213" i="1"/>
  <c r="P213" i="1"/>
  <c r="O213" i="1"/>
  <c r="N213" i="1"/>
  <c r="D213" i="1"/>
  <c r="T213" i="8" s="1"/>
  <c r="X213" i="8" s="1"/>
  <c r="V212" i="1"/>
  <c r="U212" i="1"/>
  <c r="T212" i="1"/>
  <c r="S212" i="1"/>
  <c r="R212" i="1"/>
  <c r="Q212" i="1"/>
  <c r="P212" i="1"/>
  <c r="O212" i="1"/>
  <c r="N212" i="1"/>
  <c r="D212" i="1"/>
  <c r="T212" i="8" s="1"/>
  <c r="X212" i="8" s="1"/>
  <c r="V211" i="1"/>
  <c r="U211" i="1"/>
  <c r="T211" i="1"/>
  <c r="S211" i="1"/>
  <c r="R211" i="1"/>
  <c r="Q211" i="1"/>
  <c r="P211" i="1"/>
  <c r="O211" i="1"/>
  <c r="N211" i="1"/>
  <c r="D211" i="1"/>
  <c r="T211" i="8" s="1"/>
  <c r="X211" i="8" s="1"/>
  <c r="V210" i="1"/>
  <c r="U210" i="1"/>
  <c r="T210" i="1"/>
  <c r="S210" i="1"/>
  <c r="R210" i="1"/>
  <c r="Q210" i="1"/>
  <c r="P210" i="1"/>
  <c r="O210" i="1"/>
  <c r="N210" i="1"/>
  <c r="D210" i="1"/>
  <c r="T210" i="8" s="1"/>
  <c r="X210" i="8" s="1"/>
  <c r="V209" i="1"/>
  <c r="U209" i="1"/>
  <c r="T209" i="1"/>
  <c r="S209" i="1"/>
  <c r="R209" i="1"/>
  <c r="Q209" i="1"/>
  <c r="P209" i="1"/>
  <c r="V209" i="8" s="1"/>
  <c r="O209" i="1"/>
  <c r="N209" i="1"/>
  <c r="W209" i="8" s="1"/>
  <c r="D209" i="1"/>
  <c r="T209" i="8" s="1"/>
  <c r="X209" i="8" s="1"/>
  <c r="V208" i="1"/>
  <c r="U208" i="1"/>
  <c r="T208" i="1"/>
  <c r="S208" i="1"/>
  <c r="R208" i="1"/>
  <c r="AM208" i="8" s="1"/>
  <c r="AO208" i="8" s="1"/>
  <c r="Q208" i="1"/>
  <c r="AF208" i="8" s="1"/>
  <c r="P208" i="1"/>
  <c r="V208" i="8" s="1"/>
  <c r="O208" i="1"/>
  <c r="N208" i="1"/>
  <c r="D208" i="1"/>
  <c r="T208" i="8" s="1"/>
  <c r="X208" i="8" s="1"/>
  <c r="V207" i="1"/>
  <c r="U207" i="1"/>
  <c r="T207" i="1"/>
  <c r="S207" i="1"/>
  <c r="R207" i="1"/>
  <c r="AM207" i="8" s="1"/>
  <c r="AO207" i="8" s="1"/>
  <c r="Q207" i="1"/>
  <c r="AF207" i="8" s="1"/>
  <c r="P207" i="1"/>
  <c r="V207" i="8" s="1"/>
  <c r="O207" i="1"/>
  <c r="N207" i="1"/>
  <c r="D207" i="1"/>
  <c r="T207" i="8" s="1"/>
  <c r="X207" i="8" s="1"/>
  <c r="V206" i="1"/>
  <c r="U206" i="1"/>
  <c r="T206" i="1"/>
  <c r="S206" i="1"/>
  <c r="R206" i="1"/>
  <c r="AM206" i="8" s="1"/>
  <c r="AO206" i="8" s="1"/>
  <c r="Q206" i="1"/>
  <c r="AF206" i="8" s="1"/>
  <c r="P206" i="1"/>
  <c r="V206" i="8" s="1"/>
  <c r="O206" i="1"/>
  <c r="N206" i="1"/>
  <c r="D206" i="1"/>
  <c r="T206" i="8" s="1"/>
  <c r="X206" i="8" s="1"/>
  <c r="V205" i="1"/>
  <c r="U205" i="1"/>
  <c r="T205" i="1"/>
  <c r="S205" i="1"/>
  <c r="R205" i="1"/>
  <c r="AM205" i="8" s="1"/>
  <c r="AO205" i="8" s="1"/>
  <c r="Q205" i="1"/>
  <c r="AF205" i="8" s="1"/>
  <c r="P205" i="1"/>
  <c r="V205" i="8" s="1"/>
  <c r="O205" i="1"/>
  <c r="N205" i="1"/>
  <c r="D205" i="1"/>
  <c r="T205" i="8" s="1"/>
  <c r="X205" i="8" s="1"/>
  <c r="V204" i="1"/>
  <c r="U204" i="1"/>
  <c r="T204" i="1"/>
  <c r="S204" i="1"/>
  <c r="R204" i="1"/>
  <c r="AM204" i="8" s="1"/>
  <c r="AO204" i="8" s="1"/>
  <c r="Q204" i="1"/>
  <c r="AF204" i="8" s="1"/>
  <c r="P204" i="1"/>
  <c r="V204" i="8" s="1"/>
  <c r="O204" i="1"/>
  <c r="N204" i="1"/>
  <c r="D204" i="1"/>
  <c r="T204" i="8" s="1"/>
  <c r="X204" i="8" s="1"/>
  <c r="V203" i="1"/>
  <c r="U203" i="1"/>
  <c r="T203" i="1"/>
  <c r="S203" i="1"/>
  <c r="R203" i="1"/>
  <c r="AM203" i="8" s="1"/>
  <c r="AO203" i="8" s="1"/>
  <c r="Q203" i="1"/>
  <c r="AF203" i="8" s="1"/>
  <c r="P203" i="1"/>
  <c r="V203" i="8" s="1"/>
  <c r="O203" i="1"/>
  <c r="N203" i="1"/>
  <c r="D203" i="1"/>
  <c r="T203" i="8" s="1"/>
  <c r="X203" i="8" s="1"/>
  <c r="V202" i="1"/>
  <c r="U202" i="1"/>
  <c r="T202" i="1"/>
  <c r="S202" i="1"/>
  <c r="R202" i="1"/>
  <c r="AM202" i="8" s="1"/>
  <c r="AO202" i="8" s="1"/>
  <c r="Q202" i="1"/>
  <c r="AF202" i="8" s="1"/>
  <c r="P202" i="1"/>
  <c r="V202" i="8" s="1"/>
  <c r="O202" i="1"/>
  <c r="N202" i="1"/>
  <c r="D202" i="1"/>
  <c r="T202" i="8" s="1"/>
  <c r="X202" i="8" s="1"/>
  <c r="V201" i="1"/>
  <c r="U201" i="1"/>
  <c r="T201" i="1"/>
  <c r="S201" i="1"/>
  <c r="R201" i="1"/>
  <c r="AM201" i="8" s="1"/>
  <c r="AO201" i="8" s="1"/>
  <c r="Q201" i="1"/>
  <c r="AF201" i="8" s="1"/>
  <c r="P201" i="1"/>
  <c r="V201" i="8" s="1"/>
  <c r="O201" i="1"/>
  <c r="N201" i="1"/>
  <c r="D201" i="1"/>
  <c r="T201" i="8" s="1"/>
  <c r="X201" i="8" s="1"/>
  <c r="V200" i="1"/>
  <c r="U200" i="1"/>
  <c r="T200" i="1"/>
  <c r="S200" i="1"/>
  <c r="R200" i="1"/>
  <c r="AM200" i="8" s="1"/>
  <c r="AO200" i="8" s="1"/>
  <c r="Q200" i="1"/>
  <c r="AF200" i="8" s="1"/>
  <c r="P200" i="1"/>
  <c r="V200" i="8" s="1"/>
  <c r="O200" i="1"/>
  <c r="N200" i="1"/>
  <c r="D200" i="1"/>
  <c r="T200" i="8" s="1"/>
  <c r="X200" i="8" s="1"/>
  <c r="V199" i="1"/>
  <c r="U199" i="1"/>
  <c r="T199" i="1"/>
  <c r="S199" i="1"/>
  <c r="R199" i="1"/>
  <c r="AM199" i="8" s="1"/>
  <c r="AO199" i="8" s="1"/>
  <c r="Q199" i="1"/>
  <c r="AF199" i="8" s="1"/>
  <c r="P199" i="1"/>
  <c r="V199" i="8" s="1"/>
  <c r="O199" i="1"/>
  <c r="N199" i="1"/>
  <c r="D199" i="1"/>
  <c r="T199" i="8" s="1"/>
  <c r="X199" i="8" s="1"/>
  <c r="V198" i="1"/>
  <c r="U198" i="1"/>
  <c r="T198" i="1"/>
  <c r="S198" i="1"/>
  <c r="R198" i="1"/>
  <c r="AM198" i="8" s="1"/>
  <c r="AO198" i="8" s="1"/>
  <c r="Q198" i="1"/>
  <c r="AF198" i="8" s="1"/>
  <c r="P198" i="1"/>
  <c r="V198" i="8" s="1"/>
  <c r="O198" i="1"/>
  <c r="N198" i="1"/>
  <c r="D198" i="1"/>
  <c r="T198" i="8" s="1"/>
  <c r="X198" i="8" s="1"/>
  <c r="V197" i="1"/>
  <c r="U197" i="1"/>
  <c r="T197" i="1"/>
  <c r="S197" i="1"/>
  <c r="R197" i="1"/>
  <c r="AM197" i="8" s="1"/>
  <c r="AO197" i="8" s="1"/>
  <c r="Q197" i="1"/>
  <c r="AF197" i="8" s="1"/>
  <c r="P197" i="1"/>
  <c r="V197" i="8" s="1"/>
  <c r="O197" i="1"/>
  <c r="N197" i="1"/>
  <c r="D197" i="1"/>
  <c r="T197" i="8" s="1"/>
  <c r="X197" i="8" s="1"/>
  <c r="V196" i="1"/>
  <c r="U196" i="1"/>
  <c r="T196" i="1"/>
  <c r="S196" i="1"/>
  <c r="R196" i="1"/>
  <c r="AM196" i="8" s="1"/>
  <c r="AO196" i="8" s="1"/>
  <c r="Q196" i="1"/>
  <c r="AF196" i="8" s="1"/>
  <c r="P196" i="1"/>
  <c r="V196" i="8" s="1"/>
  <c r="O196" i="1"/>
  <c r="N196" i="1"/>
  <c r="D196" i="1"/>
  <c r="T196" i="8" s="1"/>
  <c r="X196" i="8" s="1"/>
  <c r="V195" i="1"/>
  <c r="U195" i="1"/>
  <c r="T195" i="1"/>
  <c r="S195" i="1"/>
  <c r="R195" i="1"/>
  <c r="AM195" i="8" s="1"/>
  <c r="AO195" i="8" s="1"/>
  <c r="Q195" i="1"/>
  <c r="AF195" i="8" s="1"/>
  <c r="P195" i="1"/>
  <c r="V195" i="8" s="1"/>
  <c r="O195" i="1"/>
  <c r="N195" i="1"/>
  <c r="D195" i="1"/>
  <c r="T195" i="8" s="1"/>
  <c r="X195" i="8" s="1"/>
  <c r="V194" i="1"/>
  <c r="U194" i="1"/>
  <c r="T194" i="1"/>
  <c r="S194" i="1"/>
  <c r="R194" i="1"/>
  <c r="AM194" i="8" s="1"/>
  <c r="AO194" i="8" s="1"/>
  <c r="Q194" i="1"/>
  <c r="AF194" i="8" s="1"/>
  <c r="P194" i="1"/>
  <c r="V194" i="8" s="1"/>
  <c r="O194" i="1"/>
  <c r="N194" i="1"/>
  <c r="D194" i="1"/>
  <c r="T194" i="8" s="1"/>
  <c r="X194" i="8" s="1"/>
  <c r="V193" i="1"/>
  <c r="U193" i="1"/>
  <c r="T193" i="1"/>
  <c r="S193" i="1"/>
  <c r="R193" i="1"/>
  <c r="Q193" i="1"/>
  <c r="P193" i="1"/>
  <c r="O193" i="1"/>
  <c r="N193" i="1"/>
  <c r="D193" i="1"/>
  <c r="T193" i="8" s="1"/>
  <c r="X193" i="8" s="1"/>
  <c r="V192" i="1"/>
  <c r="U192" i="1"/>
  <c r="T192" i="1"/>
  <c r="S192" i="1"/>
  <c r="R192" i="1"/>
  <c r="Q192" i="1"/>
  <c r="P192" i="1"/>
  <c r="O192" i="1"/>
  <c r="N192" i="1"/>
  <c r="D192" i="1"/>
  <c r="T192" i="8" s="1"/>
  <c r="X192" i="8" s="1"/>
  <c r="V191" i="1"/>
  <c r="U191" i="1"/>
  <c r="T191" i="1"/>
  <c r="S191" i="1"/>
  <c r="R191" i="1"/>
  <c r="Q191" i="1"/>
  <c r="P191" i="1"/>
  <c r="O191" i="1"/>
  <c r="N191" i="1"/>
  <c r="D191" i="1"/>
  <c r="T191" i="8" s="1"/>
  <c r="X191" i="8" s="1"/>
  <c r="V190" i="1"/>
  <c r="U190" i="1"/>
  <c r="T190" i="1"/>
  <c r="S190" i="1"/>
  <c r="R190" i="1"/>
  <c r="Q190" i="1"/>
  <c r="P190" i="1"/>
  <c r="O190" i="1"/>
  <c r="N190" i="1"/>
  <c r="D190" i="1"/>
  <c r="T190" i="8" s="1"/>
  <c r="X190" i="8" s="1"/>
  <c r="V189" i="1"/>
  <c r="U189" i="1"/>
  <c r="T189" i="1"/>
  <c r="S189" i="1"/>
  <c r="R189" i="1"/>
  <c r="Q189" i="1"/>
  <c r="P189" i="1"/>
  <c r="O189" i="1"/>
  <c r="N189" i="1"/>
  <c r="D189" i="1"/>
  <c r="T189" i="8" s="1"/>
  <c r="X189" i="8" s="1"/>
  <c r="V188" i="1"/>
  <c r="U188" i="1"/>
  <c r="T188" i="1"/>
  <c r="S188" i="1"/>
  <c r="R188" i="1"/>
  <c r="Q188" i="1"/>
  <c r="P188" i="1"/>
  <c r="O188" i="1"/>
  <c r="N188" i="1"/>
  <c r="D188" i="1"/>
  <c r="T188" i="8" s="1"/>
  <c r="X188" i="8" s="1"/>
  <c r="V187" i="1"/>
  <c r="U187" i="1"/>
  <c r="T187" i="1"/>
  <c r="S187" i="1"/>
  <c r="R187" i="1"/>
  <c r="Q187" i="1"/>
  <c r="P187" i="1"/>
  <c r="O187" i="1"/>
  <c r="N187" i="1"/>
  <c r="D187" i="1"/>
  <c r="T187" i="8" s="1"/>
  <c r="X187" i="8" s="1"/>
  <c r="V186" i="1"/>
  <c r="U186" i="1"/>
  <c r="T186" i="1"/>
  <c r="S186" i="1"/>
  <c r="R186" i="1"/>
  <c r="Q186" i="1"/>
  <c r="P186" i="1"/>
  <c r="O186" i="1"/>
  <c r="N186" i="1"/>
  <c r="D186" i="1"/>
  <c r="T186" i="8" s="1"/>
  <c r="X186" i="8" s="1"/>
  <c r="V185" i="1"/>
  <c r="U185" i="1"/>
  <c r="T185" i="1"/>
  <c r="S185" i="1"/>
  <c r="R185" i="1"/>
  <c r="Q185" i="1"/>
  <c r="P185" i="1"/>
  <c r="O185" i="1"/>
  <c r="N185" i="1"/>
  <c r="D185" i="1"/>
  <c r="T185" i="8" s="1"/>
  <c r="X185" i="8" s="1"/>
  <c r="V184" i="1"/>
  <c r="U184" i="1"/>
  <c r="T184" i="1"/>
  <c r="S184" i="1"/>
  <c r="R184" i="1"/>
  <c r="Q184" i="1"/>
  <c r="P184" i="1"/>
  <c r="O184" i="1"/>
  <c r="N184" i="1"/>
  <c r="D184" i="1"/>
  <c r="T184" i="8" s="1"/>
  <c r="X184" i="8" s="1"/>
  <c r="V183" i="1"/>
  <c r="U183" i="1"/>
  <c r="T183" i="1"/>
  <c r="S183" i="1"/>
  <c r="R183" i="1"/>
  <c r="Q183" i="1"/>
  <c r="P183" i="1"/>
  <c r="O183" i="1"/>
  <c r="N183" i="1"/>
  <c r="D183" i="1"/>
  <c r="T183" i="8" s="1"/>
  <c r="X183" i="8" s="1"/>
  <c r="V182" i="1"/>
  <c r="U182" i="1"/>
  <c r="T182" i="1"/>
  <c r="S182" i="1"/>
  <c r="R182" i="1"/>
  <c r="Q182" i="1"/>
  <c r="P182" i="1"/>
  <c r="O182" i="1"/>
  <c r="N182" i="1"/>
  <c r="D182" i="1"/>
  <c r="T182" i="8" s="1"/>
  <c r="X182" i="8" s="1"/>
  <c r="V181" i="1"/>
  <c r="U181" i="1"/>
  <c r="T181" i="1"/>
  <c r="S181" i="1"/>
  <c r="R181" i="1"/>
  <c r="Q181" i="1"/>
  <c r="P181" i="1"/>
  <c r="O181" i="1"/>
  <c r="N181" i="1"/>
  <c r="D181" i="1"/>
  <c r="T181" i="8" s="1"/>
  <c r="X181" i="8" s="1"/>
  <c r="V180" i="1"/>
  <c r="U180" i="1"/>
  <c r="T180" i="1"/>
  <c r="S180" i="1"/>
  <c r="R180" i="1"/>
  <c r="Q180" i="1"/>
  <c r="P180" i="1"/>
  <c r="O180" i="1"/>
  <c r="N180" i="1"/>
  <c r="D180" i="1"/>
  <c r="T180" i="8" s="1"/>
  <c r="X180" i="8" s="1"/>
  <c r="V179" i="1"/>
  <c r="U179" i="1"/>
  <c r="T179" i="1"/>
  <c r="S179" i="1"/>
  <c r="R179" i="1"/>
  <c r="Q179" i="1"/>
  <c r="P179" i="1"/>
  <c r="O179" i="1"/>
  <c r="N179" i="1"/>
  <c r="D179" i="1"/>
  <c r="T179" i="8" s="1"/>
  <c r="X179" i="8" s="1"/>
  <c r="V178" i="1"/>
  <c r="U178" i="1"/>
  <c r="T178" i="1"/>
  <c r="S178" i="1"/>
  <c r="R178" i="1"/>
  <c r="Q178" i="1"/>
  <c r="P178" i="1"/>
  <c r="O178" i="1"/>
  <c r="N178" i="1"/>
  <c r="D178" i="1"/>
  <c r="T178" i="8" s="1"/>
  <c r="X178" i="8" s="1"/>
  <c r="V177" i="1"/>
  <c r="U177" i="1"/>
  <c r="T177" i="1"/>
  <c r="S177" i="1"/>
  <c r="R177" i="1"/>
  <c r="Q177" i="1"/>
  <c r="P177" i="1"/>
  <c r="O177" i="1"/>
  <c r="N177" i="1"/>
  <c r="D177" i="1"/>
  <c r="V176" i="1"/>
  <c r="U176" i="1"/>
  <c r="T176" i="1"/>
  <c r="S176" i="1"/>
  <c r="R176" i="1"/>
  <c r="Q176" i="1"/>
  <c r="P176" i="1"/>
  <c r="O176" i="1"/>
  <c r="N176" i="1"/>
  <c r="D176" i="1"/>
  <c r="V175" i="1"/>
  <c r="U175" i="1"/>
  <c r="T175" i="1"/>
  <c r="S175" i="1"/>
  <c r="R175" i="1"/>
  <c r="Q175" i="1"/>
  <c r="P175" i="1"/>
  <c r="O175" i="1"/>
  <c r="N175" i="1"/>
  <c r="D175" i="1"/>
  <c r="V174" i="1"/>
  <c r="U174" i="1"/>
  <c r="T174" i="1"/>
  <c r="S174" i="1"/>
  <c r="R174" i="1"/>
  <c r="Q174" i="1"/>
  <c r="P174" i="1"/>
  <c r="O174" i="1"/>
  <c r="N174" i="1"/>
  <c r="D174" i="1"/>
  <c r="V173" i="1"/>
  <c r="U173" i="1"/>
  <c r="T173" i="1"/>
  <c r="S173" i="1"/>
  <c r="R173" i="1"/>
  <c r="Q173" i="1"/>
  <c r="P173" i="1"/>
  <c r="O173" i="1"/>
  <c r="N173" i="1"/>
  <c r="D173" i="1"/>
  <c r="V172" i="1"/>
  <c r="U172" i="1"/>
  <c r="T172" i="1"/>
  <c r="S172" i="1"/>
  <c r="R172" i="1"/>
  <c r="Q172" i="1"/>
  <c r="P172" i="1"/>
  <c r="O172" i="1"/>
  <c r="N172" i="1"/>
  <c r="D172" i="1"/>
  <c r="V171" i="1"/>
  <c r="U171" i="1"/>
  <c r="T171" i="1"/>
  <c r="S171" i="1"/>
  <c r="R171" i="1"/>
  <c r="Q171" i="1"/>
  <c r="P171" i="1"/>
  <c r="O171" i="1"/>
  <c r="N171" i="1"/>
  <c r="D171" i="1"/>
  <c r="V170" i="1"/>
  <c r="U170" i="1"/>
  <c r="T170" i="1"/>
  <c r="S170" i="1"/>
  <c r="R170" i="1"/>
  <c r="Q170" i="1"/>
  <c r="P170" i="1"/>
  <c r="O170" i="1"/>
  <c r="N170" i="1"/>
  <c r="D170" i="1"/>
  <c r="V169" i="1"/>
  <c r="U169" i="1"/>
  <c r="T169" i="1"/>
  <c r="S169" i="1"/>
  <c r="R169" i="1"/>
  <c r="Q169" i="1"/>
  <c r="P169" i="1"/>
  <c r="O169" i="1"/>
  <c r="N169" i="1"/>
  <c r="D169" i="1"/>
  <c r="V168" i="1"/>
  <c r="U168" i="1"/>
  <c r="T168" i="1"/>
  <c r="S168" i="1"/>
  <c r="R168" i="1"/>
  <c r="Q168" i="1"/>
  <c r="P168" i="1"/>
  <c r="O168" i="1"/>
  <c r="N168" i="1"/>
  <c r="D168" i="1"/>
  <c r="T168" i="8" s="1"/>
  <c r="X168" i="8" s="1"/>
  <c r="V167" i="1"/>
  <c r="U167" i="1"/>
  <c r="T167" i="1"/>
  <c r="S167" i="1"/>
  <c r="R167" i="1"/>
  <c r="Q167" i="1"/>
  <c r="P167" i="1"/>
  <c r="O167" i="1"/>
  <c r="N167" i="1"/>
  <c r="D167" i="1"/>
  <c r="T167" i="8" s="1"/>
  <c r="X167" i="8" s="1"/>
  <c r="V166" i="1"/>
  <c r="U166" i="1"/>
  <c r="T166" i="1"/>
  <c r="S166" i="1"/>
  <c r="R166" i="1"/>
  <c r="Q166" i="1"/>
  <c r="P166" i="1"/>
  <c r="O166" i="1"/>
  <c r="N166" i="1"/>
  <c r="D166" i="1"/>
  <c r="T166" i="8" s="1"/>
  <c r="X166" i="8" s="1"/>
  <c r="V165" i="1"/>
  <c r="U165" i="1"/>
  <c r="T165" i="1"/>
  <c r="S165" i="1"/>
  <c r="R165" i="1"/>
  <c r="Q165" i="1"/>
  <c r="P165" i="1"/>
  <c r="O165" i="1"/>
  <c r="N165" i="1"/>
  <c r="D165" i="1"/>
  <c r="T165" i="8" s="1"/>
  <c r="X165" i="8" s="1"/>
  <c r="V164" i="1"/>
  <c r="U164" i="1"/>
  <c r="T164" i="1"/>
  <c r="S164" i="1"/>
  <c r="R164" i="1"/>
  <c r="Q164" i="1"/>
  <c r="P164" i="1"/>
  <c r="O164" i="1"/>
  <c r="N164" i="1"/>
  <c r="D164" i="1"/>
  <c r="T164" i="8" s="1"/>
  <c r="X164" i="8" s="1"/>
  <c r="V163" i="1"/>
  <c r="U163" i="1"/>
  <c r="T163" i="1"/>
  <c r="S163" i="1"/>
  <c r="R163" i="1"/>
  <c r="Q163" i="1"/>
  <c r="P163" i="1"/>
  <c r="O163" i="1"/>
  <c r="N163" i="1"/>
  <c r="D163" i="1"/>
  <c r="T163" i="8" s="1"/>
  <c r="X163" i="8" s="1"/>
  <c r="V162" i="1"/>
  <c r="U162" i="1"/>
  <c r="T162" i="1"/>
  <c r="S162" i="1"/>
  <c r="R162" i="1"/>
  <c r="Q162" i="1"/>
  <c r="P162" i="1"/>
  <c r="O162" i="1"/>
  <c r="N162" i="1"/>
  <c r="D162" i="1"/>
  <c r="T162" i="8" s="1"/>
  <c r="X162" i="8" s="1"/>
  <c r="V161" i="1"/>
  <c r="U161" i="1"/>
  <c r="T161" i="1"/>
  <c r="S161" i="1"/>
  <c r="R161" i="1"/>
  <c r="Q161" i="1"/>
  <c r="P161" i="1"/>
  <c r="O161" i="1"/>
  <c r="N161" i="1"/>
  <c r="D161" i="1"/>
  <c r="T161" i="8" s="1"/>
  <c r="X161" i="8" s="1"/>
  <c r="V160" i="1"/>
  <c r="U160" i="1"/>
  <c r="T160" i="1"/>
  <c r="S160" i="1"/>
  <c r="R160" i="1"/>
  <c r="Q160" i="1"/>
  <c r="P160" i="1"/>
  <c r="O160" i="1"/>
  <c r="N160" i="1"/>
  <c r="D160" i="1"/>
  <c r="T160" i="8" s="1"/>
  <c r="X160" i="8" s="1"/>
  <c r="V159" i="1"/>
  <c r="U159" i="1"/>
  <c r="T159" i="1"/>
  <c r="S159" i="1"/>
  <c r="R159" i="1"/>
  <c r="Q159" i="1"/>
  <c r="P159" i="1"/>
  <c r="O159" i="1"/>
  <c r="N159" i="1"/>
  <c r="D159" i="1"/>
  <c r="T159" i="8" s="1"/>
  <c r="X159" i="8" s="1"/>
  <c r="V158" i="1"/>
  <c r="U158" i="1"/>
  <c r="T158" i="1"/>
  <c r="S158" i="1"/>
  <c r="R158" i="1"/>
  <c r="Q158" i="1"/>
  <c r="P158" i="1"/>
  <c r="O158" i="1"/>
  <c r="N158" i="1"/>
  <c r="D158" i="1"/>
  <c r="T158" i="8" s="1"/>
  <c r="X158" i="8" s="1"/>
  <c r="V157" i="1"/>
  <c r="U157" i="1"/>
  <c r="T157" i="1"/>
  <c r="S157" i="1"/>
  <c r="R157" i="1"/>
  <c r="Q157" i="1"/>
  <c r="P157" i="1"/>
  <c r="O157" i="1"/>
  <c r="N157" i="1"/>
  <c r="D157" i="1"/>
  <c r="T157" i="8" s="1"/>
  <c r="X157" i="8" s="1"/>
  <c r="V156" i="1"/>
  <c r="U156" i="1"/>
  <c r="T156" i="1"/>
  <c r="S156" i="1"/>
  <c r="R156" i="1"/>
  <c r="Q156" i="1"/>
  <c r="P156" i="1"/>
  <c r="O156" i="1"/>
  <c r="N156" i="1"/>
  <c r="D156" i="1"/>
  <c r="T156" i="8" s="1"/>
  <c r="X156" i="8" s="1"/>
  <c r="V155" i="1"/>
  <c r="U155" i="1"/>
  <c r="T155" i="1"/>
  <c r="S155" i="1"/>
  <c r="R155" i="1"/>
  <c r="AM155" i="8" s="1"/>
  <c r="AO155" i="8" s="1"/>
  <c r="Q155" i="1"/>
  <c r="AF155" i="8" s="1"/>
  <c r="P155" i="1"/>
  <c r="V155" i="8" s="1"/>
  <c r="O155" i="1"/>
  <c r="N155" i="1"/>
  <c r="D155" i="1"/>
  <c r="T155" i="8" s="1"/>
  <c r="X155" i="8" s="1"/>
  <c r="V154" i="1"/>
  <c r="U154" i="1"/>
  <c r="T154" i="1"/>
  <c r="S154" i="1"/>
  <c r="R154" i="1"/>
  <c r="AM154" i="8" s="1"/>
  <c r="AO154" i="8" s="1"/>
  <c r="Q154" i="1"/>
  <c r="AF154" i="8" s="1"/>
  <c r="P154" i="1"/>
  <c r="V154" i="8" s="1"/>
  <c r="O154" i="1"/>
  <c r="N154" i="1"/>
  <c r="D154" i="1"/>
  <c r="T154" i="8" s="1"/>
  <c r="X154" i="8" s="1"/>
  <c r="V153" i="1"/>
  <c r="U153" i="1"/>
  <c r="T153" i="1"/>
  <c r="S153" i="1"/>
  <c r="R153" i="1"/>
  <c r="AM153" i="8" s="1"/>
  <c r="AO153" i="8" s="1"/>
  <c r="Q153" i="1"/>
  <c r="AF153" i="8" s="1"/>
  <c r="P153" i="1"/>
  <c r="V153" i="8" s="1"/>
  <c r="O153" i="1"/>
  <c r="N153" i="1"/>
  <c r="D153" i="1"/>
  <c r="T153" i="8" s="1"/>
  <c r="X153" i="8" s="1"/>
  <c r="V152" i="1"/>
  <c r="U152" i="1"/>
  <c r="T152" i="1"/>
  <c r="S152" i="1"/>
  <c r="R152" i="1"/>
  <c r="AM152" i="8" s="1"/>
  <c r="AO152" i="8" s="1"/>
  <c r="Q152" i="1"/>
  <c r="AF152" i="8" s="1"/>
  <c r="P152" i="1"/>
  <c r="V152" i="8" s="1"/>
  <c r="O152" i="1"/>
  <c r="N152" i="1"/>
  <c r="D152" i="1"/>
  <c r="T152" i="8" s="1"/>
  <c r="X152" i="8" s="1"/>
  <c r="V151" i="1"/>
  <c r="U151" i="1"/>
  <c r="T151" i="1"/>
  <c r="S151" i="1"/>
  <c r="R151" i="1"/>
  <c r="AM151" i="8" s="1"/>
  <c r="AO151" i="8" s="1"/>
  <c r="Q151" i="1"/>
  <c r="AF151" i="8" s="1"/>
  <c r="P151" i="1"/>
  <c r="V151" i="8" s="1"/>
  <c r="O151" i="1"/>
  <c r="N151" i="1"/>
  <c r="D151" i="1"/>
  <c r="T151" i="8" s="1"/>
  <c r="X151" i="8" s="1"/>
  <c r="V150" i="1"/>
  <c r="U150" i="1"/>
  <c r="T150" i="1"/>
  <c r="S150" i="1"/>
  <c r="R150" i="1"/>
  <c r="AM150" i="8" s="1"/>
  <c r="AO150" i="8" s="1"/>
  <c r="Q150" i="1"/>
  <c r="AF150" i="8" s="1"/>
  <c r="P150" i="1"/>
  <c r="V150" i="8" s="1"/>
  <c r="O150" i="1"/>
  <c r="N150" i="1"/>
  <c r="D150" i="1"/>
  <c r="T150" i="8" s="1"/>
  <c r="X150" i="8" s="1"/>
  <c r="V149" i="1"/>
  <c r="U149" i="1"/>
  <c r="T149" i="1"/>
  <c r="S149" i="1"/>
  <c r="R149" i="1"/>
  <c r="AM149" i="8" s="1"/>
  <c r="AO149" i="8" s="1"/>
  <c r="Q149" i="1"/>
  <c r="AF149" i="8" s="1"/>
  <c r="P149" i="1"/>
  <c r="V149" i="8" s="1"/>
  <c r="O149" i="1"/>
  <c r="N149" i="1"/>
  <c r="D149" i="1"/>
  <c r="T149" i="8" s="1"/>
  <c r="X149" i="8" s="1"/>
  <c r="V148" i="1"/>
  <c r="U148" i="1"/>
  <c r="T148" i="1"/>
  <c r="S148" i="1"/>
  <c r="R148" i="1"/>
  <c r="AM148" i="8" s="1"/>
  <c r="AO148" i="8" s="1"/>
  <c r="Q148" i="1"/>
  <c r="AF148" i="8" s="1"/>
  <c r="P148" i="1"/>
  <c r="V148" i="8" s="1"/>
  <c r="O148" i="1"/>
  <c r="N148" i="1"/>
  <c r="D148" i="1"/>
  <c r="T148" i="8" s="1"/>
  <c r="X148" i="8" s="1"/>
  <c r="V147" i="1"/>
  <c r="U147" i="1"/>
  <c r="T147" i="1"/>
  <c r="S147" i="1"/>
  <c r="R147" i="1"/>
  <c r="AM147" i="8" s="1"/>
  <c r="AO147" i="8" s="1"/>
  <c r="Q147" i="1"/>
  <c r="AF147" i="8" s="1"/>
  <c r="P147" i="1"/>
  <c r="V147" i="8" s="1"/>
  <c r="O147" i="1"/>
  <c r="N147" i="1"/>
  <c r="D147" i="1"/>
  <c r="T147" i="8" s="1"/>
  <c r="X147" i="8" s="1"/>
  <c r="V146" i="1"/>
  <c r="U146" i="1"/>
  <c r="T146" i="1"/>
  <c r="S146" i="1"/>
  <c r="R146" i="1"/>
  <c r="AM146" i="8" s="1"/>
  <c r="AO146" i="8" s="1"/>
  <c r="Q146" i="1"/>
  <c r="AF146" i="8" s="1"/>
  <c r="P146" i="1"/>
  <c r="V146" i="8" s="1"/>
  <c r="O146" i="1"/>
  <c r="N146" i="1"/>
  <c r="D146" i="1"/>
  <c r="T146" i="8" s="1"/>
  <c r="X146" i="8" s="1"/>
  <c r="V145" i="1"/>
  <c r="U145" i="1"/>
  <c r="T145" i="1"/>
  <c r="S145" i="1"/>
  <c r="R145" i="1"/>
  <c r="AM145" i="8" s="1"/>
  <c r="AO145" i="8" s="1"/>
  <c r="Q145" i="1"/>
  <c r="AF145" i="8" s="1"/>
  <c r="P145" i="1"/>
  <c r="V145" i="8" s="1"/>
  <c r="O145" i="1"/>
  <c r="N145" i="1"/>
  <c r="D145" i="1"/>
  <c r="T145" i="8" s="1"/>
  <c r="X145" i="8" s="1"/>
  <c r="V144" i="1"/>
  <c r="U144" i="1"/>
  <c r="T144" i="1"/>
  <c r="S144" i="1"/>
  <c r="R144" i="1"/>
  <c r="AM144" i="8" s="1"/>
  <c r="AO144" i="8" s="1"/>
  <c r="Q144" i="1"/>
  <c r="AF144" i="8" s="1"/>
  <c r="P144" i="1"/>
  <c r="V144" i="8" s="1"/>
  <c r="O144" i="1"/>
  <c r="N144" i="1"/>
  <c r="D144" i="1"/>
  <c r="T144" i="8" s="1"/>
  <c r="X144" i="8" s="1"/>
  <c r="V143" i="1"/>
  <c r="U143" i="1"/>
  <c r="T143" i="1"/>
  <c r="S143" i="1"/>
  <c r="R143" i="1"/>
  <c r="AM143" i="8" s="1"/>
  <c r="AO143" i="8" s="1"/>
  <c r="Q143" i="1"/>
  <c r="AF143" i="8" s="1"/>
  <c r="P143" i="1"/>
  <c r="V143" i="8" s="1"/>
  <c r="O143" i="1"/>
  <c r="N143" i="1"/>
  <c r="D143" i="1"/>
  <c r="T143" i="8" s="1"/>
  <c r="X143" i="8" s="1"/>
  <c r="V142" i="1"/>
  <c r="U142" i="1"/>
  <c r="T142" i="1"/>
  <c r="S142" i="1"/>
  <c r="R142" i="1"/>
  <c r="AM142" i="8" s="1"/>
  <c r="AO142" i="8" s="1"/>
  <c r="Q142" i="1"/>
  <c r="AF142" i="8" s="1"/>
  <c r="P142" i="1"/>
  <c r="V142" i="8" s="1"/>
  <c r="O142" i="1"/>
  <c r="N142" i="1"/>
  <c r="D142" i="1"/>
  <c r="T142" i="8" s="1"/>
  <c r="X142" i="8" s="1"/>
  <c r="V141" i="1"/>
  <c r="U141" i="1"/>
  <c r="T141" i="1"/>
  <c r="S141" i="1"/>
  <c r="R141" i="1"/>
  <c r="AM141" i="8" s="1"/>
  <c r="AO141" i="8" s="1"/>
  <c r="Q141" i="1"/>
  <c r="AF141" i="8" s="1"/>
  <c r="P141" i="1"/>
  <c r="V141" i="8" s="1"/>
  <c r="O141" i="1"/>
  <c r="N141" i="1"/>
  <c r="D141" i="1"/>
  <c r="T141" i="8" s="1"/>
  <c r="X141" i="8" s="1"/>
  <c r="V140" i="1"/>
  <c r="U140" i="1"/>
  <c r="T140" i="1"/>
  <c r="S140" i="1"/>
  <c r="R140" i="1"/>
  <c r="AM140" i="8" s="1"/>
  <c r="AO140" i="8" s="1"/>
  <c r="Q140" i="1"/>
  <c r="AF140" i="8" s="1"/>
  <c r="P140" i="1"/>
  <c r="V140" i="8" s="1"/>
  <c r="O140" i="1"/>
  <c r="N140" i="1"/>
  <c r="D140" i="1"/>
  <c r="T140" i="8" s="1"/>
  <c r="X140" i="8" s="1"/>
  <c r="V139" i="1"/>
  <c r="U139" i="1"/>
  <c r="T139" i="1"/>
  <c r="S139" i="1"/>
  <c r="R139" i="1"/>
  <c r="AM139" i="8" s="1"/>
  <c r="AO139" i="8" s="1"/>
  <c r="Q139" i="1"/>
  <c r="AF139" i="8" s="1"/>
  <c r="P139" i="1"/>
  <c r="V139" i="8" s="1"/>
  <c r="O139" i="1"/>
  <c r="N139" i="1"/>
  <c r="D139" i="1"/>
  <c r="T139" i="8" s="1"/>
  <c r="X139" i="8" s="1"/>
  <c r="V138" i="1"/>
  <c r="U138" i="1"/>
  <c r="T138" i="1"/>
  <c r="S138" i="1"/>
  <c r="R138" i="1"/>
  <c r="AM138" i="8" s="1"/>
  <c r="AO138" i="8" s="1"/>
  <c r="Q138" i="1"/>
  <c r="AF138" i="8" s="1"/>
  <c r="P138" i="1"/>
  <c r="V138" i="8" s="1"/>
  <c r="O138" i="1"/>
  <c r="N138" i="1"/>
  <c r="D138" i="1"/>
  <c r="T138" i="8" s="1"/>
  <c r="X138" i="8" s="1"/>
  <c r="V137" i="1"/>
  <c r="U137" i="1"/>
  <c r="T137" i="1"/>
  <c r="S137" i="1"/>
  <c r="R137" i="1"/>
  <c r="AM137" i="8" s="1"/>
  <c r="AO137" i="8" s="1"/>
  <c r="Q137" i="1"/>
  <c r="AF137" i="8" s="1"/>
  <c r="P137" i="1"/>
  <c r="V137" i="8" s="1"/>
  <c r="O137" i="1"/>
  <c r="N137" i="1"/>
  <c r="D137" i="1"/>
  <c r="T137" i="8" s="1"/>
  <c r="X137" i="8" s="1"/>
  <c r="V136" i="1"/>
  <c r="U136" i="1"/>
  <c r="T136" i="1"/>
  <c r="S136" i="1"/>
  <c r="R136" i="1"/>
  <c r="AM136" i="8" s="1"/>
  <c r="AO136" i="8" s="1"/>
  <c r="Q136" i="1"/>
  <c r="AF136" i="8" s="1"/>
  <c r="P136" i="1"/>
  <c r="V136" i="8" s="1"/>
  <c r="O136" i="1"/>
  <c r="N136" i="1"/>
  <c r="D136" i="1"/>
  <c r="T136" i="8" s="1"/>
  <c r="X136" i="8" s="1"/>
  <c r="V135" i="1"/>
  <c r="U135" i="1"/>
  <c r="T135" i="1"/>
  <c r="S135" i="1"/>
  <c r="R135" i="1"/>
  <c r="AM135" i="8" s="1"/>
  <c r="AO135" i="8" s="1"/>
  <c r="Q135" i="1"/>
  <c r="AF135" i="8" s="1"/>
  <c r="P135" i="1"/>
  <c r="V135" i="8" s="1"/>
  <c r="O135" i="1"/>
  <c r="N135" i="1"/>
  <c r="D135" i="1"/>
  <c r="T135" i="8" s="1"/>
  <c r="X135" i="8" s="1"/>
  <c r="V134" i="1"/>
  <c r="U134" i="1"/>
  <c r="T134" i="1"/>
  <c r="S134" i="1"/>
  <c r="R134" i="1"/>
  <c r="AM134" i="8" s="1"/>
  <c r="AO134" i="8" s="1"/>
  <c r="Q134" i="1"/>
  <c r="AF134" i="8" s="1"/>
  <c r="P134" i="1"/>
  <c r="V134" i="8" s="1"/>
  <c r="O134" i="1"/>
  <c r="N134" i="1"/>
  <c r="D134" i="1"/>
  <c r="T134" i="8" s="1"/>
  <c r="X134" i="8" s="1"/>
  <c r="V133" i="1"/>
  <c r="U133" i="1"/>
  <c r="T133" i="1"/>
  <c r="S133" i="1"/>
  <c r="R133" i="1"/>
  <c r="AM133" i="8" s="1"/>
  <c r="AO133" i="8" s="1"/>
  <c r="Q133" i="1"/>
  <c r="AF133" i="8" s="1"/>
  <c r="P133" i="1"/>
  <c r="V133" i="8" s="1"/>
  <c r="O133" i="1"/>
  <c r="N133" i="1"/>
  <c r="D133" i="1"/>
  <c r="T133" i="8" s="1"/>
  <c r="X133" i="8" s="1"/>
  <c r="V132" i="1"/>
  <c r="U132" i="1"/>
  <c r="T132" i="1"/>
  <c r="S132" i="1"/>
  <c r="R132" i="1"/>
  <c r="AM132" i="8" s="1"/>
  <c r="AO132" i="8" s="1"/>
  <c r="Q132" i="1"/>
  <c r="AF132" i="8" s="1"/>
  <c r="P132" i="1"/>
  <c r="V132" i="8" s="1"/>
  <c r="O132" i="1"/>
  <c r="N132" i="1"/>
  <c r="D132" i="1"/>
  <c r="T132" i="8" s="1"/>
  <c r="X132" i="8" s="1"/>
  <c r="V131" i="1"/>
  <c r="U131" i="1"/>
  <c r="T131" i="1"/>
  <c r="S131" i="1"/>
  <c r="R131" i="1"/>
  <c r="AM131" i="8" s="1"/>
  <c r="AO131" i="8" s="1"/>
  <c r="Q131" i="1"/>
  <c r="AF131" i="8" s="1"/>
  <c r="P131" i="1"/>
  <c r="V131" i="8" s="1"/>
  <c r="O131" i="1"/>
  <c r="N131" i="1"/>
  <c r="D131" i="1"/>
  <c r="T131" i="8" s="1"/>
  <c r="X131" i="8" s="1"/>
  <c r="V130" i="1"/>
  <c r="U130" i="1"/>
  <c r="T130" i="1"/>
  <c r="S130" i="1"/>
  <c r="R130" i="1"/>
  <c r="AM130" i="8" s="1"/>
  <c r="AO130" i="8" s="1"/>
  <c r="Q130" i="1"/>
  <c r="AF130" i="8" s="1"/>
  <c r="P130" i="1"/>
  <c r="V130" i="8" s="1"/>
  <c r="O130" i="1"/>
  <c r="N130" i="1"/>
  <c r="D130" i="1"/>
  <c r="T130" i="8" s="1"/>
  <c r="X130" i="8" s="1"/>
  <c r="V129" i="1"/>
  <c r="U129" i="1"/>
  <c r="T129" i="1"/>
  <c r="S129" i="1"/>
  <c r="R129" i="1"/>
  <c r="AM129" i="8" s="1"/>
  <c r="AO129" i="8" s="1"/>
  <c r="Q129" i="1"/>
  <c r="AF129" i="8" s="1"/>
  <c r="P129" i="1"/>
  <c r="V129" i="8" s="1"/>
  <c r="O129" i="1"/>
  <c r="N129" i="1"/>
  <c r="D129" i="1"/>
  <c r="T129" i="8" s="1"/>
  <c r="X129" i="8" s="1"/>
  <c r="V128" i="1"/>
  <c r="U128" i="1"/>
  <c r="T128" i="1"/>
  <c r="S128" i="1"/>
  <c r="R128" i="1"/>
  <c r="AM128" i="8" s="1"/>
  <c r="AO128" i="8" s="1"/>
  <c r="Q128" i="1"/>
  <c r="AF128" i="8" s="1"/>
  <c r="P128" i="1"/>
  <c r="V128" i="8" s="1"/>
  <c r="O128" i="1"/>
  <c r="N128" i="1"/>
  <c r="D128" i="1"/>
  <c r="T128" i="8" s="1"/>
  <c r="X128" i="8" s="1"/>
  <c r="V127" i="1"/>
  <c r="U127" i="1"/>
  <c r="T127" i="1"/>
  <c r="S127" i="1"/>
  <c r="R127" i="1"/>
  <c r="AM127" i="8" s="1"/>
  <c r="AO127" i="8" s="1"/>
  <c r="Q127" i="1"/>
  <c r="AF127" i="8" s="1"/>
  <c r="P127" i="1"/>
  <c r="V127" i="8" s="1"/>
  <c r="O127" i="1"/>
  <c r="N127" i="1"/>
  <c r="D127" i="1"/>
  <c r="T127" i="8" s="1"/>
  <c r="X127" i="8" s="1"/>
  <c r="V126" i="1"/>
  <c r="U126" i="1"/>
  <c r="T126" i="1"/>
  <c r="S126" i="1"/>
  <c r="R126" i="1"/>
  <c r="AM126" i="8" s="1"/>
  <c r="AO126" i="8" s="1"/>
  <c r="Q126" i="1"/>
  <c r="AF126" i="8" s="1"/>
  <c r="P126" i="1"/>
  <c r="V126" i="8" s="1"/>
  <c r="O126" i="1"/>
  <c r="N126" i="1"/>
  <c r="D126" i="1"/>
  <c r="T126" i="8" s="1"/>
  <c r="X126" i="8" s="1"/>
  <c r="V125" i="1"/>
  <c r="U125" i="1"/>
  <c r="T125" i="1"/>
  <c r="S125" i="1"/>
  <c r="R125" i="1"/>
  <c r="AM125" i="8" s="1"/>
  <c r="AO125" i="8" s="1"/>
  <c r="Q125" i="1"/>
  <c r="AF125" i="8" s="1"/>
  <c r="P125" i="1"/>
  <c r="V125" i="8" s="1"/>
  <c r="O125" i="1"/>
  <c r="N125" i="1"/>
  <c r="D125" i="1"/>
  <c r="T125" i="8" s="1"/>
  <c r="X125" i="8" s="1"/>
  <c r="V124" i="1"/>
  <c r="U124" i="1"/>
  <c r="T124" i="1"/>
  <c r="S124" i="1"/>
  <c r="R124" i="1"/>
  <c r="AM124" i="8" s="1"/>
  <c r="AO124" i="8" s="1"/>
  <c r="Q124" i="1"/>
  <c r="AF124" i="8" s="1"/>
  <c r="P124" i="1"/>
  <c r="V124" i="8" s="1"/>
  <c r="O124" i="1"/>
  <c r="N124" i="1"/>
  <c r="D124" i="1"/>
  <c r="T124" i="8" s="1"/>
  <c r="X124" i="8" s="1"/>
  <c r="V123" i="1"/>
  <c r="U123" i="1"/>
  <c r="T123" i="1"/>
  <c r="S123" i="1"/>
  <c r="R123" i="1"/>
  <c r="AM123" i="8" s="1"/>
  <c r="AO123" i="8" s="1"/>
  <c r="Q123" i="1"/>
  <c r="AF123" i="8" s="1"/>
  <c r="P123" i="1"/>
  <c r="V123" i="8" s="1"/>
  <c r="O123" i="1"/>
  <c r="N123" i="1"/>
  <c r="D123" i="1"/>
  <c r="T123" i="8" s="1"/>
  <c r="X123" i="8" s="1"/>
  <c r="V122" i="1"/>
  <c r="U122" i="1"/>
  <c r="T122" i="1"/>
  <c r="S122" i="1"/>
  <c r="R122" i="1"/>
  <c r="AM122" i="8" s="1"/>
  <c r="AO122" i="8" s="1"/>
  <c r="Q122" i="1"/>
  <c r="AF122" i="8" s="1"/>
  <c r="P122" i="1"/>
  <c r="V122" i="8" s="1"/>
  <c r="O122" i="1"/>
  <c r="N122" i="1"/>
  <c r="D122" i="1"/>
  <c r="T122" i="8" s="1"/>
  <c r="X122" i="8" s="1"/>
  <c r="V121" i="1"/>
  <c r="U121" i="1"/>
  <c r="T121" i="1"/>
  <c r="S121" i="1"/>
  <c r="R121" i="1"/>
  <c r="AM121" i="8" s="1"/>
  <c r="AO121" i="8" s="1"/>
  <c r="Q121" i="1"/>
  <c r="AF121" i="8" s="1"/>
  <c r="P121" i="1"/>
  <c r="V121" i="8" s="1"/>
  <c r="O121" i="1"/>
  <c r="N121" i="1"/>
  <c r="D121" i="1"/>
  <c r="T121" i="8" s="1"/>
  <c r="X121" i="8" s="1"/>
  <c r="V120" i="1"/>
  <c r="U120" i="1"/>
  <c r="T120" i="1"/>
  <c r="S120" i="1"/>
  <c r="R120" i="1"/>
  <c r="AM120" i="8" s="1"/>
  <c r="AO120" i="8" s="1"/>
  <c r="Q120" i="1"/>
  <c r="AF120" i="8" s="1"/>
  <c r="P120" i="1"/>
  <c r="V120" i="8" s="1"/>
  <c r="O120" i="1"/>
  <c r="N120" i="1"/>
  <c r="D120" i="1"/>
  <c r="T120" i="8" s="1"/>
  <c r="X120" i="8" s="1"/>
  <c r="V119" i="1"/>
  <c r="U119" i="1"/>
  <c r="T119" i="1"/>
  <c r="S119" i="1"/>
  <c r="R119" i="1"/>
  <c r="AM119" i="8" s="1"/>
  <c r="AO119" i="8" s="1"/>
  <c r="Q119" i="1"/>
  <c r="AF119" i="8" s="1"/>
  <c r="P119" i="1"/>
  <c r="V119" i="8" s="1"/>
  <c r="O119" i="1"/>
  <c r="N119" i="1"/>
  <c r="D119" i="1"/>
  <c r="T119" i="8" s="1"/>
  <c r="X119" i="8" s="1"/>
  <c r="V118" i="1"/>
  <c r="U118" i="1"/>
  <c r="T118" i="1"/>
  <c r="S118" i="1"/>
  <c r="R118" i="1"/>
  <c r="AM118" i="8" s="1"/>
  <c r="AO118" i="8" s="1"/>
  <c r="Q118" i="1"/>
  <c r="AF118" i="8" s="1"/>
  <c r="P118" i="1"/>
  <c r="V118" i="8" s="1"/>
  <c r="O118" i="1"/>
  <c r="N118" i="1"/>
  <c r="D118" i="1"/>
  <c r="T118" i="8" s="1"/>
  <c r="X118" i="8" s="1"/>
  <c r="V117" i="1"/>
  <c r="U117" i="1"/>
  <c r="T117" i="1"/>
  <c r="S117" i="1"/>
  <c r="R117" i="1"/>
  <c r="AM117" i="8" s="1"/>
  <c r="AO117" i="8" s="1"/>
  <c r="Q117" i="1"/>
  <c r="AF117" i="8" s="1"/>
  <c r="P117" i="1"/>
  <c r="V117" i="8" s="1"/>
  <c r="O117" i="1"/>
  <c r="N117" i="1"/>
  <c r="D117" i="1"/>
  <c r="T117" i="8" s="1"/>
  <c r="X117" i="8" s="1"/>
  <c r="V116" i="1"/>
  <c r="U116" i="1"/>
  <c r="T116" i="1"/>
  <c r="S116" i="1"/>
  <c r="R116" i="1"/>
  <c r="AM116" i="8" s="1"/>
  <c r="AO116" i="8" s="1"/>
  <c r="Q116" i="1"/>
  <c r="AF116" i="8" s="1"/>
  <c r="P116" i="1"/>
  <c r="V116" i="8" s="1"/>
  <c r="O116" i="1"/>
  <c r="N116" i="1"/>
  <c r="D116" i="1"/>
  <c r="T116" i="8" s="1"/>
  <c r="X116" i="8" s="1"/>
  <c r="V115" i="1"/>
  <c r="U115" i="1"/>
  <c r="T115" i="1"/>
  <c r="S115" i="1"/>
  <c r="R115" i="1"/>
  <c r="AM115" i="8" s="1"/>
  <c r="AO115" i="8" s="1"/>
  <c r="Q115" i="1"/>
  <c r="AF115" i="8" s="1"/>
  <c r="P115" i="1"/>
  <c r="V115" i="8" s="1"/>
  <c r="O115" i="1"/>
  <c r="N115" i="1"/>
  <c r="D115" i="1"/>
  <c r="T115" i="8" s="1"/>
  <c r="X115" i="8" s="1"/>
  <c r="V114" i="1"/>
  <c r="U114" i="1"/>
  <c r="T114" i="1"/>
  <c r="S114" i="1"/>
  <c r="R114" i="1"/>
  <c r="AM114" i="8" s="1"/>
  <c r="AO114" i="8" s="1"/>
  <c r="Q114" i="1"/>
  <c r="AF114" i="8" s="1"/>
  <c r="P114" i="1"/>
  <c r="V114" i="8" s="1"/>
  <c r="O114" i="1"/>
  <c r="N114" i="1"/>
  <c r="D114" i="1"/>
  <c r="T114" i="8" s="1"/>
  <c r="X114" i="8" s="1"/>
  <c r="V113" i="1"/>
  <c r="U113" i="1"/>
  <c r="T113" i="1"/>
  <c r="S113" i="1"/>
  <c r="R113" i="1"/>
  <c r="AM113" i="8" s="1"/>
  <c r="AO113" i="8" s="1"/>
  <c r="Q113" i="1"/>
  <c r="AF113" i="8" s="1"/>
  <c r="P113" i="1"/>
  <c r="V113" i="8" s="1"/>
  <c r="O113" i="1"/>
  <c r="N113" i="1"/>
  <c r="D113" i="1"/>
  <c r="T113" i="8" s="1"/>
  <c r="X113" i="8" s="1"/>
  <c r="V112" i="1"/>
  <c r="U112" i="1"/>
  <c r="T112" i="1"/>
  <c r="S112" i="1"/>
  <c r="R112" i="1"/>
  <c r="AM112" i="8" s="1"/>
  <c r="AO112" i="8" s="1"/>
  <c r="Q112" i="1"/>
  <c r="AF112" i="8" s="1"/>
  <c r="P112" i="1"/>
  <c r="V112" i="8" s="1"/>
  <c r="O112" i="1"/>
  <c r="N112" i="1"/>
  <c r="D112" i="1"/>
  <c r="T112" i="8" s="1"/>
  <c r="X112" i="8" s="1"/>
  <c r="V111" i="1"/>
  <c r="U111" i="1"/>
  <c r="T111" i="1"/>
  <c r="S111" i="1"/>
  <c r="R111" i="1"/>
  <c r="AM111" i="8" s="1"/>
  <c r="AO111" i="8" s="1"/>
  <c r="Q111" i="1"/>
  <c r="AF111" i="8" s="1"/>
  <c r="P111" i="1"/>
  <c r="V111" i="8" s="1"/>
  <c r="O111" i="1"/>
  <c r="N111" i="1"/>
  <c r="D111" i="1"/>
  <c r="T111" i="8" s="1"/>
  <c r="X111" i="8" s="1"/>
  <c r="V110" i="1"/>
  <c r="U110" i="1"/>
  <c r="T110" i="1"/>
  <c r="S110" i="1"/>
  <c r="R110" i="1"/>
  <c r="AM110" i="8" s="1"/>
  <c r="AO110" i="8" s="1"/>
  <c r="Q110" i="1"/>
  <c r="AF110" i="8" s="1"/>
  <c r="P110" i="1"/>
  <c r="V110" i="8" s="1"/>
  <c r="O110" i="1"/>
  <c r="N110" i="1"/>
  <c r="D110" i="1"/>
  <c r="T110" i="8" s="1"/>
  <c r="X110" i="8" s="1"/>
  <c r="V109" i="1"/>
  <c r="U109" i="1"/>
  <c r="T109" i="1"/>
  <c r="S109" i="1"/>
  <c r="R109" i="1"/>
  <c r="AM109" i="8" s="1"/>
  <c r="AO109" i="8" s="1"/>
  <c r="Q109" i="1"/>
  <c r="AF109" i="8" s="1"/>
  <c r="P109" i="1"/>
  <c r="V109" i="8" s="1"/>
  <c r="O109" i="1"/>
  <c r="N109" i="1"/>
  <c r="D109" i="1"/>
  <c r="T109" i="8" s="1"/>
  <c r="X109" i="8" s="1"/>
  <c r="V108" i="1"/>
  <c r="U108" i="1"/>
  <c r="T108" i="1"/>
  <c r="S108" i="1"/>
  <c r="R108" i="1"/>
  <c r="AM108" i="8" s="1"/>
  <c r="AO108" i="8" s="1"/>
  <c r="Q108" i="1"/>
  <c r="AF108" i="8" s="1"/>
  <c r="P108" i="1"/>
  <c r="V108" i="8" s="1"/>
  <c r="O108" i="1"/>
  <c r="N108" i="1"/>
  <c r="D108" i="1"/>
  <c r="T108" i="8" s="1"/>
  <c r="X108" i="8" s="1"/>
  <c r="V107" i="1"/>
  <c r="U107" i="1"/>
  <c r="T107" i="1"/>
  <c r="S107" i="1"/>
  <c r="R107" i="1"/>
  <c r="AM107" i="8" s="1"/>
  <c r="AO107" i="8" s="1"/>
  <c r="Q107" i="1"/>
  <c r="AF107" i="8" s="1"/>
  <c r="P107" i="1"/>
  <c r="V107" i="8" s="1"/>
  <c r="O107" i="1"/>
  <c r="N107" i="1"/>
  <c r="D107" i="1"/>
  <c r="T107" i="8" s="1"/>
  <c r="X107" i="8" s="1"/>
  <c r="V106" i="1"/>
  <c r="U106" i="1"/>
  <c r="T106" i="1"/>
  <c r="S106" i="1"/>
  <c r="R106" i="1"/>
  <c r="AM106" i="8" s="1"/>
  <c r="AO106" i="8" s="1"/>
  <c r="Q106" i="1"/>
  <c r="AF106" i="8" s="1"/>
  <c r="P106" i="1"/>
  <c r="V106" i="8" s="1"/>
  <c r="O106" i="1"/>
  <c r="N106" i="1"/>
  <c r="D106" i="1"/>
  <c r="T106" i="8" s="1"/>
  <c r="X106" i="8" s="1"/>
  <c r="V105" i="1"/>
  <c r="U105" i="1"/>
  <c r="T105" i="1"/>
  <c r="S105" i="1"/>
  <c r="R105" i="1"/>
  <c r="AM105" i="8" s="1"/>
  <c r="AO105" i="8" s="1"/>
  <c r="Q105" i="1"/>
  <c r="AF105" i="8" s="1"/>
  <c r="P105" i="1"/>
  <c r="V105" i="8" s="1"/>
  <c r="O105" i="1"/>
  <c r="N105" i="1"/>
  <c r="D105" i="1"/>
  <c r="T105" i="8" s="1"/>
  <c r="X105" i="8" s="1"/>
  <c r="V104" i="1"/>
  <c r="U104" i="1"/>
  <c r="T104" i="1"/>
  <c r="S104" i="1"/>
  <c r="R104" i="1"/>
  <c r="AM104" i="8" s="1"/>
  <c r="AO104" i="8" s="1"/>
  <c r="Q104" i="1"/>
  <c r="AF104" i="8" s="1"/>
  <c r="P104" i="1"/>
  <c r="V104" i="8" s="1"/>
  <c r="O104" i="1"/>
  <c r="N104" i="1"/>
  <c r="D104" i="1"/>
  <c r="T104" i="8" s="1"/>
  <c r="X104" i="8" s="1"/>
  <c r="V103" i="1"/>
  <c r="U103" i="1"/>
  <c r="T103" i="1"/>
  <c r="S103" i="1"/>
  <c r="R103" i="1"/>
  <c r="AM103" i="8" s="1"/>
  <c r="AO103" i="8" s="1"/>
  <c r="Q103" i="1"/>
  <c r="AF103" i="8" s="1"/>
  <c r="P103" i="1"/>
  <c r="V103" i="8" s="1"/>
  <c r="O103" i="1"/>
  <c r="N103" i="1"/>
  <c r="D103" i="1"/>
  <c r="T103" i="8" s="1"/>
  <c r="X103" i="8" s="1"/>
  <c r="V102" i="1"/>
  <c r="U102" i="1"/>
  <c r="T102" i="1"/>
  <c r="S102" i="1"/>
  <c r="R102" i="1"/>
  <c r="AM102" i="8" s="1"/>
  <c r="AO102" i="8" s="1"/>
  <c r="Q102" i="1"/>
  <c r="AF102" i="8" s="1"/>
  <c r="P102" i="1"/>
  <c r="V102" i="8" s="1"/>
  <c r="O102" i="1"/>
  <c r="N102" i="1"/>
  <c r="D102" i="1"/>
  <c r="T102" i="8" s="1"/>
  <c r="X102" i="8" s="1"/>
  <c r="V101" i="1"/>
  <c r="U101" i="1"/>
  <c r="T101" i="1"/>
  <c r="S101" i="1"/>
  <c r="R101" i="1"/>
  <c r="AM101" i="8" s="1"/>
  <c r="AO101" i="8" s="1"/>
  <c r="Q101" i="1"/>
  <c r="AF101" i="8" s="1"/>
  <c r="P101" i="1"/>
  <c r="V101" i="8" s="1"/>
  <c r="O101" i="1"/>
  <c r="N101" i="1"/>
  <c r="D101" i="1"/>
  <c r="T101" i="8" s="1"/>
  <c r="X101" i="8" s="1"/>
  <c r="V100" i="1"/>
  <c r="U100" i="1"/>
  <c r="T100" i="1"/>
  <c r="S100" i="1"/>
  <c r="R100" i="1"/>
  <c r="AM100" i="8" s="1"/>
  <c r="AO100" i="8" s="1"/>
  <c r="Q100" i="1"/>
  <c r="AF100" i="8" s="1"/>
  <c r="P100" i="1"/>
  <c r="V100" i="8" s="1"/>
  <c r="O100" i="1"/>
  <c r="N100" i="1"/>
  <c r="D100" i="1"/>
  <c r="T100" i="8" s="1"/>
  <c r="X100" i="8" s="1"/>
  <c r="V99" i="1"/>
  <c r="U99" i="1"/>
  <c r="T99" i="1"/>
  <c r="S99" i="1"/>
  <c r="R99" i="1"/>
  <c r="AM99" i="8" s="1"/>
  <c r="AO99" i="8" s="1"/>
  <c r="Q99" i="1"/>
  <c r="AF99" i="8" s="1"/>
  <c r="P99" i="1"/>
  <c r="V99" i="8" s="1"/>
  <c r="O99" i="1"/>
  <c r="N99" i="1"/>
  <c r="D99" i="1"/>
  <c r="T99" i="8" s="1"/>
  <c r="X99" i="8" s="1"/>
  <c r="V98" i="1"/>
  <c r="U98" i="1"/>
  <c r="T98" i="1"/>
  <c r="S98" i="1"/>
  <c r="R98" i="1"/>
  <c r="AM98" i="8" s="1"/>
  <c r="AO98" i="8" s="1"/>
  <c r="Q98" i="1"/>
  <c r="AF98" i="8" s="1"/>
  <c r="P98" i="1"/>
  <c r="V98" i="8" s="1"/>
  <c r="O98" i="1"/>
  <c r="N98" i="1"/>
  <c r="D98" i="1"/>
  <c r="T98" i="8" s="1"/>
  <c r="X98" i="8" s="1"/>
  <c r="V97" i="1"/>
  <c r="U97" i="1"/>
  <c r="T97" i="1"/>
  <c r="S97" i="1"/>
  <c r="R97" i="1"/>
  <c r="AM97" i="8" s="1"/>
  <c r="AO97" i="8" s="1"/>
  <c r="Q97" i="1"/>
  <c r="AF97" i="8" s="1"/>
  <c r="P97" i="1"/>
  <c r="V97" i="8" s="1"/>
  <c r="O97" i="1"/>
  <c r="N97" i="1"/>
  <c r="D97" i="1"/>
  <c r="T97" i="8" s="1"/>
  <c r="X97" i="8" s="1"/>
  <c r="V96" i="1"/>
  <c r="U96" i="1"/>
  <c r="T96" i="1"/>
  <c r="S96" i="1"/>
  <c r="R96" i="1"/>
  <c r="AM96" i="8" s="1"/>
  <c r="AO96" i="8" s="1"/>
  <c r="Q96" i="1"/>
  <c r="AF96" i="8" s="1"/>
  <c r="P96" i="1"/>
  <c r="V96" i="8" s="1"/>
  <c r="O96" i="1"/>
  <c r="N96" i="1"/>
  <c r="D96" i="1"/>
  <c r="T96" i="8" s="1"/>
  <c r="X96" i="8" s="1"/>
  <c r="V95" i="1"/>
  <c r="U95" i="1"/>
  <c r="T95" i="1"/>
  <c r="S95" i="1"/>
  <c r="R95" i="1"/>
  <c r="AM95" i="8" s="1"/>
  <c r="AO95" i="8" s="1"/>
  <c r="Q95" i="1"/>
  <c r="AF95" i="8" s="1"/>
  <c r="P95" i="1"/>
  <c r="V95" i="8" s="1"/>
  <c r="O95" i="1"/>
  <c r="N95" i="1"/>
  <c r="D95" i="1"/>
  <c r="T95" i="8" s="1"/>
  <c r="X95" i="8" s="1"/>
  <c r="V94" i="1"/>
  <c r="U94" i="1"/>
  <c r="T94" i="1"/>
  <c r="S94" i="1"/>
  <c r="R94" i="1"/>
  <c r="AM94" i="8" s="1"/>
  <c r="AO94" i="8" s="1"/>
  <c r="Q94" i="1"/>
  <c r="AF94" i="8" s="1"/>
  <c r="P94" i="1"/>
  <c r="V94" i="8" s="1"/>
  <c r="O94" i="1"/>
  <c r="N94" i="1"/>
  <c r="D94" i="1"/>
  <c r="T94" i="8" s="1"/>
  <c r="X94" i="8" s="1"/>
  <c r="V93" i="1"/>
  <c r="U93" i="1"/>
  <c r="T93" i="1"/>
  <c r="S93" i="1"/>
  <c r="R93" i="1"/>
  <c r="AM93" i="8" s="1"/>
  <c r="AO93" i="8" s="1"/>
  <c r="Q93" i="1"/>
  <c r="AF93" i="8" s="1"/>
  <c r="P93" i="1"/>
  <c r="V93" i="8" s="1"/>
  <c r="O93" i="1"/>
  <c r="N93" i="1"/>
  <c r="D93" i="1"/>
  <c r="T93" i="8" s="1"/>
  <c r="X93" i="8" s="1"/>
  <c r="V92" i="1"/>
  <c r="U92" i="1"/>
  <c r="T92" i="1"/>
  <c r="S92" i="1"/>
  <c r="R92" i="1"/>
  <c r="AM92" i="8" s="1"/>
  <c r="AO92" i="8" s="1"/>
  <c r="Q92" i="1"/>
  <c r="AF92" i="8" s="1"/>
  <c r="P92" i="1"/>
  <c r="V92" i="8" s="1"/>
  <c r="O92" i="1"/>
  <c r="N92" i="1"/>
  <c r="D92" i="1"/>
  <c r="T92" i="8" s="1"/>
  <c r="X92" i="8" s="1"/>
  <c r="V91" i="1"/>
  <c r="U91" i="1"/>
  <c r="T91" i="1"/>
  <c r="S91" i="1"/>
  <c r="R91" i="1"/>
  <c r="AM91" i="8" s="1"/>
  <c r="AO91" i="8" s="1"/>
  <c r="Q91" i="1"/>
  <c r="AF91" i="8" s="1"/>
  <c r="P91" i="1"/>
  <c r="V91" i="8" s="1"/>
  <c r="O91" i="1"/>
  <c r="N91" i="1"/>
  <c r="D91" i="1"/>
  <c r="T91" i="8" s="1"/>
  <c r="X91" i="8" s="1"/>
  <c r="V90" i="1"/>
  <c r="U90" i="1"/>
  <c r="T90" i="1"/>
  <c r="S90" i="1"/>
  <c r="R90" i="1"/>
  <c r="AM90" i="8" s="1"/>
  <c r="AO90" i="8" s="1"/>
  <c r="Q90" i="1"/>
  <c r="AF90" i="8" s="1"/>
  <c r="P90" i="1"/>
  <c r="V90" i="8" s="1"/>
  <c r="O90" i="1"/>
  <c r="N90" i="1"/>
  <c r="D90" i="1"/>
  <c r="T90" i="8" s="1"/>
  <c r="X90" i="8" s="1"/>
  <c r="V89" i="1"/>
  <c r="U89" i="1"/>
  <c r="T89" i="1"/>
  <c r="S89" i="1"/>
  <c r="R89" i="1"/>
  <c r="AM89" i="8" s="1"/>
  <c r="AO89" i="8" s="1"/>
  <c r="Q89" i="1"/>
  <c r="AF89" i="8" s="1"/>
  <c r="P89" i="1"/>
  <c r="V89" i="8" s="1"/>
  <c r="O89" i="1"/>
  <c r="N89" i="1"/>
  <c r="D89" i="1"/>
  <c r="T89" i="8" s="1"/>
  <c r="X89" i="8" s="1"/>
  <c r="V88" i="1"/>
  <c r="U88" i="1"/>
  <c r="T88" i="1"/>
  <c r="S88" i="1"/>
  <c r="R88" i="1"/>
  <c r="AM88" i="8" s="1"/>
  <c r="AO88" i="8" s="1"/>
  <c r="Q88" i="1"/>
  <c r="AF88" i="8" s="1"/>
  <c r="P88" i="1"/>
  <c r="V88" i="8" s="1"/>
  <c r="O88" i="1"/>
  <c r="N88" i="1"/>
  <c r="D88" i="1"/>
  <c r="T88" i="8" s="1"/>
  <c r="X88" i="8" s="1"/>
  <c r="V87" i="1"/>
  <c r="U87" i="1"/>
  <c r="T87" i="1"/>
  <c r="S87" i="1"/>
  <c r="R87" i="1"/>
  <c r="AM87" i="8" s="1"/>
  <c r="AO87" i="8" s="1"/>
  <c r="Q87" i="1"/>
  <c r="AF87" i="8" s="1"/>
  <c r="P87" i="1"/>
  <c r="V87" i="8" s="1"/>
  <c r="O87" i="1"/>
  <c r="N87" i="1"/>
  <c r="D87" i="1"/>
  <c r="T87" i="8" s="1"/>
  <c r="X87" i="8" s="1"/>
  <c r="V86" i="1"/>
  <c r="U86" i="1"/>
  <c r="T86" i="1"/>
  <c r="S86" i="1"/>
  <c r="R86" i="1"/>
  <c r="AM86" i="8" s="1"/>
  <c r="AO86" i="8" s="1"/>
  <c r="Q86" i="1"/>
  <c r="AF86" i="8" s="1"/>
  <c r="P86" i="1"/>
  <c r="V86" i="8" s="1"/>
  <c r="O86" i="1"/>
  <c r="N86" i="1"/>
  <c r="D86" i="1"/>
  <c r="T86" i="8" s="1"/>
  <c r="X86" i="8" s="1"/>
  <c r="V85" i="1"/>
  <c r="U85" i="1"/>
  <c r="T85" i="1"/>
  <c r="S85" i="1"/>
  <c r="R85" i="1"/>
  <c r="AM85" i="8" s="1"/>
  <c r="AO85" i="8" s="1"/>
  <c r="Q85" i="1"/>
  <c r="AF85" i="8" s="1"/>
  <c r="P85" i="1"/>
  <c r="V85" i="8" s="1"/>
  <c r="O85" i="1"/>
  <c r="N85" i="1"/>
  <c r="D85" i="1"/>
  <c r="T85" i="8" s="1"/>
  <c r="X85" i="8" s="1"/>
  <c r="V84" i="1"/>
  <c r="U84" i="1"/>
  <c r="T84" i="1"/>
  <c r="S84" i="1"/>
  <c r="R84" i="1"/>
  <c r="AM84" i="8" s="1"/>
  <c r="AO84" i="8" s="1"/>
  <c r="Q84" i="1"/>
  <c r="AF84" i="8" s="1"/>
  <c r="P84" i="1"/>
  <c r="V84" i="8" s="1"/>
  <c r="O84" i="1"/>
  <c r="N84" i="1"/>
  <c r="D84" i="1"/>
  <c r="T84" i="8" s="1"/>
  <c r="X84" i="8" s="1"/>
  <c r="V83" i="1"/>
  <c r="U83" i="1"/>
  <c r="T83" i="1"/>
  <c r="S83" i="1"/>
  <c r="R83" i="1"/>
  <c r="AM83" i="8" s="1"/>
  <c r="AO83" i="8" s="1"/>
  <c r="Q83" i="1"/>
  <c r="AF83" i="8" s="1"/>
  <c r="P83" i="1"/>
  <c r="V83" i="8" s="1"/>
  <c r="O83" i="1"/>
  <c r="N83" i="1"/>
  <c r="D83" i="1"/>
  <c r="T83" i="8" s="1"/>
  <c r="X83" i="8" s="1"/>
  <c r="V82" i="1"/>
  <c r="U82" i="1"/>
  <c r="T82" i="1"/>
  <c r="S82" i="1"/>
  <c r="R82" i="1"/>
  <c r="AM82" i="8" s="1"/>
  <c r="AO82" i="8" s="1"/>
  <c r="Q82" i="1"/>
  <c r="AF82" i="8" s="1"/>
  <c r="P82" i="1"/>
  <c r="V82" i="8" s="1"/>
  <c r="O82" i="1"/>
  <c r="N82" i="1"/>
  <c r="D82" i="1"/>
  <c r="T82" i="8" s="1"/>
  <c r="X82" i="8" s="1"/>
  <c r="V81" i="1"/>
  <c r="U81" i="1"/>
  <c r="T81" i="1"/>
  <c r="S81" i="1"/>
  <c r="R81" i="1"/>
  <c r="AM81" i="8" s="1"/>
  <c r="AO81" i="8" s="1"/>
  <c r="Q81" i="1"/>
  <c r="AF81" i="8" s="1"/>
  <c r="P81" i="1"/>
  <c r="V81" i="8" s="1"/>
  <c r="O81" i="1"/>
  <c r="N81" i="1"/>
  <c r="D81" i="1"/>
  <c r="T81" i="8" s="1"/>
  <c r="X81" i="8" s="1"/>
  <c r="V80" i="1"/>
  <c r="U80" i="1"/>
  <c r="T80" i="1"/>
  <c r="S80" i="1"/>
  <c r="R80" i="1"/>
  <c r="AM80" i="8" s="1"/>
  <c r="AO80" i="8" s="1"/>
  <c r="Q80" i="1"/>
  <c r="AF80" i="8" s="1"/>
  <c r="P80" i="1"/>
  <c r="V80" i="8" s="1"/>
  <c r="O80" i="1"/>
  <c r="N80" i="1"/>
  <c r="D80" i="1"/>
  <c r="T80" i="8" s="1"/>
  <c r="X80" i="8" s="1"/>
  <c r="V79" i="1"/>
  <c r="U79" i="1"/>
  <c r="T79" i="1"/>
  <c r="S79" i="1"/>
  <c r="R79" i="1"/>
  <c r="AM79" i="8" s="1"/>
  <c r="AO79" i="8" s="1"/>
  <c r="Q79" i="1"/>
  <c r="AF79" i="8" s="1"/>
  <c r="P79" i="1"/>
  <c r="V79" i="8" s="1"/>
  <c r="O79" i="1"/>
  <c r="N79" i="1"/>
  <c r="D79" i="1"/>
  <c r="T79" i="8" s="1"/>
  <c r="X79" i="8" s="1"/>
  <c r="V78" i="1"/>
  <c r="U78" i="1"/>
  <c r="T78" i="1"/>
  <c r="S78" i="1"/>
  <c r="R78" i="1"/>
  <c r="AM78" i="8" s="1"/>
  <c r="AO78" i="8" s="1"/>
  <c r="Q78" i="1"/>
  <c r="AF78" i="8" s="1"/>
  <c r="P78" i="1"/>
  <c r="V78" i="8" s="1"/>
  <c r="O78" i="1"/>
  <c r="N78" i="1"/>
  <c r="D78" i="1"/>
  <c r="T78" i="8" s="1"/>
  <c r="X78" i="8" s="1"/>
  <c r="V77" i="1"/>
  <c r="U77" i="1"/>
  <c r="T77" i="1"/>
  <c r="S77" i="1"/>
  <c r="R77" i="1"/>
  <c r="AM77" i="8" s="1"/>
  <c r="AO77" i="8" s="1"/>
  <c r="Q77" i="1"/>
  <c r="AF77" i="8" s="1"/>
  <c r="P77" i="1"/>
  <c r="V77" i="8" s="1"/>
  <c r="O77" i="1"/>
  <c r="N77" i="1"/>
  <c r="D77" i="1"/>
  <c r="T77" i="8" s="1"/>
  <c r="X77" i="8" s="1"/>
  <c r="V76" i="1"/>
  <c r="U76" i="1"/>
  <c r="T76" i="1"/>
  <c r="S76" i="1"/>
  <c r="R76" i="1"/>
  <c r="AM76" i="8" s="1"/>
  <c r="AO76" i="8" s="1"/>
  <c r="Q76" i="1"/>
  <c r="AF76" i="8" s="1"/>
  <c r="P76" i="1"/>
  <c r="V76" i="8" s="1"/>
  <c r="O76" i="1"/>
  <c r="N76" i="1"/>
  <c r="D76" i="1"/>
  <c r="T76" i="8" s="1"/>
  <c r="X76" i="8" s="1"/>
  <c r="V75" i="1"/>
  <c r="U75" i="1"/>
  <c r="T75" i="1"/>
  <c r="S75" i="1"/>
  <c r="R75" i="1"/>
  <c r="AM75" i="8" s="1"/>
  <c r="AO75" i="8" s="1"/>
  <c r="Q75" i="1"/>
  <c r="AF75" i="8" s="1"/>
  <c r="P75" i="1"/>
  <c r="V75" i="8" s="1"/>
  <c r="O75" i="1"/>
  <c r="N75" i="1"/>
  <c r="D75" i="1"/>
  <c r="T75" i="8" s="1"/>
  <c r="X75" i="8" s="1"/>
  <c r="V74" i="1"/>
  <c r="U74" i="1"/>
  <c r="T74" i="1"/>
  <c r="S74" i="1"/>
  <c r="R74" i="1"/>
  <c r="AM74" i="8" s="1"/>
  <c r="AO74" i="8" s="1"/>
  <c r="Q74" i="1"/>
  <c r="AF74" i="8" s="1"/>
  <c r="P74" i="1"/>
  <c r="V74" i="8" s="1"/>
  <c r="O74" i="1"/>
  <c r="N74" i="1"/>
  <c r="D74" i="1"/>
  <c r="T74" i="8" s="1"/>
  <c r="X74" i="8" s="1"/>
  <c r="V73" i="1"/>
  <c r="U73" i="1"/>
  <c r="T73" i="1"/>
  <c r="S73" i="1"/>
  <c r="R73" i="1"/>
  <c r="AM73" i="8" s="1"/>
  <c r="AO73" i="8" s="1"/>
  <c r="Q73" i="1"/>
  <c r="AF73" i="8" s="1"/>
  <c r="P73" i="1"/>
  <c r="V73" i="8" s="1"/>
  <c r="O73" i="1"/>
  <c r="N73" i="1"/>
  <c r="D73" i="1"/>
  <c r="T73" i="8" s="1"/>
  <c r="X73" i="8" s="1"/>
  <c r="V72" i="1"/>
  <c r="U72" i="1"/>
  <c r="T72" i="1"/>
  <c r="S72" i="1"/>
  <c r="R72" i="1"/>
  <c r="AM72" i="8" s="1"/>
  <c r="AO72" i="8" s="1"/>
  <c r="Q72" i="1"/>
  <c r="AF72" i="8" s="1"/>
  <c r="P72" i="1"/>
  <c r="V72" i="8" s="1"/>
  <c r="O72" i="1"/>
  <c r="N72" i="1"/>
  <c r="D72" i="1"/>
  <c r="T72" i="8" s="1"/>
  <c r="X72" i="8" s="1"/>
  <c r="V71" i="1"/>
  <c r="U71" i="1"/>
  <c r="T71" i="1"/>
  <c r="S71" i="1"/>
  <c r="R71" i="1"/>
  <c r="AM71" i="8" s="1"/>
  <c r="AO71" i="8" s="1"/>
  <c r="Q71" i="1"/>
  <c r="AF71" i="8" s="1"/>
  <c r="P71" i="1"/>
  <c r="V71" i="8" s="1"/>
  <c r="O71" i="1"/>
  <c r="N71" i="1"/>
  <c r="D71" i="1"/>
  <c r="T71" i="8" s="1"/>
  <c r="X71" i="8" s="1"/>
  <c r="V70" i="1"/>
  <c r="U70" i="1"/>
  <c r="T70" i="1"/>
  <c r="S70" i="1"/>
  <c r="R70" i="1"/>
  <c r="AM70" i="8" s="1"/>
  <c r="AO70" i="8" s="1"/>
  <c r="Q70" i="1"/>
  <c r="AF70" i="8" s="1"/>
  <c r="P70" i="1"/>
  <c r="V70" i="8" s="1"/>
  <c r="O70" i="1"/>
  <c r="N70" i="1"/>
  <c r="D70" i="1"/>
  <c r="T70" i="8" s="1"/>
  <c r="X70" i="8" s="1"/>
  <c r="V69" i="1"/>
  <c r="U69" i="1"/>
  <c r="T69" i="1"/>
  <c r="S69" i="1"/>
  <c r="R69" i="1"/>
  <c r="AM69" i="8" s="1"/>
  <c r="AO69" i="8" s="1"/>
  <c r="Q69" i="1"/>
  <c r="AF69" i="8" s="1"/>
  <c r="P69" i="1"/>
  <c r="V69" i="8" s="1"/>
  <c r="O69" i="1"/>
  <c r="N69" i="1"/>
  <c r="D69" i="1"/>
  <c r="T69" i="8" s="1"/>
  <c r="X69" i="8" s="1"/>
  <c r="V68" i="1"/>
  <c r="U68" i="1"/>
  <c r="T68" i="1"/>
  <c r="S68" i="1"/>
  <c r="R68" i="1"/>
  <c r="AM68" i="8" s="1"/>
  <c r="AO68" i="8" s="1"/>
  <c r="Q68" i="1"/>
  <c r="AF68" i="8" s="1"/>
  <c r="P68" i="1"/>
  <c r="V68" i="8" s="1"/>
  <c r="O68" i="1"/>
  <c r="N68" i="1"/>
  <c r="D68" i="1"/>
  <c r="T68" i="8" s="1"/>
  <c r="X68" i="8" s="1"/>
  <c r="V67" i="1"/>
  <c r="U67" i="1"/>
  <c r="T67" i="1"/>
  <c r="S67" i="1"/>
  <c r="R67" i="1"/>
  <c r="AM67" i="8" s="1"/>
  <c r="AO67" i="8" s="1"/>
  <c r="Q67" i="1"/>
  <c r="AF67" i="8" s="1"/>
  <c r="P67" i="1"/>
  <c r="V67" i="8" s="1"/>
  <c r="O67" i="1"/>
  <c r="N67" i="1"/>
  <c r="D67" i="1"/>
  <c r="T67" i="8" s="1"/>
  <c r="X67" i="8" s="1"/>
  <c r="V66" i="1"/>
  <c r="U66" i="1"/>
  <c r="T66" i="1"/>
  <c r="S66" i="1"/>
  <c r="R66" i="1"/>
  <c r="AM66" i="8" s="1"/>
  <c r="AO66" i="8" s="1"/>
  <c r="Q66" i="1"/>
  <c r="AF66" i="8" s="1"/>
  <c r="P66" i="1"/>
  <c r="V66" i="8" s="1"/>
  <c r="O66" i="1"/>
  <c r="N66" i="1"/>
  <c r="D66" i="1"/>
  <c r="T66" i="8" s="1"/>
  <c r="X66" i="8" s="1"/>
  <c r="V65" i="1"/>
  <c r="U65" i="1"/>
  <c r="T65" i="1"/>
  <c r="S65" i="1"/>
  <c r="R65" i="1"/>
  <c r="AM65" i="8" s="1"/>
  <c r="AO65" i="8" s="1"/>
  <c r="Q65" i="1"/>
  <c r="AF65" i="8" s="1"/>
  <c r="P65" i="1"/>
  <c r="V65" i="8" s="1"/>
  <c r="O65" i="1"/>
  <c r="N65" i="1"/>
  <c r="D65" i="1"/>
  <c r="T65" i="8" s="1"/>
  <c r="X65" i="8" s="1"/>
  <c r="V64" i="1"/>
  <c r="U64" i="1"/>
  <c r="T64" i="1"/>
  <c r="S64" i="1"/>
  <c r="R64" i="1"/>
  <c r="AM64" i="8" s="1"/>
  <c r="AO64" i="8" s="1"/>
  <c r="Q64" i="1"/>
  <c r="AF64" i="8" s="1"/>
  <c r="P64" i="1"/>
  <c r="V64" i="8" s="1"/>
  <c r="O64" i="1"/>
  <c r="N64" i="1"/>
  <c r="D64" i="1"/>
  <c r="T64" i="8" s="1"/>
  <c r="X64" i="8" s="1"/>
  <c r="V63" i="1"/>
  <c r="U63" i="1"/>
  <c r="T63" i="1"/>
  <c r="S63" i="1"/>
  <c r="R63" i="1"/>
  <c r="AM63" i="8" s="1"/>
  <c r="AO63" i="8" s="1"/>
  <c r="Q63" i="1"/>
  <c r="AF63" i="8" s="1"/>
  <c r="P63" i="1"/>
  <c r="V63" i="8" s="1"/>
  <c r="O63" i="1"/>
  <c r="N63" i="1"/>
  <c r="D63" i="1"/>
  <c r="T63" i="8" s="1"/>
  <c r="X63" i="8" s="1"/>
  <c r="V62" i="1"/>
  <c r="U62" i="1"/>
  <c r="T62" i="1"/>
  <c r="S62" i="1"/>
  <c r="R62" i="1"/>
  <c r="AM62" i="8" s="1"/>
  <c r="AO62" i="8" s="1"/>
  <c r="Q62" i="1"/>
  <c r="AF62" i="8" s="1"/>
  <c r="P62" i="1"/>
  <c r="V62" i="8" s="1"/>
  <c r="O62" i="1"/>
  <c r="N62" i="1"/>
  <c r="D62" i="1"/>
  <c r="T62" i="8" s="1"/>
  <c r="X62" i="8" s="1"/>
  <c r="V61" i="1"/>
  <c r="U61" i="1"/>
  <c r="T61" i="1"/>
  <c r="S61" i="1"/>
  <c r="R61" i="1"/>
  <c r="AM61" i="8" s="1"/>
  <c r="AO61" i="8" s="1"/>
  <c r="Q61" i="1"/>
  <c r="AF61" i="8" s="1"/>
  <c r="P61" i="1"/>
  <c r="V61" i="8" s="1"/>
  <c r="O61" i="1"/>
  <c r="N61" i="1"/>
  <c r="D61" i="1"/>
  <c r="T61" i="8" s="1"/>
  <c r="X61" i="8" s="1"/>
  <c r="V60" i="1"/>
  <c r="U60" i="1"/>
  <c r="T60" i="1"/>
  <c r="S60" i="1"/>
  <c r="R60" i="1"/>
  <c r="AM60" i="8" s="1"/>
  <c r="AO60" i="8" s="1"/>
  <c r="Q60" i="1"/>
  <c r="AF60" i="8" s="1"/>
  <c r="P60" i="1"/>
  <c r="V60" i="8" s="1"/>
  <c r="O60" i="1"/>
  <c r="N60" i="1"/>
  <c r="D60" i="1"/>
  <c r="T60" i="8" s="1"/>
  <c r="X60" i="8" s="1"/>
  <c r="V59" i="1"/>
  <c r="U59" i="1"/>
  <c r="T59" i="1"/>
  <c r="S59" i="1"/>
  <c r="R59" i="1"/>
  <c r="AM59" i="8" s="1"/>
  <c r="AO59" i="8" s="1"/>
  <c r="Q59" i="1"/>
  <c r="AF59" i="8" s="1"/>
  <c r="P59" i="1"/>
  <c r="V59" i="8" s="1"/>
  <c r="O59" i="1"/>
  <c r="N59" i="1"/>
  <c r="D59" i="1"/>
  <c r="T59" i="8" s="1"/>
  <c r="X59" i="8" s="1"/>
  <c r="V58" i="1"/>
  <c r="U58" i="1"/>
  <c r="T58" i="1"/>
  <c r="S58" i="1"/>
  <c r="R58" i="1"/>
  <c r="AM58" i="8" s="1"/>
  <c r="AO58" i="8" s="1"/>
  <c r="Q58" i="1"/>
  <c r="AF58" i="8" s="1"/>
  <c r="P58" i="1"/>
  <c r="V58" i="8" s="1"/>
  <c r="O58" i="1"/>
  <c r="N58" i="1"/>
  <c r="D58" i="1"/>
  <c r="T58" i="8" s="1"/>
  <c r="X58" i="8" s="1"/>
  <c r="V57" i="1"/>
  <c r="U57" i="1"/>
  <c r="T57" i="1"/>
  <c r="S57" i="1"/>
  <c r="R57" i="1"/>
  <c r="AM57" i="8" s="1"/>
  <c r="AO57" i="8" s="1"/>
  <c r="Q57" i="1"/>
  <c r="AF57" i="8" s="1"/>
  <c r="P57" i="1"/>
  <c r="V57" i="8" s="1"/>
  <c r="O57" i="1"/>
  <c r="N57" i="1"/>
  <c r="D57" i="1"/>
  <c r="T57" i="8" s="1"/>
  <c r="X57" i="8" s="1"/>
  <c r="V56" i="1"/>
  <c r="U56" i="1"/>
  <c r="T56" i="1"/>
  <c r="S56" i="1"/>
  <c r="R56" i="1"/>
  <c r="AM56" i="8" s="1"/>
  <c r="AO56" i="8" s="1"/>
  <c r="Q56" i="1"/>
  <c r="AF56" i="8" s="1"/>
  <c r="P56" i="1"/>
  <c r="V56" i="8" s="1"/>
  <c r="O56" i="1"/>
  <c r="N56" i="1"/>
  <c r="D56" i="1"/>
  <c r="T56" i="8" s="1"/>
  <c r="X56" i="8" s="1"/>
  <c r="O55" i="1"/>
  <c r="N55" i="1"/>
  <c r="R55" i="1" s="1"/>
  <c r="AM55" i="8" s="1"/>
  <c r="D55" i="1"/>
  <c r="T55" i="8" s="1"/>
  <c r="X55" i="8" s="1"/>
  <c r="O54" i="1"/>
  <c r="N54" i="1"/>
  <c r="R54" i="1" s="1"/>
  <c r="AM54" i="8" s="1"/>
  <c r="D54" i="1"/>
  <c r="T54" i="8" s="1"/>
  <c r="X54" i="8" s="1"/>
  <c r="O53" i="1"/>
  <c r="N53" i="1"/>
  <c r="R53" i="1" s="1"/>
  <c r="AM53" i="8" s="1"/>
  <c r="AO53" i="8" s="1"/>
  <c r="D53" i="1"/>
  <c r="T53" i="8" s="1"/>
  <c r="X53" i="8" s="1"/>
  <c r="O52" i="1"/>
  <c r="N52" i="1"/>
  <c r="R52" i="1" s="1"/>
  <c r="AM52" i="8" s="1"/>
  <c r="D52" i="1"/>
  <c r="T52" i="8" s="1"/>
  <c r="X52" i="8" s="1"/>
  <c r="O51" i="1"/>
  <c r="N51" i="1"/>
  <c r="D51" i="1"/>
  <c r="T51" i="8" s="1"/>
  <c r="X51" i="8" s="1"/>
  <c r="O50" i="1"/>
  <c r="N50" i="1"/>
  <c r="D50" i="1"/>
  <c r="T50" i="8" s="1"/>
  <c r="X50" i="8" s="1"/>
  <c r="O49" i="1"/>
  <c r="N49" i="1"/>
  <c r="D49" i="1"/>
  <c r="T49" i="8" s="1"/>
  <c r="O48" i="1"/>
  <c r="N48" i="1"/>
  <c r="D48" i="1"/>
  <c r="T48" i="8" s="1"/>
  <c r="X48" i="8" s="1"/>
  <c r="O47" i="1"/>
  <c r="N47" i="1"/>
  <c r="D47" i="1"/>
  <c r="T47" i="8" s="1"/>
  <c r="O46" i="1"/>
  <c r="N46" i="1"/>
  <c r="D46" i="1"/>
  <c r="T46" i="8" s="1"/>
  <c r="X46" i="8" s="1"/>
  <c r="O45" i="1"/>
  <c r="N45" i="1"/>
  <c r="D45" i="1"/>
  <c r="T45" i="8" s="1"/>
  <c r="O44" i="1"/>
  <c r="N44" i="1"/>
  <c r="D44" i="1"/>
  <c r="T44" i="8" s="1"/>
  <c r="X44" i="8" s="1"/>
  <c r="O43" i="1"/>
  <c r="N43" i="1"/>
  <c r="D43" i="1"/>
  <c r="T43" i="8" s="1"/>
  <c r="X43" i="8" s="1"/>
  <c r="O42" i="1"/>
  <c r="N42" i="1"/>
  <c r="D42" i="1"/>
  <c r="T42" i="8" s="1"/>
  <c r="X42" i="8" s="1"/>
  <c r="O41" i="1"/>
  <c r="N41" i="1"/>
  <c r="D41" i="1"/>
  <c r="T41" i="8" s="1"/>
  <c r="O40" i="1"/>
  <c r="N40" i="1"/>
  <c r="D40" i="1"/>
  <c r="T40" i="8" s="1"/>
  <c r="O39" i="1"/>
  <c r="N39" i="1"/>
  <c r="D39" i="1"/>
  <c r="T39" i="8" s="1"/>
  <c r="X39" i="8" s="1"/>
  <c r="O38" i="1"/>
  <c r="N38" i="1"/>
  <c r="D38" i="1"/>
  <c r="T38" i="8" s="1"/>
  <c r="X38" i="8" s="1"/>
  <c r="O37" i="1"/>
  <c r="N37" i="1"/>
  <c r="D37" i="1"/>
  <c r="T37" i="8" s="1"/>
  <c r="O36" i="1"/>
  <c r="N36" i="1"/>
  <c r="D36" i="1"/>
  <c r="T36" i="8" s="1"/>
  <c r="X36" i="8" s="1"/>
  <c r="O35" i="1"/>
  <c r="N35" i="1"/>
  <c r="D35" i="1"/>
  <c r="T35" i="8" s="1"/>
  <c r="X35" i="8" s="1"/>
  <c r="O34" i="1"/>
  <c r="N34" i="1"/>
  <c r="D34" i="1"/>
  <c r="T34" i="8" s="1"/>
  <c r="X34" i="8" s="1"/>
  <c r="O33" i="1"/>
  <c r="N33" i="1"/>
  <c r="D33" i="1"/>
  <c r="T33" i="8" s="1"/>
  <c r="O32" i="1"/>
  <c r="N32" i="1"/>
  <c r="D32" i="1"/>
  <c r="T32" i="8" s="1"/>
  <c r="X32" i="8" s="1"/>
  <c r="O31" i="1"/>
  <c r="N31" i="1"/>
  <c r="D31" i="1"/>
  <c r="T31" i="8" s="1"/>
  <c r="O30" i="1"/>
  <c r="N30" i="1"/>
  <c r="D30" i="1"/>
  <c r="T30" i="8" s="1"/>
  <c r="X30" i="8" s="1"/>
  <c r="O29" i="1"/>
  <c r="N29" i="1"/>
  <c r="D29" i="1"/>
  <c r="T29" i="8" s="1"/>
  <c r="O28" i="1"/>
  <c r="N28" i="1"/>
  <c r="D28" i="1"/>
  <c r="T28" i="8" s="1"/>
  <c r="X28" i="8" s="1"/>
  <c r="O27" i="1"/>
  <c r="N27" i="1"/>
  <c r="D27" i="1"/>
  <c r="T27" i="8" s="1"/>
  <c r="X27" i="8" s="1"/>
  <c r="R26" i="1"/>
  <c r="AM26" i="8" s="1"/>
  <c r="AO26" i="8" s="1"/>
  <c r="Q26" i="1"/>
  <c r="AF26" i="8" s="1"/>
  <c r="P26" i="1"/>
  <c r="O26" i="1"/>
  <c r="N26" i="1"/>
  <c r="D26" i="1"/>
  <c r="T26" i="8" s="1"/>
  <c r="X26" i="8" s="1"/>
  <c r="O25" i="1"/>
  <c r="N25" i="1"/>
  <c r="D25" i="1"/>
  <c r="T25" i="8" s="1"/>
  <c r="O24" i="1"/>
  <c r="N24" i="1"/>
  <c r="D24" i="1"/>
  <c r="T24" i="8" s="1"/>
  <c r="X24" i="8" s="1"/>
  <c r="O23" i="1"/>
  <c r="N23" i="1"/>
  <c r="D23" i="1"/>
  <c r="T23" i="8" s="1"/>
  <c r="O22" i="1"/>
  <c r="N22" i="1"/>
  <c r="D22" i="1"/>
  <c r="T22" i="8" s="1"/>
  <c r="O21" i="1"/>
  <c r="N21" i="1"/>
  <c r="D21" i="1"/>
  <c r="T21" i="8" s="1"/>
  <c r="O20" i="1"/>
  <c r="N20" i="1"/>
  <c r="D20" i="1"/>
  <c r="T20" i="8" s="1"/>
  <c r="X20" i="8" s="1"/>
  <c r="O19" i="1"/>
  <c r="N19" i="1"/>
  <c r="D19" i="1"/>
  <c r="T19" i="8" s="1"/>
  <c r="X19" i="8" s="1"/>
  <c r="O18" i="1"/>
  <c r="N18" i="1"/>
  <c r="D18" i="1"/>
  <c r="T18" i="8" s="1"/>
  <c r="X18" i="8" s="1"/>
  <c r="O17" i="1"/>
  <c r="N17" i="1"/>
  <c r="D17" i="1"/>
  <c r="T17" i="8" s="1"/>
  <c r="X17" i="8" s="1"/>
  <c r="O16" i="1"/>
  <c r="N16" i="1"/>
  <c r="D16" i="1"/>
  <c r="T16" i="8" s="1"/>
  <c r="O15" i="1"/>
  <c r="N15" i="1"/>
  <c r="D15" i="1"/>
  <c r="T15" i="8" s="1"/>
  <c r="X15" i="8" s="1"/>
  <c r="O14" i="1"/>
  <c r="N14" i="1"/>
  <c r="D14" i="1"/>
  <c r="T14" i="8" s="1"/>
  <c r="X14" i="8" s="1"/>
  <c r="O13" i="1"/>
  <c r="N13" i="1"/>
  <c r="D13" i="1"/>
  <c r="T13" i="8" s="1"/>
  <c r="O12" i="1"/>
  <c r="N12" i="1"/>
  <c r="D12" i="1"/>
  <c r="T12" i="8" s="1"/>
  <c r="X12" i="8" s="1"/>
  <c r="O11" i="1"/>
  <c r="N11" i="1"/>
  <c r="D11" i="1"/>
  <c r="T11" i="8" s="1"/>
  <c r="O10" i="1"/>
  <c r="N10" i="1"/>
  <c r="D10" i="1"/>
  <c r="T10" i="8" s="1"/>
  <c r="X10" i="8" s="1"/>
  <c r="O9" i="1"/>
  <c r="N9" i="1"/>
  <c r="D9" i="1"/>
  <c r="T9" i="8" s="1"/>
  <c r="X9" i="8" s="1"/>
  <c r="O8" i="1"/>
  <c r="N8" i="1"/>
  <c r="D8" i="1"/>
  <c r="T8" i="8" s="1"/>
  <c r="O7" i="1"/>
  <c r="N7" i="1"/>
  <c r="D7" i="1"/>
  <c r="T7" i="8" s="1"/>
  <c r="O6" i="1"/>
  <c r="N6" i="1"/>
  <c r="D6" i="1"/>
  <c r="T6" i="8" s="1"/>
  <c r="X6" i="8" s="1"/>
  <c r="O5" i="1"/>
  <c r="N5" i="1"/>
  <c r="D5" i="1"/>
  <c r="T5" i="8" s="1"/>
  <c r="O4" i="1"/>
  <c r="N4" i="1"/>
  <c r="D4" i="1"/>
  <c r="T4" i="8" s="1"/>
  <c r="O3" i="1"/>
  <c r="N3" i="1"/>
  <c r="D3" i="1"/>
  <c r="T3" i="8" s="1"/>
  <c r="O2" i="1"/>
  <c r="N2" i="1"/>
  <c r="D2" i="1"/>
  <c r="T2" i="8" s="1"/>
  <c r="AN250" i="8"/>
  <c r="AM250" i="8"/>
  <c r="AO250" i="8" s="1"/>
  <c r="AL250" i="8"/>
  <c r="AK250" i="8"/>
  <c r="AJ250" i="8"/>
  <c r="AH250" i="8"/>
  <c r="AI250" i="8" s="1"/>
  <c r="AG250" i="8"/>
  <c r="AF250" i="8"/>
  <c r="AE250" i="8"/>
  <c r="AD250" i="8"/>
  <c r="AC250" i="8"/>
  <c r="AB250" i="8"/>
  <c r="AA250" i="8"/>
  <c r="W250" i="8"/>
  <c r="V250" i="8"/>
  <c r="U250" i="8"/>
  <c r="T250" i="8"/>
  <c r="X250" i="8" s="1"/>
  <c r="S250" i="8"/>
  <c r="AN249" i="8"/>
  <c r="AM249" i="8"/>
  <c r="AO249" i="8" s="1"/>
  <c r="AL249" i="8"/>
  <c r="AK249" i="8"/>
  <c r="AJ249" i="8"/>
  <c r="AG249" i="8"/>
  <c r="AF249" i="8"/>
  <c r="AE249" i="8"/>
  <c r="AH249" i="8" s="1"/>
  <c r="AI249" i="8" s="1"/>
  <c r="AD249" i="8"/>
  <c r="AC249" i="8"/>
  <c r="AB249" i="8"/>
  <c r="AA249" i="8"/>
  <c r="W249" i="8"/>
  <c r="V249" i="8"/>
  <c r="U249" i="8"/>
  <c r="T249" i="8"/>
  <c r="X249" i="8" s="1"/>
  <c r="S249" i="8"/>
  <c r="AN248" i="8"/>
  <c r="AM248" i="8"/>
  <c r="AO248" i="8" s="1"/>
  <c r="AL248" i="8"/>
  <c r="AK248" i="8"/>
  <c r="AJ248" i="8"/>
  <c r="AH248" i="8"/>
  <c r="AI248" i="8" s="1"/>
  <c r="AG248" i="8"/>
  <c r="AF248" i="8"/>
  <c r="AE248" i="8"/>
  <c r="AD248" i="8"/>
  <c r="AC248" i="8"/>
  <c r="AB248" i="8"/>
  <c r="AA248" i="8"/>
  <c r="W248" i="8"/>
  <c r="V248" i="8"/>
  <c r="U248" i="8"/>
  <c r="T248" i="8"/>
  <c r="X248" i="8" s="1"/>
  <c r="S248" i="8"/>
  <c r="AN247" i="8"/>
  <c r="AM247" i="8"/>
  <c r="AO247" i="8" s="1"/>
  <c r="AL247" i="8"/>
  <c r="AK247" i="8"/>
  <c r="AJ247" i="8"/>
  <c r="AG247" i="8"/>
  <c r="AF247" i="8"/>
  <c r="AE247" i="8"/>
  <c r="AH247" i="8" s="1"/>
  <c r="AI247" i="8" s="1"/>
  <c r="AD247" i="8"/>
  <c r="AC247" i="8"/>
  <c r="AB247" i="8"/>
  <c r="AA247" i="8"/>
  <c r="W247" i="8"/>
  <c r="V247" i="8"/>
  <c r="U247" i="8"/>
  <c r="T247" i="8"/>
  <c r="X247" i="8" s="1"/>
  <c r="S247" i="8"/>
  <c r="AN246" i="8"/>
  <c r="AM246" i="8"/>
  <c r="AO246" i="8" s="1"/>
  <c r="AL246" i="8"/>
  <c r="AK246" i="8"/>
  <c r="AJ246" i="8"/>
  <c r="AG246" i="8"/>
  <c r="AF246" i="8"/>
  <c r="AE246" i="8"/>
  <c r="AH246" i="8" s="1"/>
  <c r="AI246" i="8" s="1"/>
  <c r="AD246" i="8"/>
  <c r="AC246" i="8"/>
  <c r="AB246" i="8"/>
  <c r="AA246" i="8"/>
  <c r="W246" i="8"/>
  <c r="V246" i="8"/>
  <c r="U246" i="8"/>
  <c r="T246" i="8"/>
  <c r="X246" i="8" s="1"/>
  <c r="S246" i="8"/>
  <c r="AN245" i="8"/>
  <c r="AM245" i="8"/>
  <c r="AO245" i="8" s="1"/>
  <c r="AL245" i="8"/>
  <c r="AK245" i="8"/>
  <c r="AJ245" i="8"/>
  <c r="AG245" i="8"/>
  <c r="AF245" i="8"/>
  <c r="AE245" i="8"/>
  <c r="AH245" i="8" s="1"/>
  <c r="AI245" i="8" s="1"/>
  <c r="AD245" i="8"/>
  <c r="AC245" i="8"/>
  <c r="AB245" i="8"/>
  <c r="AA245" i="8"/>
  <c r="W245" i="8"/>
  <c r="V245" i="8"/>
  <c r="U245" i="8"/>
  <c r="T245" i="8"/>
  <c r="X245" i="8" s="1"/>
  <c r="S245" i="8"/>
  <c r="AN244" i="8"/>
  <c r="AM244" i="8"/>
  <c r="AO244" i="8" s="1"/>
  <c r="AL244" i="8"/>
  <c r="AK244" i="8"/>
  <c r="AJ244" i="8"/>
  <c r="AG244" i="8"/>
  <c r="AF244" i="8"/>
  <c r="AE244" i="8"/>
  <c r="AH244" i="8" s="1"/>
  <c r="AI244" i="8" s="1"/>
  <c r="AD244" i="8"/>
  <c r="AC244" i="8"/>
  <c r="AB244" i="8"/>
  <c r="AA244" i="8"/>
  <c r="W244" i="8"/>
  <c r="V244" i="8"/>
  <c r="U244" i="8"/>
  <c r="T244" i="8"/>
  <c r="X244" i="8" s="1"/>
  <c r="S244" i="8"/>
  <c r="AN243" i="8"/>
  <c r="AM243" i="8"/>
  <c r="AO243" i="8" s="1"/>
  <c r="AL243" i="8"/>
  <c r="AK243" i="8"/>
  <c r="AJ243" i="8"/>
  <c r="AG243" i="8"/>
  <c r="AF243" i="8"/>
  <c r="AE243" i="8"/>
  <c r="AH243" i="8" s="1"/>
  <c r="AI243" i="8" s="1"/>
  <c r="AD243" i="8"/>
  <c r="AC243" i="8"/>
  <c r="AB243" i="8"/>
  <c r="AA243" i="8"/>
  <c r="W243" i="8"/>
  <c r="V243" i="8"/>
  <c r="U243" i="8"/>
  <c r="T243" i="8"/>
  <c r="X243" i="8" s="1"/>
  <c r="S243" i="8"/>
  <c r="AN242" i="8"/>
  <c r="AM242" i="8"/>
  <c r="AO242" i="8" s="1"/>
  <c r="AL242" i="8"/>
  <c r="AK242" i="8"/>
  <c r="AJ242" i="8"/>
  <c r="AG242" i="8"/>
  <c r="AF242" i="8"/>
  <c r="AE242" i="8"/>
  <c r="AH242" i="8" s="1"/>
  <c r="AI242" i="8" s="1"/>
  <c r="AD242" i="8"/>
  <c r="AC242" i="8"/>
  <c r="AB242" i="8"/>
  <c r="AA242" i="8"/>
  <c r="W242" i="8"/>
  <c r="V242" i="8"/>
  <c r="U242" i="8"/>
  <c r="T242" i="8"/>
  <c r="X242" i="8" s="1"/>
  <c r="S242" i="8"/>
  <c r="AN241" i="8"/>
  <c r="AM241" i="8"/>
  <c r="AO241" i="8" s="1"/>
  <c r="AL241" i="8"/>
  <c r="AK241" i="8"/>
  <c r="AJ241" i="8"/>
  <c r="AG241" i="8"/>
  <c r="AF241" i="8"/>
  <c r="AE241" i="8"/>
  <c r="AH241" i="8" s="1"/>
  <c r="AI241" i="8" s="1"/>
  <c r="AD241" i="8"/>
  <c r="AC241" i="8"/>
  <c r="AB241" i="8"/>
  <c r="AA241" i="8"/>
  <c r="W241" i="8"/>
  <c r="V241" i="8"/>
  <c r="U241" i="8"/>
  <c r="T241" i="8"/>
  <c r="X241" i="8" s="1"/>
  <c r="S241" i="8"/>
  <c r="AN240" i="8"/>
  <c r="AM240" i="8"/>
  <c r="AO240" i="8" s="1"/>
  <c r="AL240" i="8"/>
  <c r="AK240" i="8"/>
  <c r="AJ240" i="8"/>
  <c r="AG240" i="8"/>
  <c r="AF240" i="8"/>
  <c r="AE240" i="8"/>
  <c r="AH240" i="8" s="1"/>
  <c r="AI240" i="8" s="1"/>
  <c r="AD240" i="8"/>
  <c r="AC240" i="8"/>
  <c r="AB240" i="8"/>
  <c r="AA240" i="8"/>
  <c r="W240" i="8"/>
  <c r="V240" i="8"/>
  <c r="U240" i="8"/>
  <c r="T240" i="8"/>
  <c r="X240" i="8" s="1"/>
  <c r="S240" i="8"/>
  <c r="AN239" i="8"/>
  <c r="AM239" i="8"/>
  <c r="AO239" i="8" s="1"/>
  <c r="AL239" i="8"/>
  <c r="AK239" i="8"/>
  <c r="AJ239" i="8"/>
  <c r="AG239" i="8"/>
  <c r="AF239" i="8"/>
  <c r="AE239" i="8"/>
  <c r="AH239" i="8" s="1"/>
  <c r="AI239" i="8" s="1"/>
  <c r="AD239" i="8"/>
  <c r="AC239" i="8"/>
  <c r="AB239" i="8"/>
  <c r="AA239" i="8"/>
  <c r="W239" i="8"/>
  <c r="V239" i="8"/>
  <c r="U239" i="8"/>
  <c r="T239" i="8"/>
  <c r="X239" i="8" s="1"/>
  <c r="S239" i="8"/>
  <c r="AN238" i="8"/>
  <c r="AM238" i="8"/>
  <c r="AO238" i="8" s="1"/>
  <c r="AL238" i="8"/>
  <c r="AK238" i="8"/>
  <c r="AJ238" i="8"/>
  <c r="AG238" i="8"/>
  <c r="AF238" i="8"/>
  <c r="AE238" i="8"/>
  <c r="AH238" i="8" s="1"/>
  <c r="AI238" i="8" s="1"/>
  <c r="AD238" i="8"/>
  <c r="AC238" i="8"/>
  <c r="AB238" i="8"/>
  <c r="AA238" i="8"/>
  <c r="W238" i="8"/>
  <c r="V238" i="8"/>
  <c r="U238" i="8"/>
  <c r="T238" i="8"/>
  <c r="X238" i="8" s="1"/>
  <c r="S238" i="8"/>
  <c r="AN237" i="8"/>
  <c r="AM237" i="8"/>
  <c r="AO237" i="8" s="1"/>
  <c r="AL237" i="8"/>
  <c r="AK237" i="8"/>
  <c r="AJ237" i="8"/>
  <c r="AG237" i="8"/>
  <c r="AF237" i="8"/>
  <c r="AE237" i="8"/>
  <c r="AH237" i="8" s="1"/>
  <c r="AI237" i="8" s="1"/>
  <c r="AD237" i="8"/>
  <c r="AC237" i="8"/>
  <c r="AB237" i="8"/>
  <c r="AA237" i="8"/>
  <c r="W237" i="8"/>
  <c r="V237" i="8"/>
  <c r="U237" i="8"/>
  <c r="T237" i="8"/>
  <c r="X237" i="8" s="1"/>
  <c r="S237" i="8"/>
  <c r="AN236" i="8"/>
  <c r="AM236" i="8"/>
  <c r="AO236" i="8" s="1"/>
  <c r="AL236" i="8"/>
  <c r="AK236" i="8"/>
  <c r="AJ236" i="8"/>
  <c r="AG236" i="8"/>
  <c r="AF236" i="8"/>
  <c r="AE236" i="8"/>
  <c r="AH236" i="8" s="1"/>
  <c r="AI236" i="8" s="1"/>
  <c r="AD236" i="8"/>
  <c r="AC236" i="8"/>
  <c r="AB236" i="8"/>
  <c r="AA236" i="8"/>
  <c r="W236" i="8"/>
  <c r="V236" i="8"/>
  <c r="U236" i="8"/>
  <c r="T236" i="8"/>
  <c r="X236" i="8" s="1"/>
  <c r="S236" i="8"/>
  <c r="AO235" i="8"/>
  <c r="AN235" i="8"/>
  <c r="AM235" i="8"/>
  <c r="AL235" i="8"/>
  <c r="AK235" i="8"/>
  <c r="AJ235" i="8"/>
  <c r="AG235" i="8"/>
  <c r="AF235" i="8"/>
  <c r="AE235" i="8"/>
  <c r="AH235" i="8" s="1"/>
  <c r="AI235" i="8" s="1"/>
  <c r="AD235" i="8"/>
  <c r="AC235" i="8"/>
  <c r="AB235" i="8"/>
  <c r="AA235" i="8"/>
  <c r="W235" i="8"/>
  <c r="V235" i="8"/>
  <c r="U235" i="8"/>
  <c r="T235" i="8"/>
  <c r="X235" i="8" s="1"/>
  <c r="S235" i="8"/>
  <c r="AN234" i="8"/>
  <c r="AM234" i="8"/>
  <c r="AO234" i="8" s="1"/>
  <c r="AL234" i="8"/>
  <c r="AK234" i="8"/>
  <c r="AJ234" i="8"/>
  <c r="AG234" i="8"/>
  <c r="AF234" i="8"/>
  <c r="AE234" i="8"/>
  <c r="AH234" i="8" s="1"/>
  <c r="AI234" i="8" s="1"/>
  <c r="AD234" i="8"/>
  <c r="AC234" i="8"/>
  <c r="AB234" i="8"/>
  <c r="AA234" i="8"/>
  <c r="W234" i="8"/>
  <c r="V234" i="8"/>
  <c r="U234" i="8"/>
  <c r="T234" i="8"/>
  <c r="X234" i="8" s="1"/>
  <c r="S234" i="8"/>
  <c r="AN233" i="8"/>
  <c r="AM233" i="8"/>
  <c r="AO233" i="8" s="1"/>
  <c r="AL233" i="8"/>
  <c r="AK233" i="8"/>
  <c r="AJ233" i="8"/>
  <c r="AG233" i="8"/>
  <c r="AF233" i="8"/>
  <c r="AE233" i="8"/>
  <c r="AH233" i="8" s="1"/>
  <c r="AI233" i="8" s="1"/>
  <c r="AD233" i="8"/>
  <c r="AC233" i="8"/>
  <c r="AB233" i="8"/>
  <c r="AA233" i="8"/>
  <c r="W233" i="8"/>
  <c r="V233" i="8"/>
  <c r="U233" i="8"/>
  <c r="T233" i="8"/>
  <c r="X233" i="8" s="1"/>
  <c r="S233" i="8"/>
  <c r="AN232" i="8"/>
  <c r="AM232" i="8"/>
  <c r="AO232" i="8" s="1"/>
  <c r="AL232" i="8"/>
  <c r="AK232" i="8"/>
  <c r="AJ232" i="8"/>
  <c r="AG232" i="8"/>
  <c r="AF232" i="8"/>
  <c r="AE232" i="8"/>
  <c r="AH232" i="8" s="1"/>
  <c r="AI232" i="8" s="1"/>
  <c r="AD232" i="8"/>
  <c r="AC232" i="8"/>
  <c r="AB232" i="8"/>
  <c r="AA232" i="8"/>
  <c r="W232" i="8"/>
  <c r="V232" i="8"/>
  <c r="U232" i="8"/>
  <c r="T232" i="8"/>
  <c r="X232" i="8" s="1"/>
  <c r="S232" i="8"/>
  <c r="AN231" i="8"/>
  <c r="AM231" i="8"/>
  <c r="AO231" i="8" s="1"/>
  <c r="AL231" i="8"/>
  <c r="AK231" i="8"/>
  <c r="AJ231" i="8"/>
  <c r="AG231" i="8"/>
  <c r="AF231" i="8"/>
  <c r="AE231" i="8"/>
  <c r="AH231" i="8" s="1"/>
  <c r="AI231" i="8" s="1"/>
  <c r="AD231" i="8"/>
  <c r="AC231" i="8"/>
  <c r="AB231" i="8"/>
  <c r="AA231" i="8"/>
  <c r="W231" i="8"/>
  <c r="V231" i="8"/>
  <c r="U231" i="8"/>
  <c r="T231" i="8"/>
  <c r="X231" i="8" s="1"/>
  <c r="S231" i="8"/>
  <c r="AN230" i="8"/>
  <c r="AM230" i="8"/>
  <c r="AO230" i="8" s="1"/>
  <c r="AL230" i="8"/>
  <c r="AK230" i="8"/>
  <c r="AJ230" i="8"/>
  <c r="AG230" i="8"/>
  <c r="AF230" i="8"/>
  <c r="AE230" i="8"/>
  <c r="AH230" i="8" s="1"/>
  <c r="AI230" i="8" s="1"/>
  <c r="AD230" i="8"/>
  <c r="AC230" i="8"/>
  <c r="AB230" i="8"/>
  <c r="AA230" i="8"/>
  <c r="W230" i="8"/>
  <c r="V230" i="8"/>
  <c r="U230" i="8"/>
  <c r="T230" i="8"/>
  <c r="X230" i="8" s="1"/>
  <c r="S230" i="8"/>
  <c r="AN229" i="8"/>
  <c r="AM229" i="8"/>
  <c r="AO229" i="8" s="1"/>
  <c r="AL229" i="8"/>
  <c r="AK229" i="8"/>
  <c r="AJ229" i="8"/>
  <c r="AG229" i="8"/>
  <c r="AF229" i="8"/>
  <c r="AE229" i="8"/>
  <c r="AH229" i="8" s="1"/>
  <c r="AI229" i="8" s="1"/>
  <c r="AD229" i="8"/>
  <c r="AC229" i="8"/>
  <c r="AB229" i="8"/>
  <c r="AA229" i="8"/>
  <c r="W229" i="8"/>
  <c r="V229" i="8"/>
  <c r="U229" i="8"/>
  <c r="T229" i="8"/>
  <c r="X229" i="8" s="1"/>
  <c r="S229" i="8"/>
  <c r="AN228" i="8"/>
  <c r="AM228" i="8"/>
  <c r="AO228" i="8" s="1"/>
  <c r="AL228" i="8"/>
  <c r="AK228" i="8"/>
  <c r="AJ228" i="8"/>
  <c r="AG228" i="8"/>
  <c r="AF228" i="8"/>
  <c r="AE228" i="8"/>
  <c r="AH228" i="8" s="1"/>
  <c r="AI228" i="8" s="1"/>
  <c r="AD228" i="8"/>
  <c r="AC228" i="8"/>
  <c r="AB228" i="8"/>
  <c r="AA228" i="8"/>
  <c r="W228" i="8"/>
  <c r="V228" i="8"/>
  <c r="U228" i="8"/>
  <c r="T228" i="8"/>
  <c r="X228" i="8" s="1"/>
  <c r="S228" i="8"/>
  <c r="AN227" i="8"/>
  <c r="AM227" i="8"/>
  <c r="AO227" i="8" s="1"/>
  <c r="AL227" i="8"/>
  <c r="AK227" i="8"/>
  <c r="AJ227" i="8"/>
  <c r="AG227" i="8"/>
  <c r="AF227" i="8"/>
  <c r="AE227" i="8"/>
  <c r="AH227" i="8" s="1"/>
  <c r="AI227" i="8" s="1"/>
  <c r="AD227" i="8"/>
  <c r="AC227" i="8"/>
  <c r="AB227" i="8"/>
  <c r="AA227" i="8"/>
  <c r="W227" i="8"/>
  <c r="V227" i="8"/>
  <c r="U227" i="8"/>
  <c r="T227" i="8"/>
  <c r="X227" i="8" s="1"/>
  <c r="S227" i="8"/>
  <c r="AN226" i="8"/>
  <c r="AM226" i="8"/>
  <c r="AO226" i="8" s="1"/>
  <c r="AL226" i="8"/>
  <c r="AK226" i="8"/>
  <c r="AJ226" i="8"/>
  <c r="AG226" i="8"/>
  <c r="AF226" i="8"/>
  <c r="AE226" i="8"/>
  <c r="AH226" i="8" s="1"/>
  <c r="AI226" i="8" s="1"/>
  <c r="AD226" i="8"/>
  <c r="AC226" i="8"/>
  <c r="AB226" i="8"/>
  <c r="AA226" i="8"/>
  <c r="W226" i="8"/>
  <c r="V226" i="8"/>
  <c r="U226" i="8"/>
  <c r="T226" i="8"/>
  <c r="X226" i="8" s="1"/>
  <c r="S226" i="8"/>
  <c r="AN225" i="8"/>
  <c r="AM225" i="8"/>
  <c r="AO225" i="8" s="1"/>
  <c r="AL225" i="8"/>
  <c r="AK225" i="8"/>
  <c r="AJ225" i="8"/>
  <c r="AG225" i="8"/>
  <c r="AF225" i="8"/>
  <c r="AE225" i="8"/>
  <c r="AH225" i="8" s="1"/>
  <c r="AI225" i="8" s="1"/>
  <c r="AD225" i="8"/>
  <c r="AC225" i="8"/>
  <c r="AB225" i="8"/>
  <c r="AA225" i="8"/>
  <c r="W225" i="8"/>
  <c r="V225" i="8"/>
  <c r="U225" i="8"/>
  <c r="T225" i="8"/>
  <c r="X225" i="8" s="1"/>
  <c r="S225" i="8"/>
  <c r="AN224" i="8"/>
  <c r="AM224" i="8"/>
  <c r="AO224" i="8" s="1"/>
  <c r="AL224" i="8"/>
  <c r="AK224" i="8"/>
  <c r="AJ224" i="8"/>
  <c r="AG224" i="8"/>
  <c r="AF224" i="8"/>
  <c r="AE224" i="8"/>
  <c r="AH224" i="8" s="1"/>
  <c r="AI224" i="8" s="1"/>
  <c r="AD224" i="8"/>
  <c r="AC224" i="8"/>
  <c r="AB224" i="8"/>
  <c r="AA224" i="8"/>
  <c r="W224" i="8"/>
  <c r="V224" i="8"/>
  <c r="U224" i="8"/>
  <c r="T224" i="8"/>
  <c r="X224" i="8" s="1"/>
  <c r="S224" i="8"/>
  <c r="AN223" i="8"/>
  <c r="AM223" i="8"/>
  <c r="AO223" i="8" s="1"/>
  <c r="AL223" i="8"/>
  <c r="AK223" i="8"/>
  <c r="AJ223" i="8"/>
  <c r="AG223" i="8"/>
  <c r="AF223" i="8"/>
  <c r="AE223" i="8"/>
  <c r="AH223" i="8" s="1"/>
  <c r="AI223" i="8" s="1"/>
  <c r="AD223" i="8"/>
  <c r="AC223" i="8"/>
  <c r="AB223" i="8"/>
  <c r="AA223" i="8"/>
  <c r="W223" i="8"/>
  <c r="V223" i="8"/>
  <c r="U223" i="8"/>
  <c r="T223" i="8"/>
  <c r="X223" i="8" s="1"/>
  <c r="S223" i="8"/>
  <c r="AN222" i="8"/>
  <c r="AM222" i="8"/>
  <c r="AO222" i="8" s="1"/>
  <c r="AL222" i="8"/>
  <c r="AK222" i="8"/>
  <c r="AJ222" i="8"/>
  <c r="AG222" i="8"/>
  <c r="AF222" i="8"/>
  <c r="AE222" i="8"/>
  <c r="AH222" i="8" s="1"/>
  <c r="AI222" i="8" s="1"/>
  <c r="AD222" i="8"/>
  <c r="AC222" i="8"/>
  <c r="AB222" i="8"/>
  <c r="AA222" i="8"/>
  <c r="W222" i="8"/>
  <c r="V222" i="8"/>
  <c r="U222" i="8"/>
  <c r="T222" i="8"/>
  <c r="X222" i="8" s="1"/>
  <c r="S222" i="8"/>
  <c r="AN221" i="8"/>
  <c r="AM221" i="8"/>
  <c r="AO221" i="8" s="1"/>
  <c r="AL221" i="8"/>
  <c r="AK221" i="8"/>
  <c r="AJ221" i="8"/>
  <c r="AG221" i="8"/>
  <c r="AF221" i="8"/>
  <c r="AE221" i="8"/>
  <c r="AH221" i="8" s="1"/>
  <c r="AI221" i="8" s="1"/>
  <c r="AD221" i="8"/>
  <c r="AC221" i="8"/>
  <c r="AB221" i="8"/>
  <c r="AA221" i="8"/>
  <c r="W221" i="8"/>
  <c r="V221" i="8"/>
  <c r="U221" i="8"/>
  <c r="T221" i="8"/>
  <c r="X221" i="8" s="1"/>
  <c r="S221" i="8"/>
  <c r="AN220" i="8"/>
  <c r="AM220" i="8"/>
  <c r="AO220" i="8" s="1"/>
  <c r="AL220" i="8"/>
  <c r="AK220" i="8"/>
  <c r="AJ220" i="8"/>
  <c r="AG220" i="8"/>
  <c r="AF220" i="8"/>
  <c r="AE220" i="8"/>
  <c r="AH220" i="8" s="1"/>
  <c r="AI220" i="8" s="1"/>
  <c r="AD220" i="8"/>
  <c r="AC220" i="8"/>
  <c r="AB220" i="8"/>
  <c r="AA220" i="8"/>
  <c r="W220" i="8"/>
  <c r="V220" i="8"/>
  <c r="U220" i="8"/>
  <c r="T220" i="8"/>
  <c r="X220" i="8" s="1"/>
  <c r="S220" i="8"/>
  <c r="AN219" i="8"/>
  <c r="AM219" i="8"/>
  <c r="AO219" i="8" s="1"/>
  <c r="AL219" i="8"/>
  <c r="AK219" i="8"/>
  <c r="AJ219" i="8"/>
  <c r="AG219" i="8"/>
  <c r="AF219" i="8"/>
  <c r="AE219" i="8"/>
  <c r="AH219" i="8" s="1"/>
  <c r="AI219" i="8" s="1"/>
  <c r="AD219" i="8"/>
  <c r="AC219" i="8"/>
  <c r="AB219" i="8"/>
  <c r="AA219" i="8"/>
  <c r="W219" i="8"/>
  <c r="V219" i="8"/>
  <c r="U219" i="8"/>
  <c r="T219" i="8"/>
  <c r="X219" i="8" s="1"/>
  <c r="S219" i="8"/>
  <c r="AN218" i="8"/>
  <c r="AM218" i="8"/>
  <c r="AO218" i="8" s="1"/>
  <c r="AL218" i="8"/>
  <c r="AK218" i="8"/>
  <c r="AJ218" i="8"/>
  <c r="AG218" i="8"/>
  <c r="AF218" i="8"/>
  <c r="AE218" i="8"/>
  <c r="AH218" i="8" s="1"/>
  <c r="AI218" i="8" s="1"/>
  <c r="AD218" i="8"/>
  <c r="AC218" i="8"/>
  <c r="AB218" i="8"/>
  <c r="AA218" i="8"/>
  <c r="W218" i="8"/>
  <c r="V218" i="8"/>
  <c r="U218" i="8"/>
  <c r="S218" i="8"/>
  <c r="AN217" i="8"/>
  <c r="AM217" i="8"/>
  <c r="AO217" i="8" s="1"/>
  <c r="AL217" i="8"/>
  <c r="AK217" i="8"/>
  <c r="AJ217" i="8"/>
  <c r="AG217" i="8"/>
  <c r="AF217" i="8"/>
  <c r="AE217" i="8"/>
  <c r="AH217" i="8" s="1"/>
  <c r="AI217" i="8" s="1"/>
  <c r="AD217" i="8"/>
  <c r="AC217" i="8"/>
  <c r="AB217" i="8"/>
  <c r="AA217" i="8"/>
  <c r="W217" i="8"/>
  <c r="V217" i="8"/>
  <c r="U217" i="8"/>
  <c r="S217" i="8"/>
  <c r="AN216" i="8"/>
  <c r="AM216" i="8"/>
  <c r="AO216" i="8" s="1"/>
  <c r="AL216" i="8"/>
  <c r="AK216" i="8"/>
  <c r="AJ216" i="8"/>
  <c r="AG216" i="8"/>
  <c r="AF216" i="8"/>
  <c r="AE216" i="8"/>
  <c r="AH216" i="8" s="1"/>
  <c r="AI216" i="8" s="1"/>
  <c r="AD216" i="8"/>
  <c r="AC216" i="8"/>
  <c r="AB216" i="8"/>
  <c r="AA216" i="8"/>
  <c r="W216" i="8"/>
  <c r="V216" i="8"/>
  <c r="U216" i="8"/>
  <c r="S216" i="8"/>
  <c r="AN215" i="8"/>
  <c r="AM215" i="8"/>
  <c r="AO215" i="8" s="1"/>
  <c r="AL215" i="8"/>
  <c r="AK215" i="8"/>
  <c r="AJ215" i="8"/>
  <c r="AG215" i="8"/>
  <c r="AF215" i="8"/>
  <c r="AE215" i="8"/>
  <c r="AH215" i="8" s="1"/>
  <c r="AI215" i="8" s="1"/>
  <c r="AD215" i="8"/>
  <c r="AC215" i="8"/>
  <c r="AB215" i="8"/>
  <c r="AA215" i="8"/>
  <c r="W215" i="8"/>
  <c r="V215" i="8"/>
  <c r="U215" i="8"/>
  <c r="S215" i="8"/>
  <c r="AN214" i="8"/>
  <c r="AM214" i="8"/>
  <c r="AO214" i="8" s="1"/>
  <c r="AL214" i="8"/>
  <c r="AK214" i="8"/>
  <c r="AJ214" i="8"/>
  <c r="AG214" i="8"/>
  <c r="AF214" i="8"/>
  <c r="AE214" i="8"/>
  <c r="AH214" i="8" s="1"/>
  <c r="AI214" i="8" s="1"/>
  <c r="AD214" i="8"/>
  <c r="AC214" i="8"/>
  <c r="AB214" i="8"/>
  <c r="AA214" i="8"/>
  <c r="W214" i="8"/>
  <c r="V214" i="8"/>
  <c r="U214" i="8"/>
  <c r="S214" i="8"/>
  <c r="AN213" i="8"/>
  <c r="AM213" i="8"/>
  <c r="AO213" i="8" s="1"/>
  <c r="AL213" i="8"/>
  <c r="AK213" i="8"/>
  <c r="AJ213" i="8"/>
  <c r="AG213" i="8"/>
  <c r="AF213" i="8"/>
  <c r="AE213" i="8"/>
  <c r="AH213" i="8" s="1"/>
  <c r="AI213" i="8" s="1"/>
  <c r="AD213" i="8"/>
  <c r="AC213" i="8"/>
  <c r="AB213" i="8"/>
  <c r="AA213" i="8"/>
  <c r="W213" i="8"/>
  <c r="V213" i="8"/>
  <c r="U213" i="8"/>
  <c r="S213" i="8"/>
  <c r="AN212" i="8"/>
  <c r="AM212" i="8"/>
  <c r="AO212" i="8" s="1"/>
  <c r="AL212" i="8"/>
  <c r="AK212" i="8"/>
  <c r="AJ212" i="8"/>
  <c r="AG212" i="8"/>
  <c r="AF212" i="8"/>
  <c r="AE212" i="8"/>
  <c r="AH212" i="8" s="1"/>
  <c r="AI212" i="8" s="1"/>
  <c r="AD212" i="8"/>
  <c r="AC212" i="8"/>
  <c r="AB212" i="8"/>
  <c r="AA212" i="8"/>
  <c r="W212" i="8"/>
  <c r="V212" i="8"/>
  <c r="U212" i="8"/>
  <c r="S212" i="8"/>
  <c r="AN211" i="8"/>
  <c r="AM211" i="8"/>
  <c r="AO211" i="8" s="1"/>
  <c r="AL211" i="8"/>
  <c r="AK211" i="8"/>
  <c r="AJ211" i="8"/>
  <c r="AG211" i="8"/>
  <c r="AF211" i="8"/>
  <c r="AE211" i="8"/>
  <c r="AH211" i="8" s="1"/>
  <c r="AI211" i="8" s="1"/>
  <c r="AD211" i="8"/>
  <c r="AC211" i="8"/>
  <c r="AB211" i="8"/>
  <c r="AA211" i="8"/>
  <c r="W211" i="8"/>
  <c r="V211" i="8"/>
  <c r="U211" i="8"/>
  <c r="S211" i="8"/>
  <c r="AN210" i="8"/>
  <c r="AM210" i="8"/>
  <c r="AO210" i="8" s="1"/>
  <c r="AL210" i="8"/>
  <c r="AK210" i="8"/>
  <c r="AJ210" i="8"/>
  <c r="AG210" i="8"/>
  <c r="AF210" i="8"/>
  <c r="AE210" i="8"/>
  <c r="AH210" i="8" s="1"/>
  <c r="AI210" i="8" s="1"/>
  <c r="AD210" i="8"/>
  <c r="AC210" i="8"/>
  <c r="AB210" i="8"/>
  <c r="AA210" i="8"/>
  <c r="W210" i="8"/>
  <c r="V210" i="8"/>
  <c r="U210" i="8"/>
  <c r="S210" i="8"/>
  <c r="AN209" i="8"/>
  <c r="AM209" i="8"/>
  <c r="AO209" i="8" s="1"/>
  <c r="AL209" i="8"/>
  <c r="AK209" i="8"/>
  <c r="AJ209" i="8"/>
  <c r="AG209" i="8"/>
  <c r="AF209" i="8"/>
  <c r="AE209" i="8"/>
  <c r="AH209" i="8" s="1"/>
  <c r="AI209" i="8" s="1"/>
  <c r="AD209" i="8"/>
  <c r="AC209" i="8"/>
  <c r="AB209" i="8"/>
  <c r="AA209" i="8"/>
  <c r="U209" i="8"/>
  <c r="S209" i="8"/>
  <c r="AL208" i="8"/>
  <c r="AK208" i="8"/>
  <c r="AJ208" i="8"/>
  <c r="AE208" i="8"/>
  <c r="AH208" i="8" s="1"/>
  <c r="AI208" i="8" s="1"/>
  <c r="AD208" i="8"/>
  <c r="AC208" i="8"/>
  <c r="AB208" i="8"/>
  <c r="AA208" i="8"/>
  <c r="U208" i="8"/>
  <c r="S208" i="8"/>
  <c r="AL207" i="8"/>
  <c r="AK207" i="8"/>
  <c r="AJ207" i="8"/>
  <c r="AE207" i="8"/>
  <c r="AH207" i="8" s="1"/>
  <c r="AI207" i="8" s="1"/>
  <c r="AD207" i="8"/>
  <c r="AC207" i="8"/>
  <c r="AB207" i="8"/>
  <c r="AA207" i="8"/>
  <c r="U207" i="8"/>
  <c r="S207" i="8"/>
  <c r="AL206" i="8"/>
  <c r="AK206" i="8"/>
  <c r="AJ206" i="8"/>
  <c r="AE206" i="8"/>
  <c r="AH206" i="8" s="1"/>
  <c r="AI206" i="8" s="1"/>
  <c r="AD206" i="8"/>
  <c r="AC206" i="8"/>
  <c r="AB206" i="8"/>
  <c r="AA206" i="8"/>
  <c r="U206" i="8"/>
  <c r="S206" i="8"/>
  <c r="AL205" i="8"/>
  <c r="AK205" i="8"/>
  <c r="AJ205" i="8"/>
  <c r="AE205" i="8"/>
  <c r="AH205" i="8" s="1"/>
  <c r="AI205" i="8" s="1"/>
  <c r="AD205" i="8"/>
  <c r="AC205" i="8"/>
  <c r="AB205" i="8"/>
  <c r="AA205" i="8"/>
  <c r="U205" i="8"/>
  <c r="S205" i="8"/>
  <c r="AL204" i="8"/>
  <c r="AK204" i="8"/>
  <c r="AJ204" i="8"/>
  <c r="AE204" i="8"/>
  <c r="AH204" i="8" s="1"/>
  <c r="AI204" i="8" s="1"/>
  <c r="AD204" i="8"/>
  <c r="AC204" i="8"/>
  <c r="AB204" i="8"/>
  <c r="AA204" i="8"/>
  <c r="U204" i="8"/>
  <c r="S204" i="8"/>
  <c r="AL203" i="8"/>
  <c r="AK203" i="8"/>
  <c r="AJ203" i="8"/>
  <c r="AE203" i="8"/>
  <c r="AH203" i="8" s="1"/>
  <c r="AI203" i="8" s="1"/>
  <c r="AD203" i="8"/>
  <c r="AC203" i="8"/>
  <c r="AB203" i="8"/>
  <c r="AA203" i="8"/>
  <c r="U203" i="8"/>
  <c r="S203" i="8"/>
  <c r="AL202" i="8"/>
  <c r="AK202" i="8"/>
  <c r="AJ202" i="8"/>
  <c r="AE202" i="8"/>
  <c r="AH202" i="8" s="1"/>
  <c r="AI202" i="8" s="1"/>
  <c r="AD202" i="8"/>
  <c r="AC202" i="8"/>
  <c r="AB202" i="8"/>
  <c r="AA202" i="8"/>
  <c r="U202" i="8"/>
  <c r="S202" i="8"/>
  <c r="AL201" i="8"/>
  <c r="AK201" i="8"/>
  <c r="AJ201" i="8"/>
  <c r="AE201" i="8"/>
  <c r="AH201" i="8" s="1"/>
  <c r="AI201" i="8" s="1"/>
  <c r="AD201" i="8"/>
  <c r="AC201" i="8"/>
  <c r="AB201" i="8"/>
  <c r="AA201" i="8"/>
  <c r="U201" i="8"/>
  <c r="S201" i="8"/>
  <c r="AL200" i="8"/>
  <c r="AK200" i="8"/>
  <c r="AJ200" i="8"/>
  <c r="AE200" i="8"/>
  <c r="AH200" i="8" s="1"/>
  <c r="AI200" i="8" s="1"/>
  <c r="AD200" i="8"/>
  <c r="AC200" i="8"/>
  <c r="AB200" i="8"/>
  <c r="AA200" i="8"/>
  <c r="U200" i="8"/>
  <c r="S200" i="8"/>
  <c r="AL199" i="8"/>
  <c r="AK199" i="8"/>
  <c r="AJ199" i="8"/>
  <c r="AE199" i="8"/>
  <c r="AH199" i="8" s="1"/>
  <c r="AI199" i="8" s="1"/>
  <c r="AD199" i="8"/>
  <c r="AC199" i="8"/>
  <c r="AB199" i="8"/>
  <c r="AA199" i="8"/>
  <c r="U199" i="8"/>
  <c r="S199" i="8"/>
  <c r="AL198" i="8"/>
  <c r="AK198" i="8"/>
  <c r="AJ198" i="8"/>
  <c r="AE198" i="8"/>
  <c r="AH198" i="8" s="1"/>
  <c r="AI198" i="8" s="1"/>
  <c r="AD198" i="8"/>
  <c r="AC198" i="8"/>
  <c r="AB198" i="8"/>
  <c r="AA198" i="8"/>
  <c r="U198" i="8"/>
  <c r="S198" i="8"/>
  <c r="AL197" i="8"/>
  <c r="AK197" i="8"/>
  <c r="AJ197" i="8"/>
  <c r="AE197" i="8"/>
  <c r="AH197" i="8" s="1"/>
  <c r="AI197" i="8" s="1"/>
  <c r="AD197" i="8"/>
  <c r="AC197" i="8"/>
  <c r="AB197" i="8"/>
  <c r="AA197" i="8"/>
  <c r="U197" i="8"/>
  <c r="S197" i="8"/>
  <c r="AL196" i="8"/>
  <c r="AK196" i="8"/>
  <c r="AJ196" i="8"/>
  <c r="AE196" i="8"/>
  <c r="AH196" i="8" s="1"/>
  <c r="AI196" i="8" s="1"/>
  <c r="AD196" i="8"/>
  <c r="AC196" i="8"/>
  <c r="AB196" i="8"/>
  <c r="AA196" i="8"/>
  <c r="U196" i="8"/>
  <c r="S196" i="8"/>
  <c r="AL195" i="8"/>
  <c r="AK195" i="8"/>
  <c r="AJ195" i="8"/>
  <c r="AE195" i="8"/>
  <c r="AH195" i="8" s="1"/>
  <c r="AI195" i="8" s="1"/>
  <c r="AD195" i="8"/>
  <c r="AC195" i="8"/>
  <c r="AB195" i="8"/>
  <c r="AA195" i="8"/>
  <c r="U195" i="8"/>
  <c r="S195" i="8"/>
  <c r="AL194" i="8"/>
  <c r="AK194" i="8"/>
  <c r="AJ194" i="8"/>
  <c r="AE194" i="8"/>
  <c r="AH194" i="8" s="1"/>
  <c r="AI194" i="8" s="1"/>
  <c r="AD194" i="8"/>
  <c r="AC194" i="8"/>
  <c r="AB194" i="8"/>
  <c r="AA194" i="8"/>
  <c r="U194" i="8"/>
  <c r="S194" i="8"/>
  <c r="AN193" i="8"/>
  <c r="AM193" i="8"/>
  <c r="AO193" i="8" s="1"/>
  <c r="AL193" i="8"/>
  <c r="AK193" i="8"/>
  <c r="AJ193" i="8"/>
  <c r="AG193" i="8"/>
  <c r="AF193" i="8"/>
  <c r="AE193" i="8"/>
  <c r="AH193" i="8" s="1"/>
  <c r="AI193" i="8" s="1"/>
  <c r="AD193" i="8"/>
  <c r="AC193" i="8"/>
  <c r="AB193" i="8"/>
  <c r="AA193" i="8"/>
  <c r="W193" i="8"/>
  <c r="V193" i="8"/>
  <c r="U193" i="8"/>
  <c r="S193" i="8"/>
  <c r="AN192" i="8"/>
  <c r="AM192" i="8"/>
  <c r="AO192" i="8" s="1"/>
  <c r="AL192" i="8"/>
  <c r="AK192" i="8"/>
  <c r="AJ192" i="8"/>
  <c r="AG192" i="8"/>
  <c r="AF192" i="8"/>
  <c r="AE192" i="8"/>
  <c r="AH192" i="8" s="1"/>
  <c r="AI192" i="8" s="1"/>
  <c r="AD192" i="8"/>
  <c r="AC192" i="8"/>
  <c r="AB192" i="8"/>
  <c r="AA192" i="8"/>
  <c r="W192" i="8"/>
  <c r="V192" i="8"/>
  <c r="U192" i="8"/>
  <c r="S192" i="8"/>
  <c r="AN191" i="8"/>
  <c r="AM191" i="8"/>
  <c r="AO191" i="8" s="1"/>
  <c r="AL191" i="8"/>
  <c r="AK191" i="8"/>
  <c r="AJ191" i="8"/>
  <c r="AG191" i="8"/>
  <c r="AF191" i="8"/>
  <c r="AE191" i="8"/>
  <c r="AH191" i="8" s="1"/>
  <c r="AI191" i="8" s="1"/>
  <c r="AD191" i="8"/>
  <c r="AC191" i="8"/>
  <c r="AB191" i="8"/>
  <c r="AA191" i="8"/>
  <c r="W191" i="8"/>
  <c r="V191" i="8"/>
  <c r="U191" i="8"/>
  <c r="S191" i="8"/>
  <c r="AN190" i="8"/>
  <c r="AM190" i="8"/>
  <c r="AO190" i="8" s="1"/>
  <c r="AL190" i="8"/>
  <c r="AK190" i="8"/>
  <c r="AJ190" i="8"/>
  <c r="AG190" i="8"/>
  <c r="AF190" i="8"/>
  <c r="AE190" i="8"/>
  <c r="AH190" i="8" s="1"/>
  <c r="AI190" i="8" s="1"/>
  <c r="AD190" i="8"/>
  <c r="AC190" i="8"/>
  <c r="AB190" i="8"/>
  <c r="AA190" i="8"/>
  <c r="W190" i="8"/>
  <c r="V190" i="8"/>
  <c r="U190" i="8"/>
  <c r="S190" i="8"/>
  <c r="AN189" i="8"/>
  <c r="AM189" i="8"/>
  <c r="AO189" i="8" s="1"/>
  <c r="AL189" i="8"/>
  <c r="AK189" i="8"/>
  <c r="AJ189" i="8"/>
  <c r="AG189" i="8"/>
  <c r="AF189" i="8"/>
  <c r="AE189" i="8"/>
  <c r="AH189" i="8" s="1"/>
  <c r="AI189" i="8" s="1"/>
  <c r="AD189" i="8"/>
  <c r="AC189" i="8"/>
  <c r="AB189" i="8"/>
  <c r="AA189" i="8"/>
  <c r="W189" i="8"/>
  <c r="V189" i="8"/>
  <c r="U189" i="8"/>
  <c r="S189" i="8"/>
  <c r="AN188" i="8"/>
  <c r="AM188" i="8"/>
  <c r="AO188" i="8" s="1"/>
  <c r="AL188" i="8"/>
  <c r="AK188" i="8"/>
  <c r="AJ188" i="8"/>
  <c r="AG188" i="8"/>
  <c r="AF188" i="8"/>
  <c r="AE188" i="8"/>
  <c r="AH188" i="8" s="1"/>
  <c r="AI188" i="8" s="1"/>
  <c r="AD188" i="8"/>
  <c r="AC188" i="8"/>
  <c r="AB188" i="8"/>
  <c r="AA188" i="8"/>
  <c r="W188" i="8"/>
  <c r="V188" i="8"/>
  <c r="U188" i="8"/>
  <c r="S188" i="8"/>
  <c r="AN187" i="8"/>
  <c r="AM187" i="8"/>
  <c r="AO187" i="8" s="1"/>
  <c r="AL187" i="8"/>
  <c r="AK187" i="8"/>
  <c r="AJ187" i="8"/>
  <c r="AG187" i="8"/>
  <c r="AF187" i="8"/>
  <c r="AE187" i="8"/>
  <c r="AH187" i="8" s="1"/>
  <c r="AI187" i="8" s="1"/>
  <c r="AD187" i="8"/>
  <c r="AC187" i="8"/>
  <c r="AB187" i="8"/>
  <c r="AA187" i="8"/>
  <c r="W187" i="8"/>
  <c r="V187" i="8"/>
  <c r="U187" i="8"/>
  <c r="S187" i="8"/>
  <c r="AN186" i="8"/>
  <c r="AM186" i="8"/>
  <c r="AO186" i="8" s="1"/>
  <c r="AL186" i="8"/>
  <c r="AK186" i="8"/>
  <c r="AJ186" i="8"/>
  <c r="AG186" i="8"/>
  <c r="AF186" i="8"/>
  <c r="AE186" i="8"/>
  <c r="AH186" i="8" s="1"/>
  <c r="AI186" i="8" s="1"/>
  <c r="AD186" i="8"/>
  <c r="AC186" i="8"/>
  <c r="AB186" i="8"/>
  <c r="AA186" i="8"/>
  <c r="W186" i="8"/>
  <c r="V186" i="8"/>
  <c r="U186" i="8"/>
  <c r="S186" i="8"/>
  <c r="AN185" i="8"/>
  <c r="AM185" i="8"/>
  <c r="AO185" i="8" s="1"/>
  <c r="AL185" i="8"/>
  <c r="AK185" i="8"/>
  <c r="AJ185" i="8"/>
  <c r="AG185" i="8"/>
  <c r="AF185" i="8"/>
  <c r="AE185" i="8"/>
  <c r="AH185" i="8" s="1"/>
  <c r="AI185" i="8" s="1"/>
  <c r="AD185" i="8"/>
  <c r="AC185" i="8"/>
  <c r="AB185" i="8"/>
  <c r="AA185" i="8"/>
  <c r="W185" i="8"/>
  <c r="V185" i="8"/>
  <c r="U185" i="8"/>
  <c r="S185" i="8"/>
  <c r="AN184" i="8"/>
  <c r="AM184" i="8"/>
  <c r="AO184" i="8" s="1"/>
  <c r="AL184" i="8"/>
  <c r="AK184" i="8"/>
  <c r="AJ184" i="8"/>
  <c r="AG184" i="8"/>
  <c r="AF184" i="8"/>
  <c r="AE184" i="8"/>
  <c r="AH184" i="8" s="1"/>
  <c r="AI184" i="8" s="1"/>
  <c r="AD184" i="8"/>
  <c r="AC184" i="8"/>
  <c r="AB184" i="8"/>
  <c r="AA184" i="8"/>
  <c r="W184" i="8"/>
  <c r="V184" i="8"/>
  <c r="U184" i="8"/>
  <c r="S184" i="8"/>
  <c r="AN183" i="8"/>
  <c r="AM183" i="8"/>
  <c r="AO183" i="8" s="1"/>
  <c r="AL183" i="8"/>
  <c r="AK183" i="8"/>
  <c r="AJ183" i="8"/>
  <c r="AG183" i="8"/>
  <c r="AF183" i="8"/>
  <c r="AE183" i="8"/>
  <c r="AH183" i="8" s="1"/>
  <c r="AI183" i="8" s="1"/>
  <c r="AD183" i="8"/>
  <c r="AC183" i="8"/>
  <c r="AB183" i="8"/>
  <c r="AA183" i="8"/>
  <c r="W183" i="8"/>
  <c r="V183" i="8"/>
  <c r="U183" i="8"/>
  <c r="S183" i="8"/>
  <c r="AN182" i="8"/>
  <c r="AM182" i="8"/>
  <c r="AO182" i="8" s="1"/>
  <c r="AL182" i="8"/>
  <c r="AK182" i="8"/>
  <c r="AJ182" i="8"/>
  <c r="AG182" i="8"/>
  <c r="AF182" i="8"/>
  <c r="AE182" i="8"/>
  <c r="AH182" i="8" s="1"/>
  <c r="AI182" i="8" s="1"/>
  <c r="AD182" i="8"/>
  <c r="AC182" i="8"/>
  <c r="AB182" i="8"/>
  <c r="AA182" i="8"/>
  <c r="W182" i="8"/>
  <c r="V182" i="8"/>
  <c r="U182" i="8"/>
  <c r="S182" i="8"/>
  <c r="AN181" i="8"/>
  <c r="AM181" i="8"/>
  <c r="AO181" i="8" s="1"/>
  <c r="AL181" i="8"/>
  <c r="AK181" i="8"/>
  <c r="AJ181" i="8"/>
  <c r="AG181" i="8"/>
  <c r="AF181" i="8"/>
  <c r="AE181" i="8"/>
  <c r="AH181" i="8" s="1"/>
  <c r="AI181" i="8" s="1"/>
  <c r="AD181" i="8"/>
  <c r="AC181" i="8"/>
  <c r="AB181" i="8"/>
  <c r="AA181" i="8"/>
  <c r="W181" i="8"/>
  <c r="V181" i="8"/>
  <c r="U181" i="8"/>
  <c r="S181" i="8"/>
  <c r="AN180" i="8"/>
  <c r="AM180" i="8"/>
  <c r="AO180" i="8" s="1"/>
  <c r="AL180" i="8"/>
  <c r="AK180" i="8"/>
  <c r="AJ180" i="8"/>
  <c r="AG180" i="8"/>
  <c r="AF180" i="8"/>
  <c r="AE180" i="8"/>
  <c r="AH180" i="8" s="1"/>
  <c r="AI180" i="8" s="1"/>
  <c r="AD180" i="8"/>
  <c r="AC180" i="8"/>
  <c r="AB180" i="8"/>
  <c r="AA180" i="8"/>
  <c r="W180" i="8"/>
  <c r="V180" i="8"/>
  <c r="U180" i="8"/>
  <c r="S180" i="8"/>
  <c r="AN179" i="8"/>
  <c r="AM179" i="8"/>
  <c r="AO179" i="8" s="1"/>
  <c r="AL179" i="8"/>
  <c r="AK179" i="8"/>
  <c r="AJ179" i="8"/>
  <c r="AG179" i="8"/>
  <c r="AF179" i="8"/>
  <c r="AE179" i="8"/>
  <c r="AH179" i="8" s="1"/>
  <c r="AI179" i="8" s="1"/>
  <c r="AD179" i="8"/>
  <c r="AC179" i="8"/>
  <c r="AB179" i="8"/>
  <c r="AA179" i="8"/>
  <c r="W179" i="8"/>
  <c r="V179" i="8"/>
  <c r="U179" i="8"/>
  <c r="S179" i="8"/>
  <c r="AN178" i="8"/>
  <c r="AM178" i="8"/>
  <c r="AO178" i="8" s="1"/>
  <c r="AL178" i="8"/>
  <c r="AK178" i="8"/>
  <c r="AJ178" i="8"/>
  <c r="AG178" i="8"/>
  <c r="AF178" i="8"/>
  <c r="AE178" i="8"/>
  <c r="AH178" i="8" s="1"/>
  <c r="AI178" i="8" s="1"/>
  <c r="AD178" i="8"/>
  <c r="AC178" i="8"/>
  <c r="AB178" i="8"/>
  <c r="AA178" i="8"/>
  <c r="W178" i="8"/>
  <c r="V178" i="8"/>
  <c r="U178" i="8"/>
  <c r="S178" i="8"/>
  <c r="AN177" i="8"/>
  <c r="AM177" i="8"/>
  <c r="AO177" i="8" s="1"/>
  <c r="AL177" i="8"/>
  <c r="AK177" i="8"/>
  <c r="AJ177" i="8"/>
  <c r="AG177" i="8"/>
  <c r="AF177" i="8"/>
  <c r="AE177" i="8"/>
  <c r="AH177" i="8" s="1"/>
  <c r="AI177" i="8" s="1"/>
  <c r="AD177" i="8"/>
  <c r="AC177" i="8"/>
  <c r="AB177" i="8"/>
  <c r="AA177" i="8"/>
  <c r="W177" i="8"/>
  <c r="V177" i="8"/>
  <c r="U177" i="8"/>
  <c r="T177" i="8"/>
  <c r="X177" i="8" s="1"/>
  <c r="S177" i="8"/>
  <c r="AN176" i="8"/>
  <c r="AM176" i="8"/>
  <c r="AO176" i="8" s="1"/>
  <c r="AL176" i="8"/>
  <c r="AK176" i="8"/>
  <c r="AJ176" i="8"/>
  <c r="AG176" i="8"/>
  <c r="AF176" i="8"/>
  <c r="AE176" i="8"/>
  <c r="AH176" i="8" s="1"/>
  <c r="AI176" i="8" s="1"/>
  <c r="AD176" i="8"/>
  <c r="AC176" i="8"/>
  <c r="AB176" i="8"/>
  <c r="AA176" i="8"/>
  <c r="W176" i="8"/>
  <c r="V176" i="8"/>
  <c r="U176" i="8"/>
  <c r="T176" i="8"/>
  <c r="X176" i="8" s="1"/>
  <c r="S176" i="8"/>
  <c r="AN175" i="8"/>
  <c r="AM175" i="8"/>
  <c r="AO175" i="8" s="1"/>
  <c r="AL175" i="8"/>
  <c r="AK175" i="8"/>
  <c r="AJ175" i="8"/>
  <c r="AG175" i="8"/>
  <c r="AF175" i="8"/>
  <c r="AE175" i="8"/>
  <c r="AH175" i="8" s="1"/>
  <c r="AI175" i="8" s="1"/>
  <c r="AD175" i="8"/>
  <c r="AC175" i="8"/>
  <c r="AB175" i="8"/>
  <c r="AA175" i="8"/>
  <c r="W175" i="8"/>
  <c r="V175" i="8"/>
  <c r="U175" i="8"/>
  <c r="T175" i="8"/>
  <c r="X175" i="8" s="1"/>
  <c r="S175" i="8"/>
  <c r="AN174" i="8"/>
  <c r="AM174" i="8"/>
  <c r="AO174" i="8" s="1"/>
  <c r="AL174" i="8"/>
  <c r="AK174" i="8"/>
  <c r="AJ174" i="8"/>
  <c r="AG174" i="8"/>
  <c r="AF174" i="8"/>
  <c r="AE174" i="8"/>
  <c r="AH174" i="8" s="1"/>
  <c r="AI174" i="8" s="1"/>
  <c r="AD174" i="8"/>
  <c r="AC174" i="8"/>
  <c r="AB174" i="8"/>
  <c r="AA174" i="8"/>
  <c r="W174" i="8"/>
  <c r="V174" i="8"/>
  <c r="U174" i="8"/>
  <c r="T174" i="8"/>
  <c r="X174" i="8" s="1"/>
  <c r="S174" i="8"/>
  <c r="AN173" i="8"/>
  <c r="AM173" i="8"/>
  <c r="AO173" i="8" s="1"/>
  <c r="AL173" i="8"/>
  <c r="AK173" i="8"/>
  <c r="AJ173" i="8"/>
  <c r="AG173" i="8"/>
  <c r="AF173" i="8"/>
  <c r="AE173" i="8"/>
  <c r="AH173" i="8" s="1"/>
  <c r="AI173" i="8" s="1"/>
  <c r="AD173" i="8"/>
  <c r="AC173" i="8"/>
  <c r="AB173" i="8"/>
  <c r="AA173" i="8"/>
  <c r="W173" i="8"/>
  <c r="V173" i="8"/>
  <c r="U173" i="8"/>
  <c r="T173" i="8"/>
  <c r="X173" i="8" s="1"/>
  <c r="S173" i="8"/>
  <c r="AN172" i="8"/>
  <c r="AM172" i="8"/>
  <c r="AO172" i="8" s="1"/>
  <c r="AL172" i="8"/>
  <c r="AK172" i="8"/>
  <c r="AJ172" i="8"/>
  <c r="AG172" i="8"/>
  <c r="AF172" i="8"/>
  <c r="AE172" i="8"/>
  <c r="AH172" i="8" s="1"/>
  <c r="AI172" i="8" s="1"/>
  <c r="AD172" i="8"/>
  <c r="AC172" i="8"/>
  <c r="AB172" i="8"/>
  <c r="AA172" i="8"/>
  <c r="W172" i="8"/>
  <c r="V172" i="8"/>
  <c r="U172" i="8"/>
  <c r="T172" i="8"/>
  <c r="X172" i="8" s="1"/>
  <c r="S172" i="8"/>
  <c r="AN171" i="8"/>
  <c r="AM171" i="8"/>
  <c r="AO171" i="8" s="1"/>
  <c r="AL171" i="8"/>
  <c r="AK171" i="8"/>
  <c r="AJ171" i="8"/>
  <c r="AG171" i="8"/>
  <c r="AF171" i="8"/>
  <c r="AE171" i="8"/>
  <c r="AH171" i="8" s="1"/>
  <c r="AI171" i="8" s="1"/>
  <c r="AD171" i="8"/>
  <c r="AC171" i="8"/>
  <c r="AB171" i="8"/>
  <c r="AA171" i="8"/>
  <c r="W171" i="8"/>
  <c r="V171" i="8"/>
  <c r="U171" i="8"/>
  <c r="T171" i="8"/>
  <c r="X171" i="8" s="1"/>
  <c r="S171" i="8"/>
  <c r="AN170" i="8"/>
  <c r="AM170" i="8"/>
  <c r="AO170" i="8" s="1"/>
  <c r="AL170" i="8"/>
  <c r="AK170" i="8"/>
  <c r="AJ170" i="8"/>
  <c r="AG170" i="8"/>
  <c r="AF170" i="8"/>
  <c r="AE170" i="8"/>
  <c r="AH170" i="8" s="1"/>
  <c r="AI170" i="8" s="1"/>
  <c r="AD170" i="8"/>
  <c r="AC170" i="8"/>
  <c r="AB170" i="8"/>
  <c r="AA170" i="8"/>
  <c r="W170" i="8"/>
  <c r="V170" i="8"/>
  <c r="U170" i="8"/>
  <c r="T170" i="8"/>
  <c r="X170" i="8" s="1"/>
  <c r="S170" i="8"/>
  <c r="AN169" i="8"/>
  <c r="AM169" i="8"/>
  <c r="AO169" i="8" s="1"/>
  <c r="AL169" i="8"/>
  <c r="AK169" i="8"/>
  <c r="AJ169" i="8"/>
  <c r="AG169" i="8"/>
  <c r="AF169" i="8"/>
  <c r="AE169" i="8"/>
  <c r="AH169" i="8" s="1"/>
  <c r="AI169" i="8" s="1"/>
  <c r="AD169" i="8"/>
  <c r="AC169" i="8"/>
  <c r="AB169" i="8"/>
  <c r="AA169" i="8"/>
  <c r="W169" i="8"/>
  <c r="V169" i="8"/>
  <c r="U169" i="8"/>
  <c r="T169" i="8"/>
  <c r="X169" i="8" s="1"/>
  <c r="S169" i="8"/>
  <c r="AN168" i="8"/>
  <c r="AM168" i="8"/>
  <c r="AO168" i="8" s="1"/>
  <c r="AL168" i="8"/>
  <c r="AK168" i="8"/>
  <c r="AJ168" i="8"/>
  <c r="AG168" i="8"/>
  <c r="AF168" i="8"/>
  <c r="AE168" i="8"/>
  <c r="AH168" i="8" s="1"/>
  <c r="AI168" i="8" s="1"/>
  <c r="AD168" i="8"/>
  <c r="AC168" i="8"/>
  <c r="AB168" i="8"/>
  <c r="AA168" i="8"/>
  <c r="W168" i="8"/>
  <c r="V168" i="8"/>
  <c r="U168" i="8"/>
  <c r="S168" i="8"/>
  <c r="AN167" i="8"/>
  <c r="AM167" i="8"/>
  <c r="AO167" i="8" s="1"/>
  <c r="AL167" i="8"/>
  <c r="AK167" i="8"/>
  <c r="AJ167" i="8"/>
  <c r="AG167" i="8"/>
  <c r="AF167" i="8"/>
  <c r="AE167" i="8"/>
  <c r="AH167" i="8" s="1"/>
  <c r="AI167" i="8" s="1"/>
  <c r="AD167" i="8"/>
  <c r="AC167" i="8"/>
  <c r="AB167" i="8"/>
  <c r="AA167" i="8"/>
  <c r="W167" i="8"/>
  <c r="V167" i="8"/>
  <c r="U167" i="8"/>
  <c r="S167" i="8"/>
  <c r="AN166" i="8"/>
  <c r="AM166" i="8"/>
  <c r="AO166" i="8" s="1"/>
  <c r="AL166" i="8"/>
  <c r="AK166" i="8"/>
  <c r="AJ166" i="8"/>
  <c r="AG166" i="8"/>
  <c r="AF166" i="8"/>
  <c r="AE166" i="8"/>
  <c r="AH166" i="8" s="1"/>
  <c r="AI166" i="8" s="1"/>
  <c r="AD166" i="8"/>
  <c r="AC166" i="8"/>
  <c r="AB166" i="8"/>
  <c r="AA166" i="8"/>
  <c r="W166" i="8"/>
  <c r="V166" i="8"/>
  <c r="U166" i="8"/>
  <c r="S166" i="8"/>
  <c r="AN165" i="8"/>
  <c r="AM165" i="8"/>
  <c r="AO165" i="8" s="1"/>
  <c r="AL165" i="8"/>
  <c r="AK165" i="8"/>
  <c r="AJ165" i="8"/>
  <c r="AG165" i="8"/>
  <c r="AF165" i="8"/>
  <c r="AE165" i="8"/>
  <c r="AH165" i="8" s="1"/>
  <c r="AI165" i="8" s="1"/>
  <c r="AD165" i="8"/>
  <c r="AC165" i="8"/>
  <c r="AB165" i="8"/>
  <c r="AA165" i="8"/>
  <c r="W165" i="8"/>
  <c r="V165" i="8"/>
  <c r="U165" i="8"/>
  <c r="S165" i="8"/>
  <c r="AN164" i="8"/>
  <c r="AM164" i="8"/>
  <c r="AO164" i="8" s="1"/>
  <c r="AL164" i="8"/>
  <c r="AK164" i="8"/>
  <c r="AJ164" i="8"/>
  <c r="AG164" i="8"/>
  <c r="AF164" i="8"/>
  <c r="AE164" i="8"/>
  <c r="AH164" i="8" s="1"/>
  <c r="AI164" i="8" s="1"/>
  <c r="AD164" i="8"/>
  <c r="AC164" i="8"/>
  <c r="AB164" i="8"/>
  <c r="AA164" i="8"/>
  <c r="W164" i="8"/>
  <c r="V164" i="8"/>
  <c r="U164" i="8"/>
  <c r="S164" i="8"/>
  <c r="AN163" i="8"/>
  <c r="AM163" i="8"/>
  <c r="AO163" i="8" s="1"/>
  <c r="AL163" i="8"/>
  <c r="AK163" i="8"/>
  <c r="AJ163" i="8"/>
  <c r="AG163" i="8"/>
  <c r="AF163" i="8"/>
  <c r="AE163" i="8"/>
  <c r="AH163" i="8" s="1"/>
  <c r="AI163" i="8" s="1"/>
  <c r="AD163" i="8"/>
  <c r="AC163" i="8"/>
  <c r="AB163" i="8"/>
  <c r="AA163" i="8"/>
  <c r="W163" i="8"/>
  <c r="V163" i="8"/>
  <c r="U163" i="8"/>
  <c r="S163" i="8"/>
  <c r="AN162" i="8"/>
  <c r="AM162" i="8"/>
  <c r="AO162" i="8" s="1"/>
  <c r="AL162" i="8"/>
  <c r="AK162" i="8"/>
  <c r="AJ162" i="8"/>
  <c r="AG162" i="8"/>
  <c r="AF162" i="8"/>
  <c r="AE162" i="8"/>
  <c r="AH162" i="8" s="1"/>
  <c r="AI162" i="8" s="1"/>
  <c r="AD162" i="8"/>
  <c r="AC162" i="8"/>
  <c r="AB162" i="8"/>
  <c r="AA162" i="8"/>
  <c r="W162" i="8"/>
  <c r="V162" i="8"/>
  <c r="U162" i="8"/>
  <c r="S162" i="8"/>
  <c r="AN161" i="8"/>
  <c r="AM161" i="8"/>
  <c r="AO161" i="8" s="1"/>
  <c r="AL161" i="8"/>
  <c r="AK161" i="8"/>
  <c r="AJ161" i="8"/>
  <c r="AG161" i="8"/>
  <c r="AF161" i="8"/>
  <c r="AE161" i="8"/>
  <c r="AH161" i="8" s="1"/>
  <c r="AI161" i="8" s="1"/>
  <c r="AD161" i="8"/>
  <c r="AC161" i="8"/>
  <c r="AB161" i="8"/>
  <c r="AA161" i="8"/>
  <c r="W161" i="8"/>
  <c r="V161" i="8"/>
  <c r="U161" i="8"/>
  <c r="S161" i="8"/>
  <c r="AN160" i="8"/>
  <c r="AM160" i="8"/>
  <c r="AO160" i="8" s="1"/>
  <c r="AL160" i="8"/>
  <c r="AK160" i="8"/>
  <c r="AJ160" i="8"/>
  <c r="AG160" i="8"/>
  <c r="AF160" i="8"/>
  <c r="AE160" i="8"/>
  <c r="AH160" i="8" s="1"/>
  <c r="AI160" i="8" s="1"/>
  <c r="AD160" i="8"/>
  <c r="AC160" i="8"/>
  <c r="AB160" i="8"/>
  <c r="AA160" i="8"/>
  <c r="W160" i="8"/>
  <c r="V160" i="8"/>
  <c r="U160" i="8"/>
  <c r="S160" i="8"/>
  <c r="AN159" i="8"/>
  <c r="AM159" i="8"/>
  <c r="AO159" i="8" s="1"/>
  <c r="AL159" i="8"/>
  <c r="AK159" i="8"/>
  <c r="AJ159" i="8"/>
  <c r="AG159" i="8"/>
  <c r="AF159" i="8"/>
  <c r="AE159" i="8"/>
  <c r="AH159" i="8" s="1"/>
  <c r="AI159" i="8" s="1"/>
  <c r="AD159" i="8"/>
  <c r="AC159" i="8"/>
  <c r="AB159" i="8"/>
  <c r="AA159" i="8"/>
  <c r="W159" i="8"/>
  <c r="V159" i="8"/>
  <c r="U159" i="8"/>
  <c r="S159" i="8"/>
  <c r="AN158" i="8"/>
  <c r="AM158" i="8"/>
  <c r="AO158" i="8" s="1"/>
  <c r="AL158" i="8"/>
  <c r="AK158" i="8"/>
  <c r="AJ158" i="8"/>
  <c r="AG158" i="8"/>
  <c r="AF158" i="8"/>
  <c r="AE158" i="8"/>
  <c r="AH158" i="8" s="1"/>
  <c r="AI158" i="8" s="1"/>
  <c r="AD158" i="8"/>
  <c r="AC158" i="8"/>
  <c r="AB158" i="8"/>
  <c r="AA158" i="8"/>
  <c r="W158" i="8"/>
  <c r="V158" i="8"/>
  <c r="U158" i="8"/>
  <c r="S158" i="8"/>
  <c r="AN157" i="8"/>
  <c r="AM157" i="8"/>
  <c r="AO157" i="8" s="1"/>
  <c r="AL157" i="8"/>
  <c r="AK157" i="8"/>
  <c r="AJ157" i="8"/>
  <c r="AG157" i="8"/>
  <c r="AF157" i="8"/>
  <c r="AE157" i="8"/>
  <c r="AH157" i="8" s="1"/>
  <c r="AI157" i="8" s="1"/>
  <c r="AD157" i="8"/>
  <c r="AC157" i="8"/>
  <c r="AB157" i="8"/>
  <c r="AA157" i="8"/>
  <c r="W157" i="8"/>
  <c r="V157" i="8"/>
  <c r="U157" i="8"/>
  <c r="S157" i="8"/>
  <c r="AN156" i="8"/>
  <c r="AM156" i="8"/>
  <c r="AO156" i="8" s="1"/>
  <c r="AL156" i="8"/>
  <c r="AK156" i="8"/>
  <c r="AJ156" i="8"/>
  <c r="AG156" i="8"/>
  <c r="AF156" i="8"/>
  <c r="AE156" i="8"/>
  <c r="AH156" i="8" s="1"/>
  <c r="AI156" i="8" s="1"/>
  <c r="AD156" i="8"/>
  <c r="AC156" i="8"/>
  <c r="AB156" i="8"/>
  <c r="AA156" i="8"/>
  <c r="W156" i="8"/>
  <c r="V156" i="8"/>
  <c r="U156" i="8"/>
  <c r="S156" i="8"/>
  <c r="AL155" i="8"/>
  <c r="AK155" i="8"/>
  <c r="AJ155" i="8"/>
  <c r="AE155" i="8"/>
  <c r="AH155" i="8" s="1"/>
  <c r="AI155" i="8" s="1"/>
  <c r="AD155" i="8"/>
  <c r="AC155" i="8"/>
  <c r="AB155" i="8"/>
  <c r="AA155" i="8"/>
  <c r="U155" i="8"/>
  <c r="S155" i="8"/>
  <c r="AL154" i="8"/>
  <c r="AK154" i="8"/>
  <c r="AJ154" i="8"/>
  <c r="AE154" i="8"/>
  <c r="AH154" i="8" s="1"/>
  <c r="AI154" i="8" s="1"/>
  <c r="AD154" i="8"/>
  <c r="AC154" i="8"/>
  <c r="AB154" i="8"/>
  <c r="AA154" i="8"/>
  <c r="U154" i="8"/>
  <c r="S154" i="8"/>
  <c r="AL153" i="8"/>
  <c r="AK153" i="8"/>
  <c r="AJ153" i="8"/>
  <c r="AE153" i="8"/>
  <c r="AH153" i="8" s="1"/>
  <c r="AI153" i="8" s="1"/>
  <c r="AD153" i="8"/>
  <c r="AC153" i="8"/>
  <c r="AB153" i="8"/>
  <c r="AA153" i="8"/>
  <c r="U153" i="8"/>
  <c r="S153" i="8"/>
  <c r="AL152" i="8"/>
  <c r="AK152" i="8"/>
  <c r="AJ152" i="8"/>
  <c r="AE152" i="8"/>
  <c r="AH152" i="8" s="1"/>
  <c r="AI152" i="8" s="1"/>
  <c r="AD152" i="8"/>
  <c r="AC152" i="8"/>
  <c r="AB152" i="8"/>
  <c r="AA152" i="8"/>
  <c r="U152" i="8"/>
  <c r="S152" i="8"/>
  <c r="AL151" i="8"/>
  <c r="AK151" i="8"/>
  <c r="AJ151" i="8"/>
  <c r="AE151" i="8"/>
  <c r="AH151" i="8" s="1"/>
  <c r="AI151" i="8" s="1"/>
  <c r="AD151" i="8"/>
  <c r="AC151" i="8"/>
  <c r="AB151" i="8"/>
  <c r="AA151" i="8"/>
  <c r="U151" i="8"/>
  <c r="S151" i="8"/>
  <c r="AL150" i="8"/>
  <c r="AK150" i="8"/>
  <c r="AJ150" i="8"/>
  <c r="AE150" i="8"/>
  <c r="AH150" i="8" s="1"/>
  <c r="AI150" i="8" s="1"/>
  <c r="AD150" i="8"/>
  <c r="AC150" i="8"/>
  <c r="AB150" i="8"/>
  <c r="AA150" i="8"/>
  <c r="U150" i="8"/>
  <c r="S150" i="8"/>
  <c r="AL149" i="8"/>
  <c r="AK149" i="8"/>
  <c r="AJ149" i="8"/>
  <c r="AE149" i="8"/>
  <c r="AH149" i="8" s="1"/>
  <c r="AI149" i="8" s="1"/>
  <c r="AD149" i="8"/>
  <c r="AC149" i="8"/>
  <c r="AB149" i="8"/>
  <c r="AA149" i="8"/>
  <c r="U149" i="8"/>
  <c r="S149" i="8"/>
  <c r="AL148" i="8"/>
  <c r="AK148" i="8"/>
  <c r="AJ148" i="8"/>
  <c r="AE148" i="8"/>
  <c r="AH148" i="8" s="1"/>
  <c r="AI148" i="8" s="1"/>
  <c r="AD148" i="8"/>
  <c r="AC148" i="8"/>
  <c r="AB148" i="8"/>
  <c r="AA148" i="8"/>
  <c r="U148" i="8"/>
  <c r="S148" i="8"/>
  <c r="AL147" i="8"/>
  <c r="AK147" i="8"/>
  <c r="AJ147" i="8"/>
  <c r="AE147" i="8"/>
  <c r="AH147" i="8" s="1"/>
  <c r="AI147" i="8" s="1"/>
  <c r="AD147" i="8"/>
  <c r="AC147" i="8"/>
  <c r="AB147" i="8"/>
  <c r="AA147" i="8"/>
  <c r="U147" i="8"/>
  <c r="S147" i="8"/>
  <c r="AL146" i="8"/>
  <c r="AK146" i="8"/>
  <c r="AJ146" i="8"/>
  <c r="AE146" i="8"/>
  <c r="AH146" i="8" s="1"/>
  <c r="AI146" i="8" s="1"/>
  <c r="AD146" i="8"/>
  <c r="AC146" i="8"/>
  <c r="AB146" i="8"/>
  <c r="AA146" i="8"/>
  <c r="U146" i="8"/>
  <c r="S146" i="8"/>
  <c r="AL145" i="8"/>
  <c r="AK145" i="8"/>
  <c r="AJ145" i="8"/>
  <c r="AE145" i="8"/>
  <c r="AH145" i="8" s="1"/>
  <c r="AI145" i="8" s="1"/>
  <c r="AD145" i="8"/>
  <c r="AC145" i="8"/>
  <c r="AB145" i="8"/>
  <c r="AA145" i="8"/>
  <c r="U145" i="8"/>
  <c r="S145" i="8"/>
  <c r="AL144" i="8"/>
  <c r="AK144" i="8"/>
  <c r="AJ144" i="8"/>
  <c r="AE144" i="8"/>
  <c r="AH144" i="8" s="1"/>
  <c r="AI144" i="8" s="1"/>
  <c r="AD144" i="8"/>
  <c r="AC144" i="8"/>
  <c r="AB144" i="8"/>
  <c r="AA144" i="8"/>
  <c r="U144" i="8"/>
  <c r="S144" i="8"/>
  <c r="AL143" i="8"/>
  <c r="AK143" i="8"/>
  <c r="AJ143" i="8"/>
  <c r="AE143" i="8"/>
  <c r="AH143" i="8" s="1"/>
  <c r="AI143" i="8" s="1"/>
  <c r="AD143" i="8"/>
  <c r="AC143" i="8"/>
  <c r="AB143" i="8"/>
  <c r="AA143" i="8"/>
  <c r="U143" i="8"/>
  <c r="S143" i="8"/>
  <c r="AL142" i="8"/>
  <c r="AK142" i="8"/>
  <c r="AJ142" i="8"/>
  <c r="AE142" i="8"/>
  <c r="AH142" i="8" s="1"/>
  <c r="AI142" i="8" s="1"/>
  <c r="AD142" i="8"/>
  <c r="AC142" i="8"/>
  <c r="AB142" i="8"/>
  <c r="AA142" i="8"/>
  <c r="U142" i="8"/>
  <c r="S142" i="8"/>
  <c r="AL141" i="8"/>
  <c r="AK141" i="8"/>
  <c r="AJ141" i="8"/>
  <c r="AE141" i="8"/>
  <c r="AH141" i="8" s="1"/>
  <c r="AI141" i="8" s="1"/>
  <c r="AD141" i="8"/>
  <c r="AC141" i="8"/>
  <c r="AB141" i="8"/>
  <c r="AA141" i="8"/>
  <c r="U141" i="8"/>
  <c r="S141" i="8"/>
  <c r="AL140" i="8"/>
  <c r="AK140" i="8"/>
  <c r="AJ140" i="8"/>
  <c r="AE140" i="8"/>
  <c r="AH140" i="8" s="1"/>
  <c r="AI140" i="8" s="1"/>
  <c r="AD140" i="8"/>
  <c r="AC140" i="8"/>
  <c r="AB140" i="8"/>
  <c r="AA140" i="8"/>
  <c r="U140" i="8"/>
  <c r="S140" i="8"/>
  <c r="AL139" i="8"/>
  <c r="AK139" i="8"/>
  <c r="AJ139" i="8"/>
  <c r="AE139" i="8"/>
  <c r="AH139" i="8" s="1"/>
  <c r="AI139" i="8" s="1"/>
  <c r="AD139" i="8"/>
  <c r="AC139" i="8"/>
  <c r="AB139" i="8"/>
  <c r="AA139" i="8"/>
  <c r="U139" i="8"/>
  <c r="S139" i="8"/>
  <c r="AL138" i="8"/>
  <c r="AK138" i="8"/>
  <c r="AJ138" i="8"/>
  <c r="AE138" i="8"/>
  <c r="AH138" i="8" s="1"/>
  <c r="AI138" i="8" s="1"/>
  <c r="AD138" i="8"/>
  <c r="AC138" i="8"/>
  <c r="AB138" i="8"/>
  <c r="AA138" i="8"/>
  <c r="U138" i="8"/>
  <c r="S138" i="8"/>
  <c r="AL137" i="8"/>
  <c r="AK137" i="8"/>
  <c r="AJ137" i="8"/>
  <c r="AE137" i="8"/>
  <c r="AH137" i="8" s="1"/>
  <c r="AI137" i="8" s="1"/>
  <c r="AD137" i="8"/>
  <c r="AC137" i="8"/>
  <c r="AB137" i="8"/>
  <c r="AA137" i="8"/>
  <c r="U137" i="8"/>
  <c r="S137" i="8"/>
  <c r="AL136" i="8"/>
  <c r="AK136" i="8"/>
  <c r="AJ136" i="8"/>
  <c r="AE136" i="8"/>
  <c r="AH136" i="8" s="1"/>
  <c r="AI136" i="8" s="1"/>
  <c r="AD136" i="8"/>
  <c r="AC136" i="8"/>
  <c r="AB136" i="8"/>
  <c r="AA136" i="8"/>
  <c r="U136" i="8"/>
  <c r="S136" i="8"/>
  <c r="AL135" i="8"/>
  <c r="AK135" i="8"/>
  <c r="AJ135" i="8"/>
  <c r="AE135" i="8"/>
  <c r="AH135" i="8" s="1"/>
  <c r="AI135" i="8" s="1"/>
  <c r="AD135" i="8"/>
  <c r="AC135" i="8"/>
  <c r="AB135" i="8"/>
  <c r="AA135" i="8"/>
  <c r="U135" i="8"/>
  <c r="S135" i="8"/>
  <c r="AL134" i="8"/>
  <c r="AK134" i="8"/>
  <c r="AJ134" i="8"/>
  <c r="AE134" i="8"/>
  <c r="AH134" i="8" s="1"/>
  <c r="AI134" i="8" s="1"/>
  <c r="AD134" i="8"/>
  <c r="AC134" i="8"/>
  <c r="AB134" i="8"/>
  <c r="AA134" i="8"/>
  <c r="U134" i="8"/>
  <c r="S134" i="8"/>
  <c r="AL133" i="8"/>
  <c r="AK133" i="8"/>
  <c r="AJ133" i="8"/>
  <c r="AE133" i="8"/>
  <c r="AH133" i="8" s="1"/>
  <c r="AI133" i="8" s="1"/>
  <c r="AD133" i="8"/>
  <c r="AC133" i="8"/>
  <c r="AB133" i="8"/>
  <c r="AA133" i="8"/>
  <c r="U133" i="8"/>
  <c r="S133" i="8"/>
  <c r="AL132" i="8"/>
  <c r="AK132" i="8"/>
  <c r="AJ132" i="8"/>
  <c r="AE132" i="8"/>
  <c r="AH132" i="8" s="1"/>
  <c r="AI132" i="8" s="1"/>
  <c r="AD132" i="8"/>
  <c r="AC132" i="8"/>
  <c r="AB132" i="8"/>
  <c r="AA132" i="8"/>
  <c r="U132" i="8"/>
  <c r="S132" i="8"/>
  <c r="AL131" i="8"/>
  <c r="AK131" i="8"/>
  <c r="AJ131" i="8"/>
  <c r="AE131" i="8"/>
  <c r="AH131" i="8" s="1"/>
  <c r="AI131" i="8" s="1"/>
  <c r="AD131" i="8"/>
  <c r="AC131" i="8"/>
  <c r="AB131" i="8"/>
  <c r="AA131" i="8"/>
  <c r="U131" i="8"/>
  <c r="S131" i="8"/>
  <c r="AL130" i="8"/>
  <c r="AK130" i="8"/>
  <c r="AJ130" i="8"/>
  <c r="AE130" i="8"/>
  <c r="AH130" i="8" s="1"/>
  <c r="AI130" i="8" s="1"/>
  <c r="AD130" i="8"/>
  <c r="AC130" i="8"/>
  <c r="AB130" i="8"/>
  <c r="AA130" i="8"/>
  <c r="U130" i="8"/>
  <c r="S130" i="8"/>
  <c r="AL129" i="8"/>
  <c r="AK129" i="8"/>
  <c r="AJ129" i="8"/>
  <c r="AE129" i="8"/>
  <c r="AH129" i="8" s="1"/>
  <c r="AI129" i="8" s="1"/>
  <c r="AD129" i="8"/>
  <c r="AC129" i="8"/>
  <c r="AB129" i="8"/>
  <c r="AA129" i="8"/>
  <c r="U129" i="8"/>
  <c r="S129" i="8"/>
  <c r="AL128" i="8"/>
  <c r="AK128" i="8"/>
  <c r="AJ128" i="8"/>
  <c r="AE128" i="8"/>
  <c r="AH128" i="8" s="1"/>
  <c r="AI128" i="8" s="1"/>
  <c r="AD128" i="8"/>
  <c r="AC128" i="8"/>
  <c r="AB128" i="8"/>
  <c r="AA128" i="8"/>
  <c r="U128" i="8"/>
  <c r="S128" i="8"/>
  <c r="AL127" i="8"/>
  <c r="AK127" i="8"/>
  <c r="AJ127" i="8"/>
  <c r="AE127" i="8"/>
  <c r="AH127" i="8" s="1"/>
  <c r="AI127" i="8" s="1"/>
  <c r="AD127" i="8"/>
  <c r="AC127" i="8"/>
  <c r="AB127" i="8"/>
  <c r="AA127" i="8"/>
  <c r="U127" i="8"/>
  <c r="S127" i="8"/>
  <c r="AL126" i="8"/>
  <c r="AK126" i="8"/>
  <c r="AJ126" i="8"/>
  <c r="AE126" i="8"/>
  <c r="AH126" i="8" s="1"/>
  <c r="AI126" i="8" s="1"/>
  <c r="AD126" i="8"/>
  <c r="AC126" i="8"/>
  <c r="AB126" i="8"/>
  <c r="AA126" i="8"/>
  <c r="U126" i="8"/>
  <c r="S126" i="8"/>
  <c r="AL125" i="8"/>
  <c r="AK125" i="8"/>
  <c r="AJ125" i="8"/>
  <c r="AE125" i="8"/>
  <c r="AH125" i="8" s="1"/>
  <c r="AI125" i="8" s="1"/>
  <c r="AD125" i="8"/>
  <c r="AC125" i="8"/>
  <c r="AB125" i="8"/>
  <c r="AA125" i="8"/>
  <c r="U125" i="8"/>
  <c r="S125" i="8"/>
  <c r="AL124" i="8"/>
  <c r="AK124" i="8"/>
  <c r="AJ124" i="8"/>
  <c r="AE124" i="8"/>
  <c r="AH124" i="8" s="1"/>
  <c r="AI124" i="8" s="1"/>
  <c r="AD124" i="8"/>
  <c r="AC124" i="8"/>
  <c r="AB124" i="8"/>
  <c r="AA124" i="8"/>
  <c r="U124" i="8"/>
  <c r="S124" i="8"/>
  <c r="AL123" i="8"/>
  <c r="AK123" i="8"/>
  <c r="AJ123" i="8"/>
  <c r="AE123" i="8"/>
  <c r="AH123" i="8" s="1"/>
  <c r="AI123" i="8" s="1"/>
  <c r="AD123" i="8"/>
  <c r="AC123" i="8"/>
  <c r="AB123" i="8"/>
  <c r="AA123" i="8"/>
  <c r="U123" i="8"/>
  <c r="S123" i="8"/>
  <c r="AL122" i="8"/>
  <c r="AK122" i="8"/>
  <c r="AJ122" i="8"/>
  <c r="AE122" i="8"/>
  <c r="AH122" i="8" s="1"/>
  <c r="AI122" i="8" s="1"/>
  <c r="AD122" i="8"/>
  <c r="AC122" i="8"/>
  <c r="AB122" i="8"/>
  <c r="AA122" i="8"/>
  <c r="U122" i="8"/>
  <c r="S122" i="8"/>
  <c r="AL121" i="8"/>
  <c r="AK121" i="8"/>
  <c r="AJ121" i="8"/>
  <c r="AE121" i="8"/>
  <c r="AH121" i="8" s="1"/>
  <c r="AI121" i="8" s="1"/>
  <c r="AD121" i="8"/>
  <c r="AC121" i="8"/>
  <c r="AB121" i="8"/>
  <c r="AA121" i="8"/>
  <c r="U121" i="8"/>
  <c r="S121" i="8"/>
  <c r="AL120" i="8"/>
  <c r="AK120" i="8"/>
  <c r="AJ120" i="8"/>
  <c r="AE120" i="8"/>
  <c r="AH120" i="8" s="1"/>
  <c r="AI120" i="8" s="1"/>
  <c r="AD120" i="8"/>
  <c r="AC120" i="8"/>
  <c r="AB120" i="8"/>
  <c r="AA120" i="8"/>
  <c r="U120" i="8"/>
  <c r="S120" i="8"/>
  <c r="AL119" i="8"/>
  <c r="AK119" i="8"/>
  <c r="AJ119" i="8"/>
  <c r="AE119" i="8"/>
  <c r="AH119" i="8" s="1"/>
  <c r="AI119" i="8" s="1"/>
  <c r="AD119" i="8"/>
  <c r="AC119" i="8"/>
  <c r="AB119" i="8"/>
  <c r="AA119" i="8"/>
  <c r="U119" i="8"/>
  <c r="S119" i="8"/>
  <c r="AL118" i="8"/>
  <c r="AK118" i="8"/>
  <c r="AJ118" i="8"/>
  <c r="AE118" i="8"/>
  <c r="AH118" i="8" s="1"/>
  <c r="AI118" i="8" s="1"/>
  <c r="AD118" i="8"/>
  <c r="AC118" i="8"/>
  <c r="AB118" i="8"/>
  <c r="AA118" i="8"/>
  <c r="U118" i="8"/>
  <c r="S118" i="8"/>
  <c r="AL117" i="8"/>
  <c r="AK117" i="8"/>
  <c r="AJ117" i="8"/>
  <c r="AE117" i="8"/>
  <c r="AH117" i="8" s="1"/>
  <c r="AI117" i="8" s="1"/>
  <c r="AD117" i="8"/>
  <c r="AC117" i="8"/>
  <c r="AB117" i="8"/>
  <c r="AA117" i="8"/>
  <c r="U117" i="8"/>
  <c r="S117" i="8"/>
  <c r="AL116" i="8"/>
  <c r="AK116" i="8"/>
  <c r="AJ116" i="8"/>
  <c r="AE116" i="8"/>
  <c r="AH116" i="8" s="1"/>
  <c r="AI116" i="8" s="1"/>
  <c r="AD116" i="8"/>
  <c r="AC116" i="8"/>
  <c r="AB116" i="8"/>
  <c r="AA116" i="8"/>
  <c r="U116" i="8"/>
  <c r="S116" i="8"/>
  <c r="AL115" i="8"/>
  <c r="AK115" i="8"/>
  <c r="AJ115" i="8"/>
  <c r="AE115" i="8"/>
  <c r="AH115" i="8" s="1"/>
  <c r="AI115" i="8" s="1"/>
  <c r="AD115" i="8"/>
  <c r="AC115" i="8"/>
  <c r="AB115" i="8"/>
  <c r="AA115" i="8"/>
  <c r="U115" i="8"/>
  <c r="S115" i="8"/>
  <c r="AL114" i="8"/>
  <c r="AK114" i="8"/>
  <c r="AJ114" i="8"/>
  <c r="AE114" i="8"/>
  <c r="AH114" i="8" s="1"/>
  <c r="AI114" i="8" s="1"/>
  <c r="AD114" i="8"/>
  <c r="AC114" i="8"/>
  <c r="AB114" i="8"/>
  <c r="AA114" i="8"/>
  <c r="U114" i="8"/>
  <c r="S114" i="8"/>
  <c r="AL113" i="8"/>
  <c r="AK113" i="8"/>
  <c r="AJ113" i="8"/>
  <c r="AE113" i="8"/>
  <c r="AH113" i="8" s="1"/>
  <c r="AI113" i="8" s="1"/>
  <c r="AD113" i="8"/>
  <c r="AC113" i="8"/>
  <c r="AB113" i="8"/>
  <c r="AA113" i="8"/>
  <c r="U113" i="8"/>
  <c r="S113" i="8"/>
  <c r="AL112" i="8"/>
  <c r="AK112" i="8"/>
  <c r="AJ112" i="8"/>
  <c r="AE112" i="8"/>
  <c r="AH112" i="8" s="1"/>
  <c r="AI112" i="8" s="1"/>
  <c r="AD112" i="8"/>
  <c r="AC112" i="8"/>
  <c r="AB112" i="8"/>
  <c r="AA112" i="8"/>
  <c r="U112" i="8"/>
  <c r="S112" i="8"/>
  <c r="AL111" i="8"/>
  <c r="AK111" i="8"/>
  <c r="AJ111" i="8"/>
  <c r="AE111" i="8"/>
  <c r="AH111" i="8" s="1"/>
  <c r="AI111" i="8" s="1"/>
  <c r="AD111" i="8"/>
  <c r="AC111" i="8"/>
  <c r="AB111" i="8"/>
  <c r="AA111" i="8"/>
  <c r="U111" i="8"/>
  <c r="S111" i="8"/>
  <c r="AL110" i="8"/>
  <c r="AK110" i="8"/>
  <c r="AJ110" i="8"/>
  <c r="AE110" i="8"/>
  <c r="AH110" i="8" s="1"/>
  <c r="AI110" i="8" s="1"/>
  <c r="AD110" i="8"/>
  <c r="AC110" i="8"/>
  <c r="AB110" i="8"/>
  <c r="AA110" i="8"/>
  <c r="U110" i="8"/>
  <c r="S110" i="8"/>
  <c r="AL109" i="8"/>
  <c r="AK109" i="8"/>
  <c r="AJ109" i="8"/>
  <c r="AE109" i="8"/>
  <c r="AH109" i="8" s="1"/>
  <c r="AI109" i="8" s="1"/>
  <c r="AD109" i="8"/>
  <c r="AC109" i="8"/>
  <c r="AB109" i="8"/>
  <c r="AA109" i="8"/>
  <c r="U109" i="8"/>
  <c r="S109" i="8"/>
  <c r="AL108" i="8"/>
  <c r="AK108" i="8"/>
  <c r="AJ108" i="8"/>
  <c r="AE108" i="8"/>
  <c r="AH108" i="8" s="1"/>
  <c r="AI108" i="8" s="1"/>
  <c r="AD108" i="8"/>
  <c r="AC108" i="8"/>
  <c r="AB108" i="8"/>
  <c r="AA108" i="8"/>
  <c r="U108" i="8"/>
  <c r="S108" i="8"/>
  <c r="AL107" i="8"/>
  <c r="AK107" i="8"/>
  <c r="AJ107" i="8"/>
  <c r="AE107" i="8"/>
  <c r="AH107" i="8" s="1"/>
  <c r="AI107" i="8" s="1"/>
  <c r="AD107" i="8"/>
  <c r="AC107" i="8"/>
  <c r="AB107" i="8"/>
  <c r="AA107" i="8"/>
  <c r="U107" i="8"/>
  <c r="S107" i="8"/>
  <c r="AL106" i="8"/>
  <c r="AK106" i="8"/>
  <c r="AJ106" i="8"/>
  <c r="AE106" i="8"/>
  <c r="AH106" i="8" s="1"/>
  <c r="AI106" i="8" s="1"/>
  <c r="AD106" i="8"/>
  <c r="AC106" i="8"/>
  <c r="AB106" i="8"/>
  <c r="AA106" i="8"/>
  <c r="U106" i="8"/>
  <c r="S106" i="8"/>
  <c r="AL105" i="8"/>
  <c r="AK105" i="8"/>
  <c r="AJ105" i="8"/>
  <c r="AE105" i="8"/>
  <c r="AH105" i="8" s="1"/>
  <c r="AI105" i="8" s="1"/>
  <c r="AD105" i="8"/>
  <c r="AC105" i="8"/>
  <c r="AB105" i="8"/>
  <c r="AA105" i="8"/>
  <c r="U105" i="8"/>
  <c r="S105" i="8"/>
  <c r="AL104" i="8"/>
  <c r="AK104" i="8"/>
  <c r="AJ104" i="8"/>
  <c r="AE104" i="8"/>
  <c r="AH104" i="8" s="1"/>
  <c r="AI104" i="8" s="1"/>
  <c r="AD104" i="8"/>
  <c r="AC104" i="8"/>
  <c r="AB104" i="8"/>
  <c r="AA104" i="8"/>
  <c r="U104" i="8"/>
  <c r="S104" i="8"/>
  <c r="AL103" i="8"/>
  <c r="AK103" i="8"/>
  <c r="AJ103" i="8"/>
  <c r="AE103" i="8"/>
  <c r="AH103" i="8" s="1"/>
  <c r="AI103" i="8" s="1"/>
  <c r="AD103" i="8"/>
  <c r="AC103" i="8"/>
  <c r="AB103" i="8"/>
  <c r="AA103" i="8"/>
  <c r="U103" i="8"/>
  <c r="S103" i="8"/>
  <c r="AL102" i="8"/>
  <c r="AK102" i="8"/>
  <c r="AJ102" i="8"/>
  <c r="AE102" i="8"/>
  <c r="AH102" i="8" s="1"/>
  <c r="AI102" i="8" s="1"/>
  <c r="AD102" i="8"/>
  <c r="AC102" i="8"/>
  <c r="AB102" i="8"/>
  <c r="AA102" i="8"/>
  <c r="U102" i="8"/>
  <c r="S102" i="8"/>
  <c r="AL101" i="8"/>
  <c r="AK101" i="8"/>
  <c r="AJ101" i="8"/>
  <c r="AE101" i="8"/>
  <c r="AH101" i="8" s="1"/>
  <c r="AI101" i="8" s="1"/>
  <c r="AD101" i="8"/>
  <c r="AC101" i="8"/>
  <c r="AB101" i="8"/>
  <c r="AA101" i="8"/>
  <c r="U101" i="8"/>
  <c r="S101" i="8"/>
  <c r="AL100" i="8"/>
  <c r="AK100" i="8"/>
  <c r="AJ100" i="8"/>
  <c r="AE100" i="8"/>
  <c r="AH100" i="8" s="1"/>
  <c r="AI100" i="8" s="1"/>
  <c r="AD100" i="8"/>
  <c r="AC100" i="8"/>
  <c r="AB100" i="8"/>
  <c r="AA100" i="8"/>
  <c r="U100" i="8"/>
  <c r="S100" i="8"/>
  <c r="AL99" i="8"/>
  <c r="AK99" i="8"/>
  <c r="AJ99" i="8"/>
  <c r="AE99" i="8"/>
  <c r="AH99" i="8" s="1"/>
  <c r="AI99" i="8" s="1"/>
  <c r="AD99" i="8"/>
  <c r="AC99" i="8"/>
  <c r="AB99" i="8"/>
  <c r="AA99" i="8"/>
  <c r="U99" i="8"/>
  <c r="S99" i="8"/>
  <c r="AL98" i="8"/>
  <c r="AK98" i="8"/>
  <c r="AJ98" i="8"/>
  <c r="AE98" i="8"/>
  <c r="AH98" i="8" s="1"/>
  <c r="AI98" i="8" s="1"/>
  <c r="AD98" i="8"/>
  <c r="AC98" i="8"/>
  <c r="AB98" i="8"/>
  <c r="AA98" i="8"/>
  <c r="U98" i="8"/>
  <c r="S98" i="8"/>
  <c r="AL97" i="8"/>
  <c r="AK97" i="8"/>
  <c r="AJ97" i="8"/>
  <c r="AE97" i="8"/>
  <c r="AH97" i="8" s="1"/>
  <c r="AI97" i="8" s="1"/>
  <c r="AD97" i="8"/>
  <c r="AC97" i="8"/>
  <c r="AB97" i="8"/>
  <c r="AA97" i="8"/>
  <c r="U97" i="8"/>
  <c r="S97" i="8"/>
  <c r="AL96" i="8"/>
  <c r="AK96" i="8"/>
  <c r="AJ96" i="8"/>
  <c r="AE96" i="8"/>
  <c r="AH96" i="8" s="1"/>
  <c r="AI96" i="8" s="1"/>
  <c r="AD96" i="8"/>
  <c r="AC96" i="8"/>
  <c r="AB96" i="8"/>
  <c r="AA96" i="8"/>
  <c r="U96" i="8"/>
  <c r="S96" i="8"/>
  <c r="AL95" i="8"/>
  <c r="AK95" i="8"/>
  <c r="AJ95" i="8"/>
  <c r="AE95" i="8"/>
  <c r="AH95" i="8" s="1"/>
  <c r="AI95" i="8" s="1"/>
  <c r="AD95" i="8"/>
  <c r="AC95" i="8"/>
  <c r="AB95" i="8"/>
  <c r="AA95" i="8"/>
  <c r="U95" i="8"/>
  <c r="S95" i="8"/>
  <c r="AL94" i="8"/>
  <c r="AK94" i="8"/>
  <c r="AJ94" i="8"/>
  <c r="AE94" i="8"/>
  <c r="AH94" i="8" s="1"/>
  <c r="AI94" i="8" s="1"/>
  <c r="AD94" i="8"/>
  <c r="AC94" i="8"/>
  <c r="AB94" i="8"/>
  <c r="AA94" i="8"/>
  <c r="U94" i="8"/>
  <c r="S94" i="8"/>
  <c r="AL93" i="8"/>
  <c r="AK93" i="8"/>
  <c r="AJ93" i="8"/>
  <c r="AE93" i="8"/>
  <c r="AH93" i="8" s="1"/>
  <c r="AI93" i="8" s="1"/>
  <c r="AD93" i="8"/>
  <c r="AC93" i="8"/>
  <c r="AB93" i="8"/>
  <c r="AA93" i="8"/>
  <c r="U93" i="8"/>
  <c r="S93" i="8"/>
  <c r="AL92" i="8"/>
  <c r="AK92" i="8"/>
  <c r="AJ92" i="8"/>
  <c r="AE92" i="8"/>
  <c r="AH92" i="8" s="1"/>
  <c r="AI92" i="8" s="1"/>
  <c r="AD92" i="8"/>
  <c r="AC92" i="8"/>
  <c r="AB92" i="8"/>
  <c r="AA92" i="8"/>
  <c r="U92" i="8"/>
  <c r="S92" i="8"/>
  <c r="AL91" i="8"/>
  <c r="AK91" i="8"/>
  <c r="AJ91" i="8"/>
  <c r="AE91" i="8"/>
  <c r="AH91" i="8" s="1"/>
  <c r="AI91" i="8" s="1"/>
  <c r="AD91" i="8"/>
  <c r="AC91" i="8"/>
  <c r="AB91" i="8"/>
  <c r="AA91" i="8"/>
  <c r="U91" i="8"/>
  <c r="S91" i="8"/>
  <c r="AL90" i="8"/>
  <c r="AK90" i="8"/>
  <c r="AJ90" i="8"/>
  <c r="AE90" i="8"/>
  <c r="AH90" i="8" s="1"/>
  <c r="AI90" i="8" s="1"/>
  <c r="AD90" i="8"/>
  <c r="AC90" i="8"/>
  <c r="AB90" i="8"/>
  <c r="AA90" i="8"/>
  <c r="U90" i="8"/>
  <c r="S90" i="8"/>
  <c r="AL89" i="8"/>
  <c r="AK89" i="8"/>
  <c r="AJ89" i="8"/>
  <c r="AE89" i="8"/>
  <c r="AH89" i="8" s="1"/>
  <c r="AI89" i="8" s="1"/>
  <c r="AD89" i="8"/>
  <c r="AC89" i="8"/>
  <c r="AB89" i="8"/>
  <c r="AA89" i="8"/>
  <c r="U89" i="8"/>
  <c r="S89" i="8"/>
  <c r="AL88" i="8"/>
  <c r="AK88" i="8"/>
  <c r="AJ88" i="8"/>
  <c r="AE88" i="8"/>
  <c r="AH88" i="8" s="1"/>
  <c r="AI88" i="8" s="1"/>
  <c r="AD88" i="8"/>
  <c r="AC88" i="8"/>
  <c r="AB88" i="8"/>
  <c r="AA88" i="8"/>
  <c r="U88" i="8"/>
  <c r="S88" i="8"/>
  <c r="AL87" i="8"/>
  <c r="AK87" i="8"/>
  <c r="AJ87" i="8"/>
  <c r="AE87" i="8"/>
  <c r="AH87" i="8" s="1"/>
  <c r="AI87" i="8" s="1"/>
  <c r="AD87" i="8"/>
  <c r="AC87" i="8"/>
  <c r="AB87" i="8"/>
  <c r="AA87" i="8"/>
  <c r="U87" i="8"/>
  <c r="S87" i="8"/>
  <c r="AL86" i="8"/>
  <c r="AK86" i="8"/>
  <c r="AJ86" i="8"/>
  <c r="AE86" i="8"/>
  <c r="AH86" i="8" s="1"/>
  <c r="AI86" i="8" s="1"/>
  <c r="AD86" i="8"/>
  <c r="AC86" i="8"/>
  <c r="AB86" i="8"/>
  <c r="AA86" i="8"/>
  <c r="U86" i="8"/>
  <c r="S86" i="8"/>
  <c r="AL85" i="8"/>
  <c r="AK85" i="8"/>
  <c r="AJ85" i="8"/>
  <c r="AE85" i="8"/>
  <c r="AH85" i="8" s="1"/>
  <c r="AI85" i="8" s="1"/>
  <c r="AD85" i="8"/>
  <c r="AC85" i="8"/>
  <c r="AB85" i="8"/>
  <c r="AA85" i="8"/>
  <c r="U85" i="8"/>
  <c r="S85" i="8"/>
  <c r="AL84" i="8"/>
  <c r="AK84" i="8"/>
  <c r="AJ84" i="8"/>
  <c r="AE84" i="8"/>
  <c r="AH84" i="8" s="1"/>
  <c r="AI84" i="8" s="1"/>
  <c r="AD84" i="8"/>
  <c r="AC84" i="8"/>
  <c r="AB84" i="8"/>
  <c r="AA84" i="8"/>
  <c r="U84" i="8"/>
  <c r="S84" i="8"/>
  <c r="AL83" i="8"/>
  <c r="AK83" i="8"/>
  <c r="AJ83" i="8"/>
  <c r="AE83" i="8"/>
  <c r="AH83" i="8" s="1"/>
  <c r="AI83" i="8" s="1"/>
  <c r="AD83" i="8"/>
  <c r="AC83" i="8"/>
  <c r="AB83" i="8"/>
  <c r="AA83" i="8"/>
  <c r="U83" i="8"/>
  <c r="S83" i="8"/>
  <c r="AL82" i="8"/>
  <c r="AK82" i="8"/>
  <c r="AJ82" i="8"/>
  <c r="AH82" i="8"/>
  <c r="AI82" i="8" s="1"/>
  <c r="AE82" i="8"/>
  <c r="AD82" i="8"/>
  <c r="AC82" i="8"/>
  <c r="AB82" i="8"/>
  <c r="AA82" i="8"/>
  <c r="U82" i="8"/>
  <c r="S82" i="8"/>
  <c r="AL81" i="8"/>
  <c r="AK81" i="8"/>
  <c r="AJ81" i="8"/>
  <c r="AE81" i="8"/>
  <c r="AH81" i="8" s="1"/>
  <c r="AI81" i="8" s="1"/>
  <c r="AD81" i="8"/>
  <c r="AC81" i="8"/>
  <c r="AB81" i="8"/>
  <c r="AA81" i="8"/>
  <c r="U81" i="8"/>
  <c r="S81" i="8"/>
  <c r="AL80" i="8"/>
  <c r="AK80" i="8"/>
  <c r="AJ80" i="8"/>
  <c r="AE80" i="8"/>
  <c r="AH80" i="8" s="1"/>
  <c r="AI80" i="8" s="1"/>
  <c r="AD80" i="8"/>
  <c r="AC80" i="8"/>
  <c r="AB80" i="8"/>
  <c r="AA80" i="8"/>
  <c r="U80" i="8"/>
  <c r="S80" i="8"/>
  <c r="AL79" i="8"/>
  <c r="AK79" i="8"/>
  <c r="AJ79" i="8"/>
  <c r="AE79" i="8"/>
  <c r="AH79" i="8" s="1"/>
  <c r="AI79" i="8" s="1"/>
  <c r="AD79" i="8"/>
  <c r="AC79" i="8"/>
  <c r="AB79" i="8"/>
  <c r="AA79" i="8"/>
  <c r="U79" i="8"/>
  <c r="S79" i="8"/>
  <c r="AL78" i="8"/>
  <c r="AK78" i="8"/>
  <c r="AJ78" i="8"/>
  <c r="AE78" i="8"/>
  <c r="AH78" i="8" s="1"/>
  <c r="AI78" i="8" s="1"/>
  <c r="AD78" i="8"/>
  <c r="AC78" i="8"/>
  <c r="AB78" i="8"/>
  <c r="AA78" i="8"/>
  <c r="U78" i="8"/>
  <c r="S78" i="8"/>
  <c r="AL77" i="8"/>
  <c r="AK77" i="8"/>
  <c r="AJ77" i="8"/>
  <c r="AE77" i="8"/>
  <c r="AH77" i="8" s="1"/>
  <c r="AI77" i="8" s="1"/>
  <c r="AD77" i="8"/>
  <c r="AC77" i="8"/>
  <c r="AB77" i="8"/>
  <c r="AA77" i="8"/>
  <c r="U77" i="8"/>
  <c r="S77" i="8"/>
  <c r="AL76" i="8"/>
  <c r="AK76" i="8"/>
  <c r="AJ76" i="8"/>
  <c r="AE76" i="8"/>
  <c r="AH76" i="8" s="1"/>
  <c r="AI76" i="8" s="1"/>
  <c r="AD76" i="8"/>
  <c r="AC76" i="8"/>
  <c r="AB76" i="8"/>
  <c r="AA76" i="8"/>
  <c r="U76" i="8"/>
  <c r="S76" i="8"/>
  <c r="AL75" i="8"/>
  <c r="AK75" i="8"/>
  <c r="AJ75" i="8"/>
  <c r="AE75" i="8"/>
  <c r="AH75" i="8" s="1"/>
  <c r="AI75" i="8" s="1"/>
  <c r="AD75" i="8"/>
  <c r="AC75" i="8"/>
  <c r="AB75" i="8"/>
  <c r="AA75" i="8"/>
  <c r="U75" i="8"/>
  <c r="S75" i="8"/>
  <c r="AL74" i="8"/>
  <c r="AK74" i="8"/>
  <c r="AJ74" i="8"/>
  <c r="AE74" i="8"/>
  <c r="AH74" i="8" s="1"/>
  <c r="AI74" i="8" s="1"/>
  <c r="AD74" i="8"/>
  <c r="AC74" i="8"/>
  <c r="AB74" i="8"/>
  <c r="AA74" i="8"/>
  <c r="U74" i="8"/>
  <c r="S74" i="8"/>
  <c r="AL73" i="8"/>
  <c r="AK73" i="8"/>
  <c r="AJ73" i="8"/>
  <c r="AE73" i="8"/>
  <c r="AH73" i="8" s="1"/>
  <c r="AI73" i="8" s="1"/>
  <c r="AD73" i="8"/>
  <c r="AC73" i="8"/>
  <c r="AB73" i="8"/>
  <c r="AA73" i="8"/>
  <c r="U73" i="8"/>
  <c r="S73" i="8"/>
  <c r="AL72" i="8"/>
  <c r="AK72" i="8"/>
  <c r="AJ72" i="8"/>
  <c r="AE72" i="8"/>
  <c r="AH72" i="8" s="1"/>
  <c r="AI72" i="8" s="1"/>
  <c r="AD72" i="8"/>
  <c r="AC72" i="8"/>
  <c r="AB72" i="8"/>
  <c r="AA72" i="8"/>
  <c r="U72" i="8"/>
  <c r="S72" i="8"/>
  <c r="AL71" i="8"/>
  <c r="AK71" i="8"/>
  <c r="AJ71" i="8"/>
  <c r="AE71" i="8"/>
  <c r="AH71" i="8" s="1"/>
  <c r="AI71" i="8" s="1"/>
  <c r="AD71" i="8"/>
  <c r="AC71" i="8"/>
  <c r="AB71" i="8"/>
  <c r="AA71" i="8"/>
  <c r="U71" i="8"/>
  <c r="S71" i="8"/>
  <c r="AL70" i="8"/>
  <c r="AK70" i="8"/>
  <c r="AJ70" i="8"/>
  <c r="AE70" i="8"/>
  <c r="AH70" i="8" s="1"/>
  <c r="AI70" i="8" s="1"/>
  <c r="AD70" i="8"/>
  <c r="AC70" i="8"/>
  <c r="AB70" i="8"/>
  <c r="AA70" i="8"/>
  <c r="U70" i="8"/>
  <c r="S70" i="8"/>
  <c r="AL69" i="8"/>
  <c r="AK69" i="8"/>
  <c r="AJ69" i="8"/>
  <c r="AE69" i="8"/>
  <c r="AH69" i="8" s="1"/>
  <c r="AI69" i="8" s="1"/>
  <c r="AD69" i="8"/>
  <c r="AC69" i="8"/>
  <c r="AB69" i="8"/>
  <c r="AA69" i="8"/>
  <c r="U69" i="8"/>
  <c r="S69" i="8"/>
  <c r="AL68" i="8"/>
  <c r="AK68" i="8"/>
  <c r="AJ68" i="8"/>
  <c r="AE68" i="8"/>
  <c r="AH68" i="8" s="1"/>
  <c r="AI68" i="8" s="1"/>
  <c r="AD68" i="8"/>
  <c r="AC68" i="8"/>
  <c r="AB68" i="8"/>
  <c r="AA68" i="8"/>
  <c r="U68" i="8"/>
  <c r="S68" i="8"/>
  <c r="AL67" i="8"/>
  <c r="AK67" i="8"/>
  <c r="AJ67" i="8"/>
  <c r="AE67" i="8"/>
  <c r="AH67" i="8" s="1"/>
  <c r="AI67" i="8" s="1"/>
  <c r="AD67" i="8"/>
  <c r="AC67" i="8"/>
  <c r="AB67" i="8"/>
  <c r="AA67" i="8"/>
  <c r="U67" i="8"/>
  <c r="S67" i="8"/>
  <c r="AL66" i="8"/>
  <c r="AK66" i="8"/>
  <c r="AJ66" i="8"/>
  <c r="AE66" i="8"/>
  <c r="AH66" i="8" s="1"/>
  <c r="AI66" i="8" s="1"/>
  <c r="AD66" i="8"/>
  <c r="AC66" i="8"/>
  <c r="AB66" i="8"/>
  <c r="AA66" i="8"/>
  <c r="U66" i="8"/>
  <c r="S66" i="8"/>
  <c r="AL65" i="8"/>
  <c r="AK65" i="8"/>
  <c r="AJ65" i="8"/>
  <c r="AE65" i="8"/>
  <c r="AH65" i="8" s="1"/>
  <c r="AI65" i="8" s="1"/>
  <c r="AD65" i="8"/>
  <c r="AC65" i="8"/>
  <c r="AB65" i="8"/>
  <c r="AA65" i="8"/>
  <c r="U65" i="8"/>
  <c r="S65" i="8"/>
  <c r="AL64" i="8"/>
  <c r="AK64" i="8"/>
  <c r="AJ64" i="8"/>
  <c r="AE64" i="8"/>
  <c r="AH64" i="8" s="1"/>
  <c r="AI64" i="8" s="1"/>
  <c r="AD64" i="8"/>
  <c r="AC64" i="8"/>
  <c r="AB64" i="8"/>
  <c r="AA64" i="8"/>
  <c r="U64" i="8"/>
  <c r="S64" i="8"/>
  <c r="AL63" i="8"/>
  <c r="AK63" i="8"/>
  <c r="AJ63" i="8"/>
  <c r="AE63" i="8"/>
  <c r="AH63" i="8" s="1"/>
  <c r="AI63" i="8" s="1"/>
  <c r="AD63" i="8"/>
  <c r="AC63" i="8"/>
  <c r="AB63" i="8"/>
  <c r="AA63" i="8"/>
  <c r="U63" i="8"/>
  <c r="S63" i="8"/>
  <c r="AL62" i="8"/>
  <c r="AK62" i="8"/>
  <c r="AJ62" i="8"/>
  <c r="AE62" i="8"/>
  <c r="AH62" i="8" s="1"/>
  <c r="AI62" i="8" s="1"/>
  <c r="AD62" i="8"/>
  <c r="AC62" i="8"/>
  <c r="AB62" i="8"/>
  <c r="AA62" i="8"/>
  <c r="U62" i="8"/>
  <c r="S62" i="8"/>
  <c r="AL61" i="8"/>
  <c r="AK61" i="8"/>
  <c r="AJ61" i="8"/>
  <c r="AE61" i="8"/>
  <c r="AH61" i="8" s="1"/>
  <c r="AI61" i="8" s="1"/>
  <c r="AD61" i="8"/>
  <c r="AC61" i="8"/>
  <c r="AB61" i="8"/>
  <c r="AA61" i="8"/>
  <c r="U61" i="8"/>
  <c r="S61" i="8"/>
  <c r="AL60" i="8"/>
  <c r="AK60" i="8"/>
  <c r="AJ60" i="8"/>
  <c r="AE60" i="8"/>
  <c r="AH60" i="8" s="1"/>
  <c r="AI60" i="8" s="1"/>
  <c r="AD60" i="8"/>
  <c r="AC60" i="8"/>
  <c r="AB60" i="8"/>
  <c r="AA60" i="8"/>
  <c r="U60" i="8"/>
  <c r="S60" i="8"/>
  <c r="AL59" i="8"/>
  <c r="AK59" i="8"/>
  <c r="AJ59" i="8"/>
  <c r="AE59" i="8"/>
  <c r="AH59" i="8" s="1"/>
  <c r="AI59" i="8" s="1"/>
  <c r="AD59" i="8"/>
  <c r="AC59" i="8"/>
  <c r="AB59" i="8"/>
  <c r="AA59" i="8"/>
  <c r="U59" i="8"/>
  <c r="S59" i="8"/>
  <c r="AL58" i="8"/>
  <c r="AK58" i="8"/>
  <c r="AJ58" i="8"/>
  <c r="AE58" i="8"/>
  <c r="AH58" i="8" s="1"/>
  <c r="AI58" i="8" s="1"/>
  <c r="AD58" i="8"/>
  <c r="AC58" i="8"/>
  <c r="AB58" i="8"/>
  <c r="AA58" i="8"/>
  <c r="U58" i="8"/>
  <c r="S58" i="8"/>
  <c r="AL57" i="8"/>
  <c r="AK57" i="8"/>
  <c r="AJ57" i="8"/>
  <c r="AE57" i="8"/>
  <c r="AH57" i="8" s="1"/>
  <c r="AI57" i="8" s="1"/>
  <c r="AD57" i="8"/>
  <c r="AC57" i="8"/>
  <c r="AB57" i="8"/>
  <c r="AA57" i="8"/>
  <c r="U57" i="8"/>
  <c r="S57" i="8"/>
  <c r="AL56" i="8"/>
  <c r="AK56" i="8"/>
  <c r="AJ56" i="8"/>
  <c r="AE56" i="8"/>
  <c r="AH56" i="8" s="1"/>
  <c r="AI56" i="8" s="1"/>
  <c r="AD56" i="8"/>
  <c r="AC56" i="8"/>
  <c r="AB56" i="8"/>
  <c r="AA56" i="8"/>
  <c r="U56" i="8"/>
  <c r="S56" i="8"/>
  <c r="AL55" i="8"/>
  <c r="AK55" i="8"/>
  <c r="AJ55" i="8"/>
  <c r="AE55" i="8"/>
  <c r="AD55" i="8"/>
  <c r="AC55" i="8"/>
  <c r="AB55" i="8"/>
  <c r="AA55" i="8"/>
  <c r="U55" i="8"/>
  <c r="S55" i="8"/>
  <c r="AL54" i="8"/>
  <c r="AK54" i="8"/>
  <c r="AJ54" i="8"/>
  <c r="AE54" i="8"/>
  <c r="AH54" i="8" s="1"/>
  <c r="AD54" i="8"/>
  <c r="AC54" i="8"/>
  <c r="AB54" i="8"/>
  <c r="AA54" i="8"/>
  <c r="U54" i="8"/>
  <c r="S54" i="8"/>
  <c r="AL53" i="8"/>
  <c r="AK53" i="8"/>
  <c r="AJ53" i="8"/>
  <c r="AE53" i="8"/>
  <c r="AH53" i="8" s="1"/>
  <c r="AI53" i="8" s="1"/>
  <c r="AD53" i="8"/>
  <c r="AC53" i="8"/>
  <c r="AB53" i="8"/>
  <c r="AA53" i="8"/>
  <c r="U53" i="8"/>
  <c r="S53" i="8"/>
  <c r="AL52" i="8"/>
  <c r="AK52" i="8"/>
  <c r="AJ52" i="8"/>
  <c r="AE52" i="8"/>
  <c r="AD52" i="8"/>
  <c r="AC52" i="8"/>
  <c r="AB52" i="8"/>
  <c r="AA52" i="8"/>
  <c r="U52" i="8"/>
  <c r="S52" i="8"/>
  <c r="AL51" i="8"/>
  <c r="AK51" i="8"/>
  <c r="AJ51" i="8"/>
  <c r="AE51" i="8"/>
  <c r="AD51" i="8"/>
  <c r="AC51" i="8"/>
  <c r="AB51" i="8"/>
  <c r="AA51" i="8"/>
  <c r="U51" i="8"/>
  <c r="S51" i="8"/>
  <c r="AL50" i="8"/>
  <c r="AK50" i="8"/>
  <c r="AJ50" i="8"/>
  <c r="AE50" i="8"/>
  <c r="AD50" i="8"/>
  <c r="AC50" i="8"/>
  <c r="AB50" i="8"/>
  <c r="AA50" i="8"/>
  <c r="U50" i="8"/>
  <c r="S50" i="8"/>
  <c r="AL49" i="8"/>
  <c r="AK49" i="8"/>
  <c r="AJ49" i="8"/>
  <c r="AE49" i="8"/>
  <c r="AH49" i="8" s="1"/>
  <c r="AD49" i="8"/>
  <c r="AC49" i="8"/>
  <c r="AB49" i="8"/>
  <c r="AA49" i="8"/>
  <c r="U49" i="8"/>
  <c r="S49" i="8"/>
  <c r="AL48" i="8"/>
  <c r="AK48" i="8"/>
  <c r="AJ48" i="8"/>
  <c r="AE48" i="8"/>
  <c r="AH48" i="8" s="1"/>
  <c r="AD48" i="8"/>
  <c r="AC48" i="8"/>
  <c r="AB48" i="8"/>
  <c r="AA48" i="8"/>
  <c r="U48" i="8"/>
  <c r="S48" i="8"/>
  <c r="AL47" i="8"/>
  <c r="AK47" i="8"/>
  <c r="AJ47" i="8"/>
  <c r="AE47" i="8"/>
  <c r="AH47" i="8" s="1"/>
  <c r="AD47" i="8"/>
  <c r="AC47" i="8"/>
  <c r="AB47" i="8"/>
  <c r="AA47" i="8"/>
  <c r="U47" i="8"/>
  <c r="S47" i="8"/>
  <c r="AL46" i="8"/>
  <c r="AK46" i="8"/>
  <c r="AJ46" i="8"/>
  <c r="AE46" i="8"/>
  <c r="AH46" i="8" s="1"/>
  <c r="AD46" i="8"/>
  <c r="AC46" i="8"/>
  <c r="AB46" i="8"/>
  <c r="AA46" i="8"/>
  <c r="U46" i="8"/>
  <c r="S46" i="8"/>
  <c r="AL45" i="8"/>
  <c r="AK45" i="8"/>
  <c r="AJ45" i="8"/>
  <c r="AE45" i="8"/>
  <c r="AH45" i="8" s="1"/>
  <c r="AD45" i="8"/>
  <c r="AC45" i="8"/>
  <c r="AB45" i="8"/>
  <c r="AA45" i="8"/>
  <c r="U45" i="8"/>
  <c r="S45" i="8"/>
  <c r="AL44" i="8"/>
  <c r="AK44" i="8"/>
  <c r="AJ44" i="8"/>
  <c r="AE44" i="8"/>
  <c r="AH44" i="8" s="1"/>
  <c r="AD44" i="8"/>
  <c r="AC44" i="8"/>
  <c r="AB44" i="8"/>
  <c r="AA44" i="8"/>
  <c r="U44" i="8"/>
  <c r="S44" i="8"/>
  <c r="AL43" i="8"/>
  <c r="AK43" i="8"/>
  <c r="AJ43" i="8"/>
  <c r="AE43" i="8"/>
  <c r="AH43" i="8" s="1"/>
  <c r="AD43" i="8"/>
  <c r="AC43" i="8"/>
  <c r="AB43" i="8"/>
  <c r="AA43" i="8"/>
  <c r="U43" i="8"/>
  <c r="S43" i="8"/>
  <c r="AL42" i="8"/>
  <c r="AK42" i="8"/>
  <c r="AJ42" i="8"/>
  <c r="AE42" i="8"/>
  <c r="AH42" i="8" s="1"/>
  <c r="AI42" i="8" s="1"/>
  <c r="AD42" i="8"/>
  <c r="AC42" i="8"/>
  <c r="AB42" i="8"/>
  <c r="AA42" i="8"/>
  <c r="U42" i="8"/>
  <c r="S42" i="8"/>
  <c r="AL41" i="8"/>
  <c r="AK41" i="8"/>
  <c r="AJ41" i="8"/>
  <c r="AE41" i="8"/>
  <c r="AH41" i="8" s="1"/>
  <c r="AD41" i="8"/>
  <c r="AC41" i="8"/>
  <c r="AB41" i="8"/>
  <c r="AA41" i="8"/>
  <c r="U41" i="8"/>
  <c r="S41" i="8"/>
  <c r="AL40" i="8"/>
  <c r="AK40" i="8"/>
  <c r="AJ40" i="8"/>
  <c r="AE40" i="8"/>
  <c r="AH40" i="8" s="1"/>
  <c r="AD40" i="8"/>
  <c r="AC40" i="8"/>
  <c r="AB40" i="8"/>
  <c r="AA40" i="8"/>
  <c r="U40" i="8"/>
  <c r="S40" i="8"/>
  <c r="AL39" i="8"/>
  <c r="AK39" i="8"/>
  <c r="AJ39" i="8"/>
  <c r="AE39" i="8"/>
  <c r="AH39" i="8" s="1"/>
  <c r="AD39" i="8"/>
  <c r="AC39" i="8"/>
  <c r="AB39" i="8"/>
  <c r="AA39" i="8"/>
  <c r="U39" i="8"/>
  <c r="S39" i="8"/>
  <c r="AL38" i="8"/>
  <c r="AK38" i="8"/>
  <c r="AJ38" i="8"/>
  <c r="AE38" i="8"/>
  <c r="AH38" i="8" s="1"/>
  <c r="AD38" i="8"/>
  <c r="AC38" i="8"/>
  <c r="AB38" i="8"/>
  <c r="AA38" i="8"/>
  <c r="U38" i="8"/>
  <c r="S38" i="8"/>
  <c r="AL37" i="8"/>
  <c r="AK37" i="8"/>
  <c r="AJ37" i="8"/>
  <c r="AE37" i="8"/>
  <c r="AH37" i="8" s="1"/>
  <c r="AD37" i="8"/>
  <c r="AC37" i="8"/>
  <c r="AB37" i="8"/>
  <c r="AA37" i="8"/>
  <c r="U37" i="8"/>
  <c r="S37" i="8"/>
  <c r="AL36" i="8"/>
  <c r="AK36" i="8"/>
  <c r="AJ36" i="8"/>
  <c r="AE36" i="8"/>
  <c r="AH36" i="8" s="1"/>
  <c r="AD36" i="8"/>
  <c r="AC36" i="8"/>
  <c r="AB36" i="8"/>
  <c r="AA36" i="8"/>
  <c r="U36" i="8"/>
  <c r="S36" i="8"/>
  <c r="AL35" i="8"/>
  <c r="AK35" i="8"/>
  <c r="AJ35" i="8"/>
  <c r="AE35" i="8"/>
  <c r="AH35" i="8" s="1"/>
  <c r="AD35" i="8"/>
  <c r="AC35" i="8"/>
  <c r="AB35" i="8"/>
  <c r="AA35" i="8"/>
  <c r="U35" i="8"/>
  <c r="S35" i="8"/>
  <c r="AL34" i="8"/>
  <c r="AK34" i="8"/>
  <c r="AJ34" i="8"/>
  <c r="AE34" i="8"/>
  <c r="AH34" i="8" s="1"/>
  <c r="AD34" i="8"/>
  <c r="AC34" i="8"/>
  <c r="AB34" i="8"/>
  <c r="AA34" i="8"/>
  <c r="U34" i="8"/>
  <c r="S34" i="8"/>
  <c r="AL33" i="8"/>
  <c r="AK33" i="8"/>
  <c r="AJ33" i="8"/>
  <c r="AE33" i="8"/>
  <c r="AH33" i="8" s="1"/>
  <c r="AD33" i="8"/>
  <c r="AC33" i="8"/>
  <c r="AB33" i="8"/>
  <c r="AA33" i="8"/>
  <c r="U33" i="8"/>
  <c r="S33" i="8"/>
  <c r="AL32" i="8"/>
  <c r="AK32" i="8"/>
  <c r="AJ32" i="8"/>
  <c r="AE32" i="8"/>
  <c r="AH32" i="8" s="1"/>
  <c r="AD32" i="8"/>
  <c r="AC32" i="8"/>
  <c r="AB32" i="8"/>
  <c r="AA32" i="8"/>
  <c r="U32" i="8"/>
  <c r="S32" i="8"/>
  <c r="AL31" i="8"/>
  <c r="AK31" i="8"/>
  <c r="AJ31" i="8"/>
  <c r="AE31" i="8"/>
  <c r="AH31" i="8" s="1"/>
  <c r="AD31" i="8"/>
  <c r="AC31" i="8"/>
  <c r="AB31" i="8"/>
  <c r="AA31" i="8"/>
  <c r="U31" i="8"/>
  <c r="S31" i="8"/>
  <c r="AL30" i="8"/>
  <c r="AK30" i="8"/>
  <c r="AJ30" i="8"/>
  <c r="AE30" i="8"/>
  <c r="AH30" i="8" s="1"/>
  <c r="AD30" i="8"/>
  <c r="AC30" i="8"/>
  <c r="AB30" i="8"/>
  <c r="AA30" i="8"/>
  <c r="U30" i="8"/>
  <c r="S30" i="8"/>
  <c r="AL29" i="8"/>
  <c r="AK29" i="8"/>
  <c r="AJ29" i="8"/>
  <c r="AE29" i="8"/>
  <c r="AH29" i="8" s="1"/>
  <c r="AD29" i="8"/>
  <c r="AC29" i="8"/>
  <c r="AB29" i="8"/>
  <c r="AA29" i="8"/>
  <c r="U29" i="8"/>
  <c r="S29" i="8"/>
  <c r="AL28" i="8"/>
  <c r="AK28" i="8"/>
  <c r="AJ28" i="8"/>
  <c r="AE28" i="8"/>
  <c r="AH28" i="8" s="1"/>
  <c r="AI28" i="8" s="1"/>
  <c r="AD28" i="8"/>
  <c r="AC28" i="8"/>
  <c r="AB28" i="8"/>
  <c r="AA28" i="8"/>
  <c r="U28" i="8"/>
  <c r="S28" i="8"/>
  <c r="AL27" i="8"/>
  <c r="AK27" i="8"/>
  <c r="AJ27" i="8"/>
  <c r="AE27" i="8"/>
  <c r="AH27" i="8" s="1"/>
  <c r="AD27" i="8"/>
  <c r="AC27" i="8"/>
  <c r="AB27" i="8"/>
  <c r="AA27" i="8"/>
  <c r="U27" i="8"/>
  <c r="S27" i="8"/>
  <c r="AN26" i="8"/>
  <c r="AL26" i="8"/>
  <c r="AK26" i="8"/>
  <c r="AJ26" i="8"/>
  <c r="AG26" i="8"/>
  <c r="AE26" i="8"/>
  <c r="AH26" i="8" s="1"/>
  <c r="AD26" i="8"/>
  <c r="AC26" i="8"/>
  <c r="AB26" i="8"/>
  <c r="AA26" i="8"/>
  <c r="W26" i="8"/>
  <c r="U26" i="8"/>
  <c r="S26" i="8"/>
  <c r="AL25" i="8"/>
  <c r="AK25" i="8"/>
  <c r="AJ25" i="8"/>
  <c r="AE25" i="8"/>
  <c r="AH25" i="8" s="1"/>
  <c r="AI25" i="8" s="1"/>
  <c r="AD25" i="8"/>
  <c r="AC25" i="8"/>
  <c r="AB25" i="8"/>
  <c r="AA25" i="8"/>
  <c r="U25" i="8"/>
  <c r="S25" i="8"/>
  <c r="AL24" i="8"/>
  <c r="AK24" i="8"/>
  <c r="AJ24" i="8"/>
  <c r="AE24" i="8"/>
  <c r="AH24" i="8" s="1"/>
  <c r="AI24" i="8" s="1"/>
  <c r="AD24" i="8"/>
  <c r="AC24" i="8"/>
  <c r="AB24" i="8"/>
  <c r="AA24" i="8"/>
  <c r="U24" i="8"/>
  <c r="S24" i="8"/>
  <c r="AL23" i="8"/>
  <c r="AK23" i="8"/>
  <c r="AJ23" i="8"/>
  <c r="AE23" i="8"/>
  <c r="AH23" i="8" s="1"/>
  <c r="AD23" i="8"/>
  <c r="AC23" i="8"/>
  <c r="AB23" i="8"/>
  <c r="AA23" i="8"/>
  <c r="U23" i="8"/>
  <c r="S23" i="8"/>
  <c r="AL22" i="8"/>
  <c r="AK22" i="8"/>
  <c r="AJ22" i="8"/>
  <c r="AE22" i="8"/>
  <c r="AH22" i="8" s="1"/>
  <c r="AD22" i="8"/>
  <c r="AC22" i="8"/>
  <c r="AB22" i="8"/>
  <c r="AA22" i="8"/>
  <c r="U22" i="8"/>
  <c r="S22" i="8"/>
  <c r="AL21" i="8"/>
  <c r="AK21" i="8"/>
  <c r="AJ21" i="8"/>
  <c r="AE21" i="8"/>
  <c r="AH21" i="8" s="1"/>
  <c r="AD21" i="8"/>
  <c r="AC21" i="8"/>
  <c r="AB21" i="8"/>
  <c r="AA21" i="8"/>
  <c r="U21" i="8"/>
  <c r="S21" i="8"/>
  <c r="AL20" i="8"/>
  <c r="AK20" i="8"/>
  <c r="AJ20" i="8"/>
  <c r="AE20" i="8"/>
  <c r="AH20" i="8" s="1"/>
  <c r="AD20" i="8"/>
  <c r="AC20" i="8"/>
  <c r="AB20" i="8"/>
  <c r="AA20" i="8"/>
  <c r="U20" i="8"/>
  <c r="S20" i="8"/>
  <c r="AL19" i="8"/>
  <c r="AK19" i="8"/>
  <c r="AJ19" i="8"/>
  <c r="AE19" i="8"/>
  <c r="AH19" i="8" s="1"/>
  <c r="AD19" i="8"/>
  <c r="AC19" i="8"/>
  <c r="AB19" i="8"/>
  <c r="AA19" i="8"/>
  <c r="U19" i="8"/>
  <c r="S19" i="8"/>
  <c r="AL18" i="8"/>
  <c r="AK18" i="8"/>
  <c r="AJ18" i="8"/>
  <c r="AE18" i="8"/>
  <c r="AH18" i="8" s="1"/>
  <c r="AD18" i="8"/>
  <c r="AC18" i="8"/>
  <c r="AB18" i="8"/>
  <c r="AA18" i="8"/>
  <c r="U18" i="8"/>
  <c r="S18" i="8"/>
  <c r="AL17" i="8"/>
  <c r="AK17" i="8"/>
  <c r="AJ17" i="8"/>
  <c r="AE17" i="8"/>
  <c r="AH17" i="8" s="1"/>
  <c r="AD17" i="8"/>
  <c r="AC17" i="8"/>
  <c r="AB17" i="8"/>
  <c r="AA17" i="8"/>
  <c r="U17" i="8"/>
  <c r="S17" i="8"/>
  <c r="AL16" i="8"/>
  <c r="AK16" i="8"/>
  <c r="AJ16" i="8"/>
  <c r="AE16" i="8"/>
  <c r="AH16" i="8" s="1"/>
  <c r="AD16" i="8"/>
  <c r="AC16" i="8"/>
  <c r="AB16" i="8"/>
  <c r="AA16" i="8"/>
  <c r="U16" i="8"/>
  <c r="S16" i="8"/>
  <c r="AL15" i="8"/>
  <c r="AK15" i="8"/>
  <c r="AJ15" i="8"/>
  <c r="AE15" i="8"/>
  <c r="AH15" i="8" s="1"/>
  <c r="AD15" i="8"/>
  <c r="AC15" i="8"/>
  <c r="AB15" i="8"/>
  <c r="AA15" i="8"/>
  <c r="U15" i="8"/>
  <c r="S15" i="8"/>
  <c r="AL14" i="8"/>
  <c r="AK14" i="8"/>
  <c r="AJ14" i="8"/>
  <c r="AE14" i="8"/>
  <c r="AH14" i="8" s="1"/>
  <c r="AD14" i="8"/>
  <c r="AC14" i="8"/>
  <c r="AB14" i="8"/>
  <c r="AA14" i="8"/>
  <c r="U14" i="8"/>
  <c r="S14" i="8"/>
  <c r="AL13" i="8"/>
  <c r="AK13" i="8"/>
  <c r="AJ13" i="8"/>
  <c r="AE13" i="8"/>
  <c r="AH13" i="8" s="1"/>
  <c r="AD13" i="8"/>
  <c r="AC13" i="8"/>
  <c r="AB13" i="8"/>
  <c r="AA13" i="8"/>
  <c r="U13" i="8"/>
  <c r="S13" i="8"/>
  <c r="AL12" i="8"/>
  <c r="AK12" i="8"/>
  <c r="AJ12" i="8"/>
  <c r="AE12" i="8"/>
  <c r="AH12" i="8" s="1"/>
  <c r="AD12" i="8"/>
  <c r="AC12" i="8"/>
  <c r="AB12" i="8"/>
  <c r="AA12" i="8"/>
  <c r="U12" i="8"/>
  <c r="S12" i="8"/>
  <c r="AL11" i="8"/>
  <c r="AK11" i="8"/>
  <c r="AJ11" i="8"/>
  <c r="AE11" i="8"/>
  <c r="AH11" i="8" s="1"/>
  <c r="AD11" i="8"/>
  <c r="AC11" i="8"/>
  <c r="AB11" i="8"/>
  <c r="AA11" i="8"/>
  <c r="U11" i="8"/>
  <c r="S11" i="8"/>
  <c r="AL10" i="8"/>
  <c r="AK10" i="8"/>
  <c r="AJ10" i="8"/>
  <c r="AE10" i="8"/>
  <c r="AH10" i="8" s="1"/>
  <c r="AI10" i="8" s="1"/>
  <c r="AD10" i="8"/>
  <c r="AC10" i="8"/>
  <c r="AB10" i="8"/>
  <c r="AA10" i="8"/>
  <c r="U10" i="8"/>
  <c r="S10" i="8"/>
  <c r="AL9" i="8"/>
  <c r="AK9" i="8"/>
  <c r="AJ9" i="8"/>
  <c r="AE9" i="8"/>
  <c r="AH9" i="8" s="1"/>
  <c r="AI9" i="8" s="1"/>
  <c r="AD9" i="8"/>
  <c r="AC9" i="8"/>
  <c r="AB9" i="8"/>
  <c r="AA9" i="8"/>
  <c r="U9" i="8"/>
  <c r="S9" i="8"/>
  <c r="AL8" i="8"/>
  <c r="AK8" i="8"/>
  <c r="AJ8" i="8"/>
  <c r="AE8" i="8"/>
  <c r="AH8" i="8" s="1"/>
  <c r="AD8" i="8"/>
  <c r="AC8" i="8"/>
  <c r="AB8" i="8"/>
  <c r="AA8" i="8"/>
  <c r="U8" i="8"/>
  <c r="S8" i="8"/>
  <c r="AL7" i="8"/>
  <c r="AK7" i="8"/>
  <c r="AJ7" i="8"/>
  <c r="AE7" i="8"/>
  <c r="AH7" i="8" s="1"/>
  <c r="AI7" i="8" s="1"/>
  <c r="AD7" i="8"/>
  <c r="AC7" i="8"/>
  <c r="AB7" i="8"/>
  <c r="AA7" i="8"/>
  <c r="U7" i="8"/>
  <c r="S7" i="8"/>
  <c r="AL6" i="8"/>
  <c r="AK6" i="8"/>
  <c r="AJ6" i="8"/>
  <c r="AE6" i="8"/>
  <c r="AH6" i="8" s="1"/>
  <c r="AD6" i="8"/>
  <c r="AC6" i="8"/>
  <c r="AB6" i="8"/>
  <c r="AA6" i="8"/>
  <c r="U6" i="8"/>
  <c r="S6" i="8"/>
  <c r="AL5" i="8"/>
  <c r="AK5" i="8"/>
  <c r="AJ5" i="8"/>
  <c r="AE5" i="8"/>
  <c r="AH5" i="8" s="1"/>
  <c r="AD5" i="8"/>
  <c r="AC5" i="8"/>
  <c r="AB5" i="8"/>
  <c r="AA5" i="8"/>
  <c r="U5" i="8"/>
  <c r="S5" i="8"/>
  <c r="AL4" i="8"/>
  <c r="AK4" i="8"/>
  <c r="AJ4" i="8"/>
  <c r="AE4" i="8"/>
  <c r="AH4" i="8" s="1"/>
  <c r="AD4" i="8"/>
  <c r="AC4" i="8"/>
  <c r="AB4" i="8"/>
  <c r="AA4" i="8"/>
  <c r="U4" i="8"/>
  <c r="S4" i="8"/>
  <c r="AL3" i="8"/>
  <c r="AK3" i="8"/>
  <c r="AJ3" i="8"/>
  <c r="AE3" i="8"/>
  <c r="AH3" i="8" s="1"/>
  <c r="AD3" i="8"/>
  <c r="AC3" i="8"/>
  <c r="AB3" i="8"/>
  <c r="AA3" i="8"/>
  <c r="U3" i="8"/>
  <c r="S3" i="8"/>
  <c r="AL2" i="8"/>
  <c r="AK2" i="8"/>
  <c r="AJ2" i="8"/>
  <c r="AE2" i="8"/>
  <c r="AH2" i="8" s="1"/>
  <c r="AI2" i="8" s="1"/>
  <c r="AD2" i="8"/>
  <c r="AC2" i="8"/>
  <c r="AB2" i="8"/>
  <c r="AA2" i="8"/>
  <c r="U2" i="8"/>
  <c r="S2" i="8"/>
  <c r="P55" i="1" l="1"/>
  <c r="V55" i="8" s="1"/>
  <c r="Q55" i="1"/>
  <c r="AF55" i="8" s="1"/>
  <c r="AH55" i="8"/>
  <c r="AI55" i="8" s="1"/>
  <c r="AO55" i="8"/>
  <c r="P54" i="1"/>
  <c r="V54" i="8" s="1"/>
  <c r="Q54" i="1"/>
  <c r="AF54" i="8" s="1"/>
  <c r="AI54" i="8" s="1"/>
  <c r="AO54" i="8"/>
  <c r="P53" i="1"/>
  <c r="V53" i="8" s="1"/>
  <c r="Q53" i="1"/>
  <c r="AF53" i="8" s="1"/>
  <c r="D22" i="8"/>
  <c r="P52" i="1"/>
  <c r="V52" i="8" s="1"/>
  <c r="Q52" i="1"/>
  <c r="AF52" i="8" s="1"/>
  <c r="AH52" i="8"/>
  <c r="AI52" i="8" s="1"/>
  <c r="AO52" i="8"/>
  <c r="D12" i="8"/>
  <c r="D13" i="8"/>
  <c r="D14" i="8"/>
  <c r="D15" i="8"/>
  <c r="D16" i="8"/>
  <c r="D19" i="8"/>
  <c r="D20" i="8"/>
  <c r="D23" i="8"/>
  <c r="D21" i="8"/>
  <c r="Q51" i="1"/>
  <c r="AF51" i="8" s="1"/>
  <c r="R51" i="1"/>
  <c r="AM51" i="8" s="1"/>
  <c r="AO51" i="8" s="1"/>
  <c r="P51" i="1"/>
  <c r="AH51" i="8"/>
  <c r="R50" i="1"/>
  <c r="AM50" i="8" s="1"/>
  <c r="AO50" i="8" s="1"/>
  <c r="Q50" i="1"/>
  <c r="AF50" i="8" s="1"/>
  <c r="P50" i="1"/>
  <c r="AH50" i="8"/>
  <c r="W208" i="8"/>
  <c r="AG208" i="8"/>
  <c r="AN208" i="8"/>
  <c r="W207" i="8"/>
  <c r="AN207" i="8"/>
  <c r="AG207" i="8"/>
  <c r="AG206" i="8"/>
  <c r="AN206" i="8"/>
  <c r="W206" i="8"/>
  <c r="W205" i="8"/>
  <c r="AG205" i="8"/>
  <c r="AN205" i="8"/>
  <c r="AN204" i="8"/>
  <c r="W204" i="8"/>
  <c r="AG204" i="8"/>
  <c r="AN203" i="8"/>
  <c r="W203" i="8"/>
  <c r="AG203" i="8"/>
  <c r="AN202" i="8"/>
  <c r="AG202" i="8"/>
  <c r="W202" i="8"/>
  <c r="AN201" i="8"/>
  <c r="AG201" i="8"/>
  <c r="W201" i="8"/>
  <c r="AG200" i="8"/>
  <c r="AN200" i="8"/>
  <c r="W200" i="8"/>
  <c r="AN199" i="8"/>
  <c r="W199" i="8"/>
  <c r="AG199" i="8"/>
  <c r="AN198" i="8"/>
  <c r="AG198" i="8"/>
  <c r="W198" i="8"/>
  <c r="AN197" i="8"/>
  <c r="AG197" i="8"/>
  <c r="W197" i="8"/>
  <c r="W196" i="8"/>
  <c r="AG196" i="8"/>
  <c r="AN196" i="8"/>
  <c r="W195" i="8"/>
  <c r="AG195" i="8"/>
  <c r="AN195" i="8"/>
  <c r="W194" i="8"/>
  <c r="AG194" i="8"/>
  <c r="AN194" i="8"/>
  <c r="AN155" i="8"/>
  <c r="AG155" i="8"/>
  <c r="W155" i="8"/>
  <c r="AN154" i="8"/>
  <c r="AG154" i="8"/>
  <c r="W154" i="8"/>
  <c r="AG153" i="8"/>
  <c r="W153" i="8"/>
  <c r="AN153" i="8"/>
  <c r="W152" i="8"/>
  <c r="AG152" i="8"/>
  <c r="AN152" i="8"/>
  <c r="W151" i="8"/>
  <c r="AG151" i="8"/>
  <c r="AN151" i="8"/>
  <c r="W150" i="8"/>
  <c r="AN150" i="8"/>
  <c r="AG150" i="8"/>
  <c r="AN149" i="8"/>
  <c r="W149" i="8"/>
  <c r="AG149" i="8"/>
  <c r="AN148" i="8"/>
  <c r="W148" i="8"/>
  <c r="AG148" i="8"/>
  <c r="W147" i="8"/>
  <c r="AG147" i="8"/>
  <c r="AN147" i="8"/>
  <c r="AN146" i="8"/>
  <c r="W146" i="8"/>
  <c r="AG146" i="8"/>
  <c r="AG145" i="8"/>
  <c r="W145" i="8"/>
  <c r="AN145" i="8"/>
  <c r="W144" i="8"/>
  <c r="AN144" i="8"/>
  <c r="AG144" i="8"/>
  <c r="W143" i="8"/>
  <c r="AG143" i="8"/>
  <c r="AN143" i="8"/>
  <c r="W142" i="8"/>
  <c r="AG142" i="8"/>
  <c r="AN142" i="8"/>
  <c r="W141" i="8"/>
  <c r="AG141" i="8"/>
  <c r="AN141" i="8"/>
  <c r="AN140" i="8"/>
  <c r="AG140" i="8"/>
  <c r="W140" i="8"/>
  <c r="AN139" i="8"/>
  <c r="W139" i="8"/>
  <c r="AG139" i="8"/>
  <c r="AN138" i="8"/>
  <c r="AG138" i="8"/>
  <c r="W138" i="8"/>
  <c r="AN137" i="8"/>
  <c r="AG137" i="8"/>
  <c r="W137" i="8"/>
  <c r="AG136" i="8"/>
  <c r="W136" i="8"/>
  <c r="AN136" i="8"/>
  <c r="AN135" i="8"/>
  <c r="AG135" i="8"/>
  <c r="W135" i="8"/>
  <c r="AG134" i="8"/>
  <c r="W134" i="8"/>
  <c r="AN134" i="8"/>
  <c r="W133" i="8"/>
  <c r="AG133" i="8"/>
  <c r="AN133" i="8"/>
  <c r="W132" i="8"/>
  <c r="AN132" i="8"/>
  <c r="AG132" i="8"/>
  <c r="AG131" i="8"/>
  <c r="W131" i="8"/>
  <c r="AN131" i="8"/>
  <c r="AN130" i="8"/>
  <c r="AG130" i="8"/>
  <c r="W130" i="8"/>
  <c r="AN129" i="8"/>
  <c r="AG129" i="8"/>
  <c r="W129" i="8"/>
  <c r="AG128" i="8"/>
  <c r="W128" i="8"/>
  <c r="AN128" i="8"/>
  <c r="W127" i="8"/>
  <c r="AN127" i="8"/>
  <c r="AG127" i="8"/>
  <c r="W126" i="8"/>
  <c r="AN126" i="8"/>
  <c r="AG126" i="8"/>
  <c r="AN125" i="8"/>
  <c r="AG125" i="8"/>
  <c r="W125" i="8"/>
  <c r="AG124" i="8"/>
  <c r="AN124" i="8"/>
  <c r="W124" i="8"/>
  <c r="W123" i="8"/>
  <c r="AN123" i="8"/>
  <c r="AG123" i="8"/>
  <c r="W122" i="8"/>
  <c r="AG122" i="8"/>
  <c r="AN122" i="8"/>
  <c r="AN121" i="8"/>
  <c r="W121" i="8"/>
  <c r="AG121" i="8"/>
  <c r="AN120" i="8"/>
  <c r="AG120" i="8"/>
  <c r="W120" i="8"/>
  <c r="W119" i="8"/>
  <c r="AN119" i="8"/>
  <c r="AG119" i="8"/>
  <c r="AG118" i="8"/>
  <c r="AN118" i="8"/>
  <c r="W118" i="8"/>
  <c r="AG117" i="8"/>
  <c r="AN117" i="8"/>
  <c r="W117" i="8"/>
  <c r="AG116" i="8"/>
  <c r="W116" i="8"/>
  <c r="AN116" i="8"/>
  <c r="AG115" i="8"/>
  <c r="AN115" i="8"/>
  <c r="W115" i="8"/>
  <c r="AG114" i="8"/>
  <c r="W114" i="8"/>
  <c r="AN114" i="8"/>
  <c r="AG113" i="8"/>
  <c r="AN113" i="8"/>
  <c r="W113" i="8"/>
  <c r="AN112" i="8"/>
  <c r="W112" i="8"/>
  <c r="AG112" i="8"/>
  <c r="AN111" i="8"/>
  <c r="AG111" i="8"/>
  <c r="W111" i="8"/>
  <c r="AG110" i="8"/>
  <c r="AN110" i="8"/>
  <c r="W110" i="8"/>
  <c r="AN109" i="8"/>
  <c r="W109" i="8"/>
  <c r="AG109" i="8"/>
  <c r="W108" i="8"/>
  <c r="AG108" i="8"/>
  <c r="AN108" i="8"/>
  <c r="W107" i="8"/>
  <c r="AG107" i="8"/>
  <c r="AN107" i="8"/>
  <c r="AG106" i="8"/>
  <c r="W106" i="8"/>
  <c r="AN106" i="8"/>
  <c r="AN105" i="8"/>
  <c r="AG105" i="8"/>
  <c r="W105" i="8"/>
  <c r="AN104" i="8"/>
  <c r="W104" i="8"/>
  <c r="AG104" i="8"/>
  <c r="W103" i="8"/>
  <c r="AN103" i="8"/>
  <c r="AG103" i="8"/>
  <c r="AN102" i="8"/>
  <c r="W102" i="8"/>
  <c r="AG102" i="8"/>
  <c r="AG101" i="8"/>
  <c r="AN101" i="8"/>
  <c r="W101" i="8"/>
  <c r="W100" i="8"/>
  <c r="AG100" i="8"/>
  <c r="AN100" i="8"/>
  <c r="AG99" i="8"/>
  <c r="AN99" i="8"/>
  <c r="W99" i="8"/>
  <c r="AN98" i="8"/>
  <c r="W98" i="8"/>
  <c r="AG98" i="8"/>
  <c r="AN97" i="8"/>
  <c r="W97" i="8"/>
  <c r="AG97" i="8"/>
  <c r="W96" i="8"/>
  <c r="AN96" i="8"/>
  <c r="AG96" i="8"/>
  <c r="AN95" i="8"/>
  <c r="W95" i="8"/>
  <c r="AG95" i="8"/>
  <c r="AN94" i="8"/>
  <c r="AG94" i="8"/>
  <c r="W94" i="8"/>
  <c r="W93" i="8"/>
  <c r="AG93" i="8"/>
  <c r="AN93" i="8"/>
  <c r="W92" i="8"/>
  <c r="AG92" i="8"/>
  <c r="AN92" i="8"/>
  <c r="W91" i="8"/>
  <c r="AG91" i="8"/>
  <c r="AN91" i="8"/>
  <c r="W90" i="8"/>
  <c r="AG90" i="8"/>
  <c r="AN90" i="8"/>
  <c r="AN89" i="8"/>
  <c r="AG89" i="8"/>
  <c r="W89" i="8"/>
  <c r="AN88" i="8"/>
  <c r="AG88" i="8"/>
  <c r="W88" i="8"/>
  <c r="W87" i="8"/>
  <c r="AG87" i="8"/>
  <c r="AN87" i="8"/>
  <c r="W86" i="8"/>
  <c r="AG86" i="8"/>
  <c r="AN86" i="8"/>
  <c r="AN85" i="8"/>
  <c r="AG85" i="8"/>
  <c r="W85" i="8"/>
  <c r="AN84" i="8"/>
  <c r="W84" i="8"/>
  <c r="AG84" i="8"/>
  <c r="W83" i="8"/>
  <c r="AN83" i="8"/>
  <c r="AG83" i="8"/>
  <c r="AN82" i="8"/>
  <c r="AG82" i="8"/>
  <c r="W82" i="8"/>
  <c r="W81" i="8"/>
  <c r="AN81" i="8"/>
  <c r="AG81" i="8"/>
  <c r="AN80" i="8"/>
  <c r="AG80" i="8"/>
  <c r="W80" i="8"/>
  <c r="AN79" i="8"/>
  <c r="AG79" i="8"/>
  <c r="W79" i="8"/>
  <c r="AN78" i="8"/>
  <c r="W78" i="8"/>
  <c r="AG78" i="8"/>
  <c r="AN77" i="8"/>
  <c r="AG77" i="8"/>
  <c r="W77" i="8"/>
  <c r="W76" i="8"/>
  <c r="AG76" i="8"/>
  <c r="AN76" i="8"/>
  <c r="AN75" i="8"/>
  <c r="AG75" i="8"/>
  <c r="W75" i="8"/>
  <c r="W74" i="8"/>
  <c r="AG74" i="8"/>
  <c r="AN74" i="8"/>
  <c r="AN73" i="8"/>
  <c r="W73" i="8"/>
  <c r="AG73" i="8"/>
  <c r="W72" i="8"/>
  <c r="AG72" i="8"/>
  <c r="AN72" i="8"/>
  <c r="W71" i="8"/>
  <c r="AN71" i="8"/>
  <c r="AG71" i="8"/>
  <c r="AG70" i="8"/>
  <c r="AN70" i="8"/>
  <c r="W70" i="8"/>
  <c r="W69" i="8"/>
  <c r="AG69" i="8"/>
  <c r="AN69" i="8"/>
  <c r="AN68" i="8"/>
  <c r="AG68" i="8"/>
  <c r="W68" i="8"/>
  <c r="W67" i="8"/>
  <c r="AN67" i="8"/>
  <c r="AG67" i="8"/>
  <c r="AN66" i="8"/>
  <c r="AG66" i="8"/>
  <c r="W66" i="8"/>
  <c r="AN65" i="8"/>
  <c r="AG65" i="8"/>
  <c r="W65" i="8"/>
  <c r="AN64" i="8"/>
  <c r="AG64" i="8"/>
  <c r="W64" i="8"/>
  <c r="AN63" i="8"/>
  <c r="AG63" i="8"/>
  <c r="W63" i="8"/>
  <c r="AN62" i="8"/>
  <c r="AG62" i="8"/>
  <c r="W62" i="8"/>
  <c r="AN61" i="8"/>
  <c r="AG61" i="8"/>
  <c r="W61" i="8"/>
  <c r="AN60" i="8"/>
  <c r="W60" i="8"/>
  <c r="AG60" i="8"/>
  <c r="AN59" i="8"/>
  <c r="W59" i="8"/>
  <c r="AG59" i="8"/>
  <c r="W58" i="8"/>
  <c r="AG58" i="8"/>
  <c r="AN58" i="8"/>
  <c r="AN57" i="8"/>
  <c r="AG57" i="8"/>
  <c r="W57" i="8"/>
  <c r="AN56" i="8"/>
  <c r="AG56" i="8"/>
  <c r="W56" i="8"/>
  <c r="AN55" i="8"/>
  <c r="W55" i="8"/>
  <c r="AG55" i="8"/>
  <c r="AN54" i="8"/>
  <c r="AG54" i="8"/>
  <c r="W54" i="8"/>
  <c r="AN53" i="8"/>
  <c r="AG53" i="8"/>
  <c r="W53" i="8"/>
  <c r="AN52" i="8"/>
  <c r="W52" i="8"/>
  <c r="AG52" i="8"/>
  <c r="AN51" i="8"/>
  <c r="AG51" i="8"/>
  <c r="W51" i="8"/>
  <c r="AN50" i="8"/>
  <c r="AG50" i="8"/>
  <c r="W50" i="8"/>
  <c r="P49" i="1"/>
  <c r="W49" i="8"/>
  <c r="R49" i="1"/>
  <c r="AM49" i="8" s="1"/>
  <c r="AO49" i="8" s="1"/>
  <c r="AN49" i="8"/>
  <c r="AG49" i="8"/>
  <c r="Q49" i="1"/>
  <c r="AF49" i="8" s="1"/>
  <c r="AI49" i="8" s="1"/>
  <c r="Q48" i="1"/>
  <c r="AF48" i="8" s="1"/>
  <c r="AI48" i="8" s="1"/>
  <c r="P48" i="1"/>
  <c r="R48" i="1"/>
  <c r="AM48" i="8" s="1"/>
  <c r="AO48" i="8" s="1"/>
  <c r="W48" i="8"/>
  <c r="AN48" i="8"/>
  <c r="AG48" i="8"/>
  <c r="R47" i="1"/>
  <c r="AM47" i="8" s="1"/>
  <c r="AO47" i="8" s="1"/>
  <c r="Q47" i="1"/>
  <c r="AF47" i="8" s="1"/>
  <c r="AI47" i="8" s="1"/>
  <c r="AG47" i="8"/>
  <c r="W47" i="8"/>
  <c r="P47" i="1"/>
  <c r="AN47" i="8"/>
  <c r="W46" i="8"/>
  <c r="AN46" i="8"/>
  <c r="P46" i="1"/>
  <c r="Q46" i="1"/>
  <c r="AF46" i="8" s="1"/>
  <c r="AI46" i="8" s="1"/>
  <c r="R46" i="1"/>
  <c r="AM46" i="8" s="1"/>
  <c r="AO46" i="8" s="1"/>
  <c r="AG46" i="8"/>
  <c r="W45" i="8"/>
  <c r="AG45" i="8"/>
  <c r="AN45" i="8"/>
  <c r="R45" i="1"/>
  <c r="AM45" i="8" s="1"/>
  <c r="AO45" i="8" s="1"/>
  <c r="Q45" i="1"/>
  <c r="AF45" i="8" s="1"/>
  <c r="AI45" i="8" s="1"/>
  <c r="P45" i="1"/>
  <c r="R44" i="1"/>
  <c r="AM44" i="8" s="1"/>
  <c r="AO44" i="8" s="1"/>
  <c r="AG44" i="8"/>
  <c r="AN44" i="8"/>
  <c r="W44" i="8"/>
  <c r="P44" i="1"/>
  <c r="Q44" i="1"/>
  <c r="AF44" i="8" s="1"/>
  <c r="AI44" i="8" s="1"/>
  <c r="P43" i="1"/>
  <c r="Q43" i="1"/>
  <c r="AF43" i="8" s="1"/>
  <c r="AI43" i="8" s="1"/>
  <c r="R43" i="1"/>
  <c r="AM43" i="8" s="1"/>
  <c r="AO43" i="8" s="1"/>
  <c r="AN43" i="8"/>
  <c r="AG43" i="8"/>
  <c r="W43" i="8"/>
  <c r="Q42" i="1"/>
  <c r="AF42" i="8" s="1"/>
  <c r="P42" i="1"/>
  <c r="R42" i="1"/>
  <c r="AM42" i="8" s="1"/>
  <c r="AO42" i="8" s="1"/>
  <c r="AN42" i="8"/>
  <c r="AG42" i="8"/>
  <c r="W42" i="8"/>
  <c r="AG41" i="8"/>
  <c r="Q41" i="1"/>
  <c r="AF41" i="8" s="1"/>
  <c r="AI41" i="8" s="1"/>
  <c r="R41" i="1"/>
  <c r="AM41" i="8" s="1"/>
  <c r="AO41" i="8" s="1"/>
  <c r="P41" i="1"/>
  <c r="AN41" i="8"/>
  <c r="W41" i="8"/>
  <c r="AG40" i="8"/>
  <c r="W40" i="8"/>
  <c r="P40" i="1"/>
  <c r="Q40" i="1"/>
  <c r="AF40" i="8" s="1"/>
  <c r="AI40" i="8" s="1"/>
  <c r="AN40" i="8"/>
  <c r="R40" i="1"/>
  <c r="AM40" i="8" s="1"/>
  <c r="AO40" i="8" s="1"/>
  <c r="AN39" i="8"/>
  <c r="AG39" i="8"/>
  <c r="W39" i="8"/>
  <c r="Q39" i="1"/>
  <c r="AF39" i="8" s="1"/>
  <c r="AI39" i="8" s="1"/>
  <c r="R39" i="1"/>
  <c r="AM39" i="8" s="1"/>
  <c r="AO39" i="8" s="1"/>
  <c r="P39" i="1"/>
  <c r="AG38" i="8"/>
  <c r="R38" i="1"/>
  <c r="AM38" i="8" s="1"/>
  <c r="AO38" i="8" s="1"/>
  <c r="Q38" i="1"/>
  <c r="AF38" i="8" s="1"/>
  <c r="AI38" i="8" s="1"/>
  <c r="P38" i="1"/>
  <c r="AN38" i="8"/>
  <c r="W38" i="8"/>
  <c r="W37" i="8"/>
  <c r="P37" i="1"/>
  <c r="Q37" i="1"/>
  <c r="AF37" i="8" s="1"/>
  <c r="AI37" i="8" s="1"/>
  <c r="R37" i="1"/>
  <c r="AM37" i="8" s="1"/>
  <c r="AO37" i="8" s="1"/>
  <c r="AN37" i="8"/>
  <c r="AG37" i="8"/>
  <c r="Q36" i="1"/>
  <c r="AF36" i="8" s="1"/>
  <c r="AI36" i="8" s="1"/>
  <c r="R36" i="1"/>
  <c r="AM36" i="8" s="1"/>
  <c r="AO36" i="8" s="1"/>
  <c r="P36" i="1"/>
  <c r="W36" i="8"/>
  <c r="AN36" i="8"/>
  <c r="AG36" i="8"/>
  <c r="R35" i="1"/>
  <c r="AM35" i="8" s="1"/>
  <c r="AO35" i="8" s="1"/>
  <c r="P35" i="1"/>
  <c r="Q35" i="1"/>
  <c r="AF35" i="8" s="1"/>
  <c r="AI35" i="8" s="1"/>
  <c r="AG35" i="8"/>
  <c r="AN35" i="8"/>
  <c r="W35" i="8"/>
  <c r="AN34" i="8"/>
  <c r="P34" i="1"/>
  <c r="Q34" i="1"/>
  <c r="AF34" i="8" s="1"/>
  <c r="AI34" i="8" s="1"/>
  <c r="R34" i="1"/>
  <c r="AM34" i="8" s="1"/>
  <c r="AO34" i="8" s="1"/>
  <c r="W34" i="8"/>
  <c r="AG34" i="8"/>
  <c r="AG33" i="8"/>
  <c r="Q33" i="1"/>
  <c r="AF33" i="8" s="1"/>
  <c r="AI33" i="8" s="1"/>
  <c r="W33" i="8"/>
  <c r="R33" i="1"/>
  <c r="AM33" i="8" s="1"/>
  <c r="AO33" i="8" s="1"/>
  <c r="AN33" i="8"/>
  <c r="P33" i="1"/>
  <c r="Q32" i="1"/>
  <c r="AF32" i="8" s="1"/>
  <c r="AI32" i="8" s="1"/>
  <c r="P32" i="1"/>
  <c r="R32" i="1"/>
  <c r="AM32" i="8" s="1"/>
  <c r="AO32" i="8" s="1"/>
  <c r="AN32" i="8"/>
  <c r="AG32" i="8"/>
  <c r="W32" i="8"/>
  <c r="AG31" i="8"/>
  <c r="Q31" i="1"/>
  <c r="AF31" i="8" s="1"/>
  <c r="AI31" i="8" s="1"/>
  <c r="W31" i="8"/>
  <c r="AN31" i="8"/>
  <c r="R31" i="1"/>
  <c r="AM31" i="8" s="1"/>
  <c r="AO31" i="8" s="1"/>
  <c r="P31" i="1"/>
  <c r="Q30" i="1"/>
  <c r="AF30" i="8" s="1"/>
  <c r="AI30" i="8" s="1"/>
  <c r="P30" i="1"/>
  <c r="AG30" i="8"/>
  <c r="W30" i="8"/>
  <c r="AN30" i="8"/>
  <c r="R30" i="1"/>
  <c r="AM30" i="8" s="1"/>
  <c r="AO30" i="8" s="1"/>
  <c r="Q29" i="1"/>
  <c r="AF29" i="8" s="1"/>
  <c r="AI29" i="8" s="1"/>
  <c r="W29" i="8"/>
  <c r="R29" i="1"/>
  <c r="AM29" i="8" s="1"/>
  <c r="AO29" i="8" s="1"/>
  <c r="P29" i="1"/>
  <c r="AN29" i="8"/>
  <c r="AG29" i="8"/>
  <c r="P28" i="1"/>
  <c r="R28" i="1"/>
  <c r="AM28" i="8" s="1"/>
  <c r="AO28" i="8" s="1"/>
  <c r="AG28" i="8"/>
  <c r="AN28" i="8"/>
  <c r="W28" i="8"/>
  <c r="Q28" i="1"/>
  <c r="AF28" i="8" s="1"/>
  <c r="AG27" i="8"/>
  <c r="P27" i="1"/>
  <c r="W27" i="8"/>
  <c r="Q27" i="1"/>
  <c r="AF27" i="8" s="1"/>
  <c r="AI27" i="8" s="1"/>
  <c r="AN27" i="8"/>
  <c r="R27" i="1"/>
  <c r="AM27" i="8" s="1"/>
  <c r="AO27" i="8" s="1"/>
  <c r="S26" i="1"/>
  <c r="V26" i="1" s="1"/>
  <c r="T26" i="1"/>
  <c r="U26" i="1" s="1"/>
  <c r="V26" i="8"/>
  <c r="W25" i="8"/>
  <c r="AN25" i="8"/>
  <c r="AG25" i="8"/>
  <c r="R25" i="1"/>
  <c r="AM25" i="8" s="1"/>
  <c r="AO25" i="8" s="1"/>
  <c r="Q25" i="1"/>
  <c r="AF25" i="8" s="1"/>
  <c r="P25" i="1"/>
  <c r="R24" i="1"/>
  <c r="AM24" i="8" s="1"/>
  <c r="AO24" i="8" s="1"/>
  <c r="Q24" i="1"/>
  <c r="AF24" i="8" s="1"/>
  <c r="P24" i="1"/>
  <c r="AG24" i="8"/>
  <c r="W24" i="8"/>
  <c r="AN24" i="8"/>
  <c r="R23" i="1"/>
  <c r="AM23" i="8" s="1"/>
  <c r="AO23" i="8" s="1"/>
  <c r="Q23" i="1"/>
  <c r="AF23" i="8" s="1"/>
  <c r="AI23" i="8" s="1"/>
  <c r="P23" i="1"/>
  <c r="AG23" i="8"/>
  <c r="W23" i="8"/>
  <c r="AN23" i="8"/>
  <c r="R22" i="1"/>
  <c r="AM22" i="8" s="1"/>
  <c r="AO22" i="8" s="1"/>
  <c r="Q22" i="1"/>
  <c r="AF22" i="8" s="1"/>
  <c r="AI22" i="8" s="1"/>
  <c r="P22" i="1"/>
  <c r="AN22" i="8"/>
  <c r="AG22" i="8"/>
  <c r="W22" i="8"/>
  <c r="Q21" i="1"/>
  <c r="AF21" i="8" s="1"/>
  <c r="AI21" i="8" s="1"/>
  <c r="P21" i="1"/>
  <c r="AN21" i="8"/>
  <c r="W21" i="8"/>
  <c r="AG21" i="8"/>
  <c r="R21" i="1"/>
  <c r="AM21" i="8" s="1"/>
  <c r="AO21" i="8" s="1"/>
  <c r="P20" i="1"/>
  <c r="Q20" i="1"/>
  <c r="AF20" i="8" s="1"/>
  <c r="AI20" i="8" s="1"/>
  <c r="W20" i="8"/>
  <c r="R20" i="1"/>
  <c r="AM20" i="8" s="1"/>
  <c r="AO20" i="8" s="1"/>
  <c r="AN20" i="8"/>
  <c r="AG20" i="8"/>
  <c r="R19" i="1"/>
  <c r="AM19" i="8" s="1"/>
  <c r="AO19" i="8" s="1"/>
  <c r="Q19" i="1"/>
  <c r="AF19" i="8" s="1"/>
  <c r="AI19" i="8" s="1"/>
  <c r="P19" i="1"/>
  <c r="AN19" i="8"/>
  <c r="AG19" i="8"/>
  <c r="W19" i="8"/>
  <c r="W18" i="8"/>
  <c r="AG18" i="8"/>
  <c r="AN18" i="8"/>
  <c r="Q18" i="1"/>
  <c r="AF18" i="8" s="1"/>
  <c r="AI18" i="8" s="1"/>
  <c r="R18" i="1"/>
  <c r="AM18" i="8" s="1"/>
  <c r="AO18" i="8" s="1"/>
  <c r="P18" i="1"/>
  <c r="W17" i="8"/>
  <c r="AG17" i="8"/>
  <c r="R17" i="1"/>
  <c r="AM17" i="8" s="1"/>
  <c r="AO17" i="8" s="1"/>
  <c r="Q17" i="1"/>
  <c r="AF17" i="8" s="1"/>
  <c r="AI17" i="8" s="1"/>
  <c r="P17" i="1"/>
  <c r="AN17" i="8"/>
  <c r="AN16" i="8"/>
  <c r="P16" i="1"/>
  <c r="AG16" i="8"/>
  <c r="W16" i="8"/>
  <c r="R16" i="1"/>
  <c r="AM16" i="8" s="1"/>
  <c r="AO16" i="8" s="1"/>
  <c r="Q16" i="1"/>
  <c r="AF16" i="8" s="1"/>
  <c r="AI16" i="8" s="1"/>
  <c r="Q15" i="1"/>
  <c r="AF15" i="8" s="1"/>
  <c r="AI15" i="8" s="1"/>
  <c r="AG15" i="8"/>
  <c r="AN15" i="8"/>
  <c r="R15" i="1"/>
  <c r="AM15" i="8" s="1"/>
  <c r="AO15" i="8" s="1"/>
  <c r="P15" i="1"/>
  <c r="W15" i="8"/>
  <c r="AG14" i="8"/>
  <c r="Q14" i="1"/>
  <c r="AF14" i="8" s="1"/>
  <c r="AI14" i="8" s="1"/>
  <c r="R14" i="1"/>
  <c r="AM14" i="8" s="1"/>
  <c r="AO14" i="8" s="1"/>
  <c r="P14" i="1"/>
  <c r="AN14" i="8"/>
  <c r="W14" i="8"/>
  <c r="Q13" i="1"/>
  <c r="AF13" i="8" s="1"/>
  <c r="AI13" i="8" s="1"/>
  <c r="R13" i="1"/>
  <c r="AM13" i="8" s="1"/>
  <c r="AO13" i="8" s="1"/>
  <c r="W13" i="8"/>
  <c r="P13" i="1"/>
  <c r="AN13" i="8"/>
  <c r="AG13" i="8"/>
  <c r="R12" i="1"/>
  <c r="AM12" i="8" s="1"/>
  <c r="AO12" i="8" s="1"/>
  <c r="AG12" i="8"/>
  <c r="Q12" i="1"/>
  <c r="AF12" i="8" s="1"/>
  <c r="AI12" i="8" s="1"/>
  <c r="P12" i="1"/>
  <c r="W12" i="8"/>
  <c r="AN12" i="8"/>
  <c r="W11" i="8"/>
  <c r="AG11" i="8"/>
  <c r="P11" i="1"/>
  <c r="Q11" i="1"/>
  <c r="AF11" i="8" s="1"/>
  <c r="AI11" i="8" s="1"/>
  <c r="AN11" i="8"/>
  <c r="R11" i="1"/>
  <c r="AM11" i="8" s="1"/>
  <c r="AO11" i="8" s="1"/>
  <c r="W10" i="8"/>
  <c r="Q10" i="1"/>
  <c r="AF10" i="8" s="1"/>
  <c r="AN10" i="8"/>
  <c r="P10" i="1"/>
  <c r="R10" i="1"/>
  <c r="AM10" i="8" s="1"/>
  <c r="AO10" i="8" s="1"/>
  <c r="AG10" i="8"/>
  <c r="AN9" i="8"/>
  <c r="R9" i="1"/>
  <c r="AM9" i="8" s="1"/>
  <c r="AO9" i="8" s="1"/>
  <c r="Q9" i="1"/>
  <c r="AF9" i="8" s="1"/>
  <c r="AG9" i="8"/>
  <c r="W9" i="8"/>
  <c r="P9" i="1"/>
  <c r="Q8" i="1"/>
  <c r="AF8" i="8" s="1"/>
  <c r="AI8" i="8" s="1"/>
  <c r="AN8" i="8"/>
  <c r="R8" i="1"/>
  <c r="AM8" i="8" s="1"/>
  <c r="AO8" i="8" s="1"/>
  <c r="AG8" i="8"/>
  <c r="P8" i="1"/>
  <c r="W8" i="8"/>
  <c r="P7" i="1"/>
  <c r="AN7" i="8"/>
  <c r="W7" i="8"/>
  <c r="R7" i="1"/>
  <c r="AM7" i="8" s="1"/>
  <c r="AO7" i="8" s="1"/>
  <c r="Q7" i="1"/>
  <c r="AF7" i="8" s="1"/>
  <c r="AG7" i="8"/>
  <c r="AG6" i="8"/>
  <c r="Q6" i="1"/>
  <c r="AF6" i="8" s="1"/>
  <c r="AI6" i="8" s="1"/>
  <c r="AN6" i="8"/>
  <c r="W6" i="8"/>
  <c r="R6" i="1"/>
  <c r="AM6" i="8" s="1"/>
  <c r="AO6" i="8" s="1"/>
  <c r="P6" i="1"/>
  <c r="AN5" i="8"/>
  <c r="R5" i="1"/>
  <c r="AM5" i="8" s="1"/>
  <c r="AO5" i="8" s="1"/>
  <c r="Q5" i="1"/>
  <c r="AF5" i="8" s="1"/>
  <c r="AI5" i="8" s="1"/>
  <c r="W5" i="8"/>
  <c r="AG5" i="8"/>
  <c r="P5" i="1"/>
  <c r="R4" i="1"/>
  <c r="AM4" i="8" s="1"/>
  <c r="AO4" i="8" s="1"/>
  <c r="AG4" i="8"/>
  <c r="W4" i="8"/>
  <c r="AN4" i="8"/>
  <c r="P4" i="1"/>
  <c r="Q4" i="1"/>
  <c r="AF4" i="8" s="1"/>
  <c r="AI4" i="8" s="1"/>
  <c r="AG3" i="8"/>
  <c r="Q3" i="1"/>
  <c r="AF3" i="8" s="1"/>
  <c r="AI3" i="8" s="1"/>
  <c r="P3" i="1"/>
  <c r="AN3" i="8"/>
  <c r="R3" i="1"/>
  <c r="AM3" i="8" s="1"/>
  <c r="AO3" i="8" s="1"/>
  <c r="W3" i="8"/>
  <c r="R2" i="1"/>
  <c r="AM2" i="8" s="1"/>
  <c r="AO2" i="8" s="1"/>
  <c r="AN2" i="8"/>
  <c r="Q2" i="1"/>
  <c r="AF2" i="8" s="1"/>
  <c r="P2" i="1"/>
  <c r="AG2" i="8"/>
  <c r="W2" i="8"/>
  <c r="AI26" i="8"/>
  <c r="T55" i="1" l="1"/>
  <c r="U55" i="1" s="1"/>
  <c r="S55" i="1"/>
  <c r="V55" i="1" s="1"/>
  <c r="S54" i="1"/>
  <c r="V54" i="1" s="1"/>
  <c r="T54" i="1"/>
  <c r="U54" i="1" s="1"/>
  <c r="S53" i="1"/>
  <c r="V53" i="1" s="1"/>
  <c r="T53" i="1"/>
  <c r="U53" i="1" s="1"/>
  <c r="T52" i="1"/>
  <c r="U52" i="1" s="1"/>
  <c r="S52" i="1"/>
  <c r="V52" i="1" s="1"/>
  <c r="T51" i="1"/>
  <c r="U51" i="1" s="1"/>
  <c r="V51" i="8"/>
  <c r="S51" i="1"/>
  <c r="AI51" i="8"/>
  <c r="AI50" i="8"/>
  <c r="T50" i="1"/>
  <c r="U50" i="1" s="1"/>
  <c r="V50" i="8"/>
  <c r="S50" i="1"/>
  <c r="V50" i="1" s="1"/>
  <c r="S49" i="1"/>
  <c r="V49" i="1" s="1"/>
  <c r="T49" i="1"/>
  <c r="U49" i="1" s="1"/>
  <c r="V49" i="8"/>
  <c r="X49" i="8" s="1"/>
  <c r="S48" i="1"/>
  <c r="V48" i="1" s="1"/>
  <c r="T48" i="1"/>
  <c r="U48" i="1" s="1"/>
  <c r="V48" i="8"/>
  <c r="S47" i="1"/>
  <c r="V47" i="1" s="1"/>
  <c r="T47" i="1"/>
  <c r="U47" i="1" s="1"/>
  <c r="V47" i="8"/>
  <c r="X47" i="8" s="1"/>
  <c r="S46" i="1"/>
  <c r="V46" i="1" s="1"/>
  <c r="T46" i="1"/>
  <c r="U46" i="1" s="1"/>
  <c r="V46" i="8"/>
  <c r="S45" i="1"/>
  <c r="V45" i="1" s="1"/>
  <c r="T45" i="1"/>
  <c r="U45" i="1" s="1"/>
  <c r="V45" i="8"/>
  <c r="X45" i="8" s="1"/>
  <c r="S44" i="1"/>
  <c r="V44" i="1" s="1"/>
  <c r="T44" i="1"/>
  <c r="U44" i="1" s="1"/>
  <c r="V44" i="8"/>
  <c r="S43" i="1"/>
  <c r="V43" i="1" s="1"/>
  <c r="T43" i="1"/>
  <c r="U43" i="1" s="1"/>
  <c r="V43" i="8"/>
  <c r="S42" i="1"/>
  <c r="V42" i="1" s="1"/>
  <c r="T42" i="1"/>
  <c r="U42" i="1" s="1"/>
  <c r="V42" i="8"/>
  <c r="S41" i="1"/>
  <c r="V41" i="1" s="1"/>
  <c r="T41" i="1"/>
  <c r="U41" i="1" s="1"/>
  <c r="V41" i="8"/>
  <c r="X41" i="8" s="1"/>
  <c r="S40" i="1"/>
  <c r="V40" i="1" s="1"/>
  <c r="T40" i="1"/>
  <c r="U40" i="1" s="1"/>
  <c r="V40" i="8"/>
  <c r="X40" i="8" s="1"/>
  <c r="T39" i="1"/>
  <c r="U39" i="1" s="1"/>
  <c r="V39" i="8"/>
  <c r="S39" i="1"/>
  <c r="V39" i="1" s="1"/>
  <c r="S38" i="1"/>
  <c r="V38" i="1" s="1"/>
  <c r="V38" i="8"/>
  <c r="T38" i="1"/>
  <c r="U38" i="1" s="1"/>
  <c r="T37" i="1"/>
  <c r="U37" i="1" s="1"/>
  <c r="V37" i="8"/>
  <c r="X37" i="8" s="1"/>
  <c r="S37" i="1"/>
  <c r="V37" i="1" s="1"/>
  <c r="S36" i="1"/>
  <c r="V36" i="1" s="1"/>
  <c r="T36" i="1"/>
  <c r="U36" i="1" s="1"/>
  <c r="V36" i="8"/>
  <c r="T35" i="1"/>
  <c r="U35" i="1" s="1"/>
  <c r="V35" i="8"/>
  <c r="S35" i="1"/>
  <c r="V35" i="1" s="1"/>
  <c r="S34" i="1"/>
  <c r="V34" i="1" s="1"/>
  <c r="T34" i="1"/>
  <c r="U34" i="1" s="1"/>
  <c r="V34" i="8"/>
  <c r="V33" i="8"/>
  <c r="X33" i="8" s="1"/>
  <c r="S33" i="1"/>
  <c r="V33" i="1" s="1"/>
  <c r="T33" i="1"/>
  <c r="U33" i="1" s="1"/>
  <c r="S32" i="1"/>
  <c r="V32" i="1" s="1"/>
  <c r="T32" i="1"/>
  <c r="U32" i="1" s="1"/>
  <c r="V32" i="8"/>
  <c r="T31" i="1"/>
  <c r="U31" i="1" s="1"/>
  <c r="S31" i="1"/>
  <c r="V31" i="1" s="1"/>
  <c r="V31" i="8"/>
  <c r="X31" i="8" s="1"/>
  <c r="T30" i="1"/>
  <c r="U30" i="1" s="1"/>
  <c r="V30" i="8"/>
  <c r="S30" i="1"/>
  <c r="V30" i="1" s="1"/>
  <c r="T29" i="1"/>
  <c r="U29" i="1" s="1"/>
  <c r="V29" i="8"/>
  <c r="X29" i="8" s="1"/>
  <c r="S29" i="1"/>
  <c r="V29" i="1" s="1"/>
  <c r="T28" i="1"/>
  <c r="U28" i="1" s="1"/>
  <c r="S28" i="1"/>
  <c r="V28" i="1" s="1"/>
  <c r="V28" i="8"/>
  <c r="S27" i="1"/>
  <c r="V27" i="1" s="1"/>
  <c r="V27" i="8"/>
  <c r="T27" i="1"/>
  <c r="U27" i="1" s="1"/>
  <c r="S25" i="1"/>
  <c r="V25" i="1" s="1"/>
  <c r="T25" i="1"/>
  <c r="U25" i="1" s="1"/>
  <c r="V25" i="8"/>
  <c r="X25" i="8" s="1"/>
  <c r="S24" i="1"/>
  <c r="V24" i="1" s="1"/>
  <c r="T24" i="1"/>
  <c r="U24" i="1" s="1"/>
  <c r="V24" i="8"/>
  <c r="S23" i="1"/>
  <c r="V23" i="1" s="1"/>
  <c r="T23" i="1"/>
  <c r="U23" i="1" s="1"/>
  <c r="V23" i="8"/>
  <c r="X23" i="8" s="1"/>
  <c r="S22" i="1"/>
  <c r="V22" i="1" s="1"/>
  <c r="T22" i="1"/>
  <c r="U22" i="1" s="1"/>
  <c r="V22" i="8"/>
  <c r="X22" i="8" s="1"/>
  <c r="S21" i="1"/>
  <c r="V21" i="1" s="1"/>
  <c r="T21" i="1"/>
  <c r="U21" i="1" s="1"/>
  <c r="V21" i="8"/>
  <c r="X21" i="8" s="1"/>
  <c r="S20" i="1"/>
  <c r="V20" i="1" s="1"/>
  <c r="T20" i="1"/>
  <c r="U20" i="1" s="1"/>
  <c r="V20" i="8"/>
  <c r="S19" i="1"/>
  <c r="V19" i="1" s="1"/>
  <c r="T19" i="1"/>
  <c r="U19" i="1" s="1"/>
  <c r="V19" i="8"/>
  <c r="S18" i="1"/>
  <c r="V18" i="1" s="1"/>
  <c r="T18" i="1"/>
  <c r="U18" i="1" s="1"/>
  <c r="V18" i="8"/>
  <c r="S17" i="1"/>
  <c r="V17" i="1" s="1"/>
  <c r="T17" i="1"/>
  <c r="U17" i="1" s="1"/>
  <c r="V17" i="8"/>
  <c r="S16" i="1"/>
  <c r="V16" i="1" s="1"/>
  <c r="T16" i="1"/>
  <c r="U16" i="1" s="1"/>
  <c r="V16" i="8"/>
  <c r="X16" i="8" s="1"/>
  <c r="V15" i="8"/>
  <c r="S15" i="1"/>
  <c r="V15" i="1" s="1"/>
  <c r="T15" i="1"/>
  <c r="U15" i="1" s="1"/>
  <c r="S14" i="1"/>
  <c r="V14" i="1" s="1"/>
  <c r="V14" i="8"/>
  <c r="T14" i="1"/>
  <c r="U14" i="1" s="1"/>
  <c r="S13" i="1"/>
  <c r="V13" i="1" s="1"/>
  <c r="T13" i="1"/>
  <c r="U13" i="1" s="1"/>
  <c r="V13" i="8"/>
  <c r="X13" i="8" s="1"/>
  <c r="S12" i="1"/>
  <c r="V12" i="1" s="1"/>
  <c r="T12" i="1"/>
  <c r="U12" i="1" s="1"/>
  <c r="V12" i="8"/>
  <c r="T11" i="1"/>
  <c r="U11" i="1" s="1"/>
  <c r="S11" i="1"/>
  <c r="V11" i="1" s="1"/>
  <c r="V11" i="8"/>
  <c r="X11" i="8" s="1"/>
  <c r="T10" i="1"/>
  <c r="U10" i="1" s="1"/>
  <c r="S10" i="1"/>
  <c r="V10" i="1" s="1"/>
  <c r="V10" i="8"/>
  <c r="T9" i="1"/>
  <c r="U9" i="1" s="1"/>
  <c r="S9" i="1"/>
  <c r="V9" i="1" s="1"/>
  <c r="V9" i="8"/>
  <c r="S8" i="1"/>
  <c r="V8" i="1" s="1"/>
  <c r="V8" i="8"/>
  <c r="X8" i="8" s="1"/>
  <c r="T8" i="1"/>
  <c r="U8" i="1" s="1"/>
  <c r="S7" i="1"/>
  <c r="V7" i="1" s="1"/>
  <c r="T7" i="1"/>
  <c r="U7" i="1" s="1"/>
  <c r="V7" i="8"/>
  <c r="X7" i="8" s="1"/>
  <c r="V6" i="8"/>
  <c r="S6" i="1"/>
  <c r="V6" i="1" s="1"/>
  <c r="T6" i="1"/>
  <c r="U6" i="1" s="1"/>
  <c r="T5" i="1"/>
  <c r="U5" i="1" s="1"/>
  <c r="V5" i="8"/>
  <c r="X5" i="8" s="1"/>
  <c r="S5" i="1"/>
  <c r="V5" i="1" s="1"/>
  <c r="S4" i="1"/>
  <c r="V4" i="1" s="1"/>
  <c r="T4" i="1"/>
  <c r="U4" i="1" s="1"/>
  <c r="V4" i="8"/>
  <c r="X4" i="8" s="1"/>
  <c r="T3" i="1"/>
  <c r="U3" i="1" s="1"/>
  <c r="V3" i="8"/>
  <c r="X3" i="8" s="1"/>
  <c r="S3" i="1"/>
  <c r="V3" i="1" s="1"/>
  <c r="P12" i="8"/>
  <c r="P14" i="8"/>
  <c r="P16" i="8"/>
  <c r="P19" i="8"/>
  <c r="P20" i="8"/>
  <c r="P21" i="8"/>
  <c r="P22" i="8"/>
  <c r="P15" i="8"/>
  <c r="P23" i="8"/>
  <c r="P13" i="8"/>
  <c r="S2" i="1"/>
  <c r="V2" i="8"/>
  <c r="X2" i="8" s="1"/>
  <c r="T2" i="1"/>
  <c r="U2" i="1" s="1"/>
  <c r="J13" i="8" l="1"/>
  <c r="V51" i="1"/>
  <c r="A5" i="5" a="1"/>
  <c r="A5" i="5" s="1"/>
  <c r="A5" i="4" a="1"/>
  <c r="A5" i="4" s="1"/>
  <c r="A5" i="3" a="1"/>
  <c r="A5" i="3" s="1"/>
  <c r="A80" i="6" a="1"/>
  <c r="A80" i="6" s="1"/>
  <c r="A47" i="6" a="1"/>
  <c r="A47" i="6" s="1"/>
  <c r="A18" i="6" a="1"/>
  <c r="A18" i="6" s="1"/>
  <c r="A6" i="6" a="1"/>
  <c r="A6" i="6" s="1"/>
  <c r="J20" i="8"/>
  <c r="J15" i="8"/>
  <c r="J14" i="8"/>
  <c r="J16" i="8"/>
  <c r="J12" i="8"/>
  <c r="J21" i="8"/>
  <c r="J23" i="8"/>
  <c r="J19" i="8"/>
  <c r="J22" i="8"/>
  <c r="Q12" i="8"/>
  <c r="N12" i="8"/>
  <c r="O12" i="8"/>
  <c r="N14" i="8"/>
  <c r="O14" i="8"/>
  <c r="Q14" i="8"/>
  <c r="N16" i="8"/>
  <c r="O16" i="8"/>
  <c r="Q16" i="8"/>
  <c r="Q19" i="8"/>
  <c r="N19" i="8"/>
  <c r="O19" i="8"/>
  <c r="Q20" i="8"/>
  <c r="N20" i="8"/>
  <c r="O20" i="8"/>
  <c r="Q21" i="8"/>
  <c r="N21" i="8"/>
  <c r="O21" i="8"/>
  <c r="Q22" i="8"/>
  <c r="N22" i="8"/>
  <c r="O22" i="8"/>
  <c r="N15" i="8"/>
  <c r="O15" i="8"/>
  <c r="Q15" i="8"/>
  <c r="N23" i="8"/>
  <c r="Q23" i="8"/>
  <c r="O23" i="8"/>
  <c r="O13" i="8"/>
  <c r="N13" i="8"/>
  <c r="Q13" i="8"/>
  <c r="N6" i="3"/>
  <c r="P7" i="5" a="1"/>
  <c r="P7" i="5" s="1"/>
  <c r="N5" i="3"/>
  <c r="V2" i="1"/>
  <c r="N5" i="4"/>
  <c r="N6" i="4"/>
  <c r="N7" i="4" a="1"/>
  <c r="N7" i="4" s="1"/>
  <c r="N8" i="4" a="1"/>
  <c r="N8" i="4" s="1"/>
  <c r="N7" i="3" a="1"/>
  <c r="N7" i="3" s="1"/>
  <c r="P5" i="5"/>
  <c r="N8" i="3" a="1"/>
  <c r="N8" i="3" s="1"/>
  <c r="P6" i="5"/>
  <c r="P8" i="5" a="1"/>
  <c r="P8" i="5" s="1"/>
  <c r="M20" i="6"/>
  <c r="M21" i="6"/>
  <c r="M18" i="6"/>
  <c r="M19" i="6"/>
  <c r="K13" i="8" l="1"/>
  <c r="I13" i="8"/>
  <c r="H13" i="8"/>
  <c r="H16" i="8"/>
  <c r="K16" i="8"/>
  <c r="I16" i="8"/>
  <c r="K19" i="8"/>
  <c r="I19" i="8"/>
  <c r="H19" i="8"/>
  <c r="I20" i="8"/>
  <c r="H20" i="8"/>
  <c r="K20" i="8"/>
  <c r="K15" i="8"/>
  <c r="I15" i="8"/>
  <c r="H15" i="8"/>
  <c r="K14" i="8"/>
  <c r="I14" i="8"/>
  <c r="H14" i="8"/>
  <c r="K12" i="8"/>
  <c r="I12" i="8"/>
  <c r="H12" i="8"/>
  <c r="I21" i="8"/>
  <c r="H21" i="8"/>
  <c r="K21" i="8"/>
  <c r="K23" i="8"/>
  <c r="H23" i="8"/>
  <c r="I23" i="8"/>
  <c r="I22" i="8"/>
  <c r="H22" i="8"/>
  <c r="K22" i="8"/>
  <c r="B16" i="8"/>
  <c r="C16" i="8"/>
  <c r="E16" i="8"/>
  <c r="B15" i="8"/>
  <c r="C15" i="8"/>
  <c r="E15" i="8"/>
  <c r="B13" i="8"/>
  <c r="C13" i="8"/>
  <c r="E13" i="8"/>
  <c r="B12" i="8"/>
  <c r="C12" i="8"/>
  <c r="E12" i="8"/>
  <c r="B23" i="8"/>
  <c r="C23" i="8"/>
  <c r="E23" i="8"/>
  <c r="E22" i="8"/>
  <c r="B22" i="8"/>
  <c r="C22" i="8"/>
  <c r="E21" i="8"/>
  <c r="B21" i="8"/>
  <c r="C21" i="8"/>
  <c r="E20" i="8"/>
  <c r="B20" i="8"/>
  <c r="C20" i="8"/>
  <c r="B19" i="8"/>
  <c r="C19" i="8"/>
  <c r="E19" i="8"/>
  <c r="B14" i="8"/>
  <c r="C14" i="8"/>
  <c r="E1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<sst xmlns="http://schemas.openxmlformats.org/spreadsheetml/2006/main" count="1259" uniqueCount="433">
  <si>
    <t>POKEMON SLEEP - WEEKLY TEAM PLANNER</t>
  </si>
  <si>
    <t>Name</t>
  </si>
  <si>
    <t>Berry</t>
  </si>
  <si>
    <t>Lvl</t>
  </si>
  <si>
    <t>Score</t>
  </si>
  <si>
    <t>Nature+</t>
  </si>
  <si>
    <t>Key</t>
  </si>
  <si>
    <t>IngrL1</t>
  </si>
  <si>
    <t>IngrL30</t>
  </si>
  <si>
    <t>IngrL60</t>
  </si>
  <si>
    <t>MatchCnt</t>
  </si>
  <si>
    <t>SkillL10</t>
  </si>
  <si>
    <t>BERRY TEAM - Kies jouw bessen deze week</t>
  </si>
  <si>
    <t>INGREDIENT TEAM - Kies kookcategorie</t>
  </si>
  <si>
    <t>SKILL TEAM - Top op Skill Score</t>
  </si>
  <si>
    <t>Berry 1:</t>
  </si>
  <si>
    <t>Oran</t>
  </si>
  <si>
    <t>Categorie:</t>
  </si>
  <si>
    <t>Curries/Stews</t>
  </si>
  <si>
    <t>Berry 2:</t>
  </si>
  <si>
    <t>Pecha</t>
  </si>
  <si>
    <t>Berry 3:</t>
  </si>
  <si>
    <t>Grepa</t>
  </si>
  <si>
    <t>Tip:</t>
  </si>
  <si>
    <t>honey • Pure Oil • Rousing Coffee</t>
  </si>
  <si>
    <t>Info:</t>
  </si>
  <si>
    <t>#</t>
  </si>
  <si>
    <t>Pokémon</t>
  </si>
  <si>
    <t>Nature +</t>
  </si>
  <si>
    <t>Ingr. L1</t>
  </si>
  <si>
    <t>Main Skill (L10)</t>
  </si>
  <si>
    <t>- Reserve -</t>
  </si>
  <si>
    <t>Lvl.</t>
  </si>
  <si>
    <t>Type</t>
  </si>
  <si>
    <t>Berries</t>
  </si>
  <si>
    <t>Ingredient Level 1</t>
  </si>
  <si>
    <t>Ingredient Level 30</t>
  </si>
  <si>
    <t>Ingredient Level 60</t>
  </si>
  <si>
    <t>Skill Level 10</t>
  </si>
  <si>
    <t>Skill Level25</t>
  </si>
  <si>
    <t>Skill Level 50</t>
  </si>
  <si>
    <t>Skill Level 75</t>
  </si>
  <si>
    <t>Skill Level 100</t>
  </si>
  <si>
    <t>Nature</t>
  </si>
  <si>
    <t>Nature Positives</t>
  </si>
  <si>
    <t>Nature Negatives</t>
  </si>
  <si>
    <t>Berry Score</t>
  </si>
  <si>
    <t>Ingredient Score</t>
  </si>
  <si>
    <t>Skill Score</t>
  </si>
  <si>
    <t>Team</t>
  </si>
  <si>
    <t>Totaal Score</t>
  </si>
  <si>
    <t>Advies</t>
  </si>
  <si>
    <t>Notities</t>
  </si>
  <si>
    <t>Pikachu</t>
  </si>
  <si>
    <t>Electric</t>
  </si>
  <si>
    <t>Fancy Apple</t>
  </si>
  <si>
    <t>Warming Ginger</t>
  </si>
  <si>
    <t>Inventory Up S</t>
  </si>
  <si>
    <t>Ingredient Finder S</t>
  </si>
  <si>
    <t>Inventory Up M</t>
  </si>
  <si>
    <t>Ingredient Finder M</t>
  </si>
  <si>
    <t>Skill Trigger S</t>
  </si>
  <si>
    <t>Modest</t>
  </si>
  <si>
    <t>Squirtle</t>
  </si>
  <si>
    <t>Water</t>
  </si>
  <si>
    <t>Moomoo Milk</t>
  </si>
  <si>
    <t>Soothing Cacao</t>
  </si>
  <si>
    <t>Inventory Up L</t>
  </si>
  <si>
    <t>Skill Trigger M</t>
  </si>
  <si>
    <t>Serious</t>
  </si>
  <si>
    <t>Igglybuff</t>
  </si>
  <si>
    <t>Fairy</t>
  </si>
  <si>
    <t>Honey</t>
  </si>
  <si>
    <t>Pure Oil</t>
  </si>
  <si>
    <t>Helping Speed S</t>
  </si>
  <si>
    <t>Naive</t>
  </si>
  <si>
    <t>Spheal</t>
  </si>
  <si>
    <t>Bean Sausage</t>
  </si>
  <si>
    <t>Berry Finding S</t>
  </si>
  <si>
    <t>Bold</t>
  </si>
  <si>
    <t>Cubone</t>
  </si>
  <si>
    <t>Ground</t>
  </si>
  <si>
    <t>Helping Speed M</t>
  </si>
  <si>
    <t>Skill Level Up M</t>
  </si>
  <si>
    <t>Naughty</t>
  </si>
  <si>
    <t>Pichu</t>
  </si>
  <si>
    <t>Skill Level Up S</t>
  </si>
  <si>
    <t>Impish</t>
  </si>
  <si>
    <t>Slowpoke</t>
  </si>
  <si>
    <t>Slowpoke Tail</t>
  </si>
  <si>
    <t>Jolly</t>
  </si>
  <si>
    <t>Noibat</t>
  </si>
  <si>
    <t>Dragon</t>
  </si>
  <si>
    <t>Large Leek</t>
  </si>
  <si>
    <t>Bashful</t>
  </si>
  <si>
    <t>Rattata</t>
  </si>
  <si>
    <t>Normal</t>
  </si>
  <si>
    <t>Greengrass Soybeans</t>
  </si>
  <si>
    <t>Research EXP Bonus</t>
  </si>
  <si>
    <t>Sleep EXP Bonus</t>
  </si>
  <si>
    <t>Mild</t>
  </si>
  <si>
    <t>Gulpin</t>
  </si>
  <si>
    <t>Poison</t>
  </si>
  <si>
    <t>Tasty Mushroom</t>
  </si>
  <si>
    <t>Dream Shard Bonus</t>
  </si>
  <si>
    <t>Hasty</t>
  </si>
  <si>
    <t>Swablu</t>
  </si>
  <si>
    <t>Flying</t>
  </si>
  <si>
    <t>Fancy Egg</t>
  </si>
  <si>
    <t>Rash</t>
  </si>
  <si>
    <t>Treecko</t>
  </si>
  <si>
    <t>Grass</t>
  </si>
  <si>
    <t>Growlithe</t>
  </si>
  <si>
    <t>Fire</t>
  </si>
  <si>
    <t>Fiery Herb</t>
  </si>
  <si>
    <t>Energy Recovery Bonus</t>
  </si>
  <si>
    <t>Psyduck</t>
  </si>
  <si>
    <t>Relaxed</t>
  </si>
  <si>
    <t>Riolu</t>
  </si>
  <si>
    <t>Fighting</t>
  </si>
  <si>
    <t>Soft Potato</t>
  </si>
  <si>
    <t>Helping Bonus</t>
  </si>
  <si>
    <t>Adamant</t>
  </si>
  <si>
    <t>Rousing Coffee</t>
  </si>
  <si>
    <t>Quiet</t>
  </si>
  <si>
    <t>Timid</t>
  </si>
  <si>
    <t>Drifloon</t>
  </si>
  <si>
    <t>Ghost</t>
  </si>
  <si>
    <t>Greengrass Corn</t>
  </si>
  <si>
    <t>Mareep</t>
  </si>
  <si>
    <t>Wynaut</t>
  </si>
  <si>
    <t>Psychic</t>
  </si>
  <si>
    <t>Larvitar</t>
  </si>
  <si>
    <t>Rock</t>
  </si>
  <si>
    <t>Quirky</t>
  </si>
  <si>
    <t>Bulbasaur</t>
  </si>
  <si>
    <t>Mudkip</t>
  </si>
  <si>
    <t>Togepi</t>
  </si>
  <si>
    <t>Geodude</t>
  </si>
  <si>
    <t>Totodile</t>
  </si>
  <si>
    <t>Houndour</t>
  </si>
  <si>
    <t>Dark</t>
  </si>
  <si>
    <t>Sassy</t>
  </si>
  <si>
    <t>Diglett</t>
  </si>
  <si>
    <t>Snoozy Tomato</t>
  </si>
  <si>
    <t>Ivysaur</t>
  </si>
  <si>
    <t>Marshtomp</t>
  </si>
  <si>
    <t>Magnemite</t>
  </si>
  <si>
    <t>Charmander</t>
  </si>
  <si>
    <t>Eevee</t>
  </si>
  <si>
    <t>Docile</t>
  </si>
  <si>
    <t>Brave</t>
  </si>
  <si>
    <t>Bonsly</t>
  </si>
  <si>
    <t>Lonely</t>
  </si>
  <si>
    <t>Latias</t>
  </si>
  <si>
    <t>Plump Pumpkin</t>
  </si>
  <si>
    <t>Hardy</t>
  </si>
  <si>
    <t>Ingredienten</t>
  </si>
  <si>
    <t>Skills</t>
  </si>
  <si>
    <t>Rarity</t>
  </si>
  <si>
    <t>Positive</t>
  </si>
  <si>
    <t>Negative</t>
  </si>
  <si>
    <t>Pokemon</t>
  </si>
  <si>
    <t>Persim</t>
  </si>
  <si>
    <t>Gold</t>
  </si>
  <si>
    <t>Ingredient Finding</t>
  </si>
  <si>
    <t>Energy Recovery</t>
  </si>
  <si>
    <t>Leppa</t>
  </si>
  <si>
    <t>EXP Gains</t>
  </si>
  <si>
    <t>Speed of Help</t>
  </si>
  <si>
    <t>Venusaur</t>
  </si>
  <si>
    <t>Durin</t>
  </si>
  <si>
    <t>Main Skill Chance</t>
  </si>
  <si>
    <t>Charmeleon</t>
  </si>
  <si>
    <t>Ice</t>
  </si>
  <si>
    <t>Rawst</t>
  </si>
  <si>
    <t>Careful</t>
  </si>
  <si>
    <t>Charizard</t>
  </si>
  <si>
    <t>Cheri</t>
  </si>
  <si>
    <t>Gentle</t>
  </si>
  <si>
    <t>Blue</t>
  </si>
  <si>
    <t>Calm</t>
  </si>
  <si>
    <t>Wartortle</t>
  </si>
  <si>
    <t>Figy</t>
  </si>
  <si>
    <t>Blastoise</t>
  </si>
  <si>
    <t>Lum</t>
  </si>
  <si>
    <t>Caterpie</t>
  </si>
  <si>
    <t>Mago</t>
  </si>
  <si>
    <t>Metapod</t>
  </si>
  <si>
    <t>Bug</t>
  </si>
  <si>
    <t>Butterfree</t>
  </si>
  <si>
    <t>Sitrus</t>
  </si>
  <si>
    <t>Bluk</t>
  </si>
  <si>
    <t>White</t>
  </si>
  <si>
    <t>Lax</t>
  </si>
  <si>
    <t>Raticate</t>
  </si>
  <si>
    <t>Yache</t>
  </si>
  <si>
    <t>Ekans</t>
  </si>
  <si>
    <t>Wiki</t>
  </si>
  <si>
    <t>Arbok</t>
  </si>
  <si>
    <t>Steel</t>
  </si>
  <si>
    <t>Belue</t>
  </si>
  <si>
    <t>Glossy Avocado</t>
  </si>
  <si>
    <t>Pikachu (Halloween)</t>
  </si>
  <si>
    <t>Pikachu (Holiday)</t>
  </si>
  <si>
    <t>Raichu</t>
  </si>
  <si>
    <t>Neutral</t>
  </si>
  <si>
    <t>Clefairy</t>
  </si>
  <si>
    <t>Clefable</t>
  </si>
  <si>
    <t>Vulpix</t>
  </si>
  <si>
    <t>Alolan Vulpix</t>
  </si>
  <si>
    <t>Ninetales</t>
  </si>
  <si>
    <t>Alolan Ninetales</t>
  </si>
  <si>
    <t>Jigglypuff</t>
  </si>
  <si>
    <t>Wigglytuff</t>
  </si>
  <si>
    <t>Dugtrio</t>
  </si>
  <si>
    <t>Meowth</t>
  </si>
  <si>
    <t>Persian</t>
  </si>
  <si>
    <t>Golduck</t>
  </si>
  <si>
    <t>Mankey</t>
  </si>
  <si>
    <t>Primeape</t>
  </si>
  <si>
    <t>Arcanine</t>
  </si>
  <si>
    <t>Bellsprout</t>
  </si>
  <si>
    <t>Weepinbell</t>
  </si>
  <si>
    <t>Victreebel</t>
  </si>
  <si>
    <t>Graveler</t>
  </si>
  <si>
    <t>Golem</t>
  </si>
  <si>
    <t>Slowbro</t>
  </si>
  <si>
    <t>Magneton</t>
  </si>
  <si>
    <t>Farfetch'd</t>
  </si>
  <si>
    <t>Doduo</t>
  </si>
  <si>
    <t>Dodrio</t>
  </si>
  <si>
    <t>Gastly</t>
  </si>
  <si>
    <t>Haunter</t>
  </si>
  <si>
    <t>Gengar</t>
  </si>
  <si>
    <t>Onix</t>
  </si>
  <si>
    <t>Marowak</t>
  </si>
  <si>
    <t>Chansey</t>
  </si>
  <si>
    <t>Kangaskhan</t>
  </si>
  <si>
    <t>Mr. Mime</t>
  </si>
  <si>
    <t>Pinsir</t>
  </si>
  <si>
    <t>Ditto</t>
  </si>
  <si>
    <t>Eevee (Holiday)</t>
  </si>
  <si>
    <t>Eevee (Halloween)</t>
  </si>
  <si>
    <t>Vaporeon</t>
  </si>
  <si>
    <t>Jolteon</t>
  </si>
  <si>
    <t>Flareon</t>
  </si>
  <si>
    <t>Dratini</t>
  </si>
  <si>
    <t>Dragonair</t>
  </si>
  <si>
    <t>Dragonite</t>
  </si>
  <si>
    <t>Mew</t>
  </si>
  <si>
    <t>Chikorita</t>
  </si>
  <si>
    <t>Bayleef</t>
  </si>
  <si>
    <t>Meganium</t>
  </si>
  <si>
    <t>Cyndaquil</t>
  </si>
  <si>
    <t>Quilava</t>
  </si>
  <si>
    <t>Typhlosion</t>
  </si>
  <si>
    <t>Croconaw</t>
  </si>
  <si>
    <t>Feraligatr</t>
  </si>
  <si>
    <t>Cleffa</t>
  </si>
  <si>
    <t>Togetic</t>
  </si>
  <si>
    <t>Natu</t>
  </si>
  <si>
    <t>Xatu</t>
  </si>
  <si>
    <t>Flaaffy</t>
  </si>
  <si>
    <t>Ampharos</t>
  </si>
  <si>
    <t>Sudowoodo</t>
  </si>
  <si>
    <t>Wooper</t>
  </si>
  <si>
    <t>Paldean Wooper</t>
  </si>
  <si>
    <t>Quagsire</t>
  </si>
  <si>
    <t>Espeon</t>
  </si>
  <si>
    <t>Umbreon</t>
  </si>
  <si>
    <t>Murkrow</t>
  </si>
  <si>
    <t>Slowking</t>
  </si>
  <si>
    <t>Wobbuffet</t>
  </si>
  <si>
    <t>Steelix</t>
  </si>
  <si>
    <t>Shuckle</t>
  </si>
  <si>
    <t>Heracross</t>
  </si>
  <si>
    <t>Sneasel</t>
  </si>
  <si>
    <t>Delibird</t>
  </si>
  <si>
    <t>Houndoom</t>
  </si>
  <si>
    <t>Blissey</t>
  </si>
  <si>
    <t>Raikou</t>
  </si>
  <si>
    <t>Entei</t>
  </si>
  <si>
    <t>Suicune</t>
  </si>
  <si>
    <t>Pupitar</t>
  </si>
  <si>
    <t>Tyranitar</t>
  </si>
  <si>
    <t>Grovyle</t>
  </si>
  <si>
    <t>Sceptile</t>
  </si>
  <si>
    <t>Torchic</t>
  </si>
  <si>
    <t>Combusken</t>
  </si>
  <si>
    <t>Blaziken</t>
  </si>
  <si>
    <t>Swampert</t>
  </si>
  <si>
    <t>Ralts</t>
  </si>
  <si>
    <t>Kirlia</t>
  </si>
  <si>
    <t>Gardevoir</t>
  </si>
  <si>
    <t>Slakoth</t>
  </si>
  <si>
    <t>Vigoroth</t>
  </si>
  <si>
    <t>Slaking</t>
  </si>
  <si>
    <t>Sableye</t>
  </si>
  <si>
    <t>Mawile</t>
  </si>
  <si>
    <t>Aron</t>
  </si>
  <si>
    <t>Lairon</t>
  </si>
  <si>
    <t>Aggron</t>
  </si>
  <si>
    <t>Plusle</t>
  </si>
  <si>
    <t>Minun</t>
  </si>
  <si>
    <t>Swalot</t>
  </si>
  <si>
    <t>Trapinch</t>
  </si>
  <si>
    <t>Vibrava</t>
  </si>
  <si>
    <t>Flygon</t>
  </si>
  <si>
    <t>Altaria</t>
  </si>
  <si>
    <t>Shuppet</t>
  </si>
  <si>
    <t>Banette</t>
  </si>
  <si>
    <t>Absol</t>
  </si>
  <si>
    <t>Spheal (Holiday)</t>
  </si>
  <si>
    <t>Sealeo</t>
  </si>
  <si>
    <t>Walrein</t>
  </si>
  <si>
    <t>Bagon</t>
  </si>
  <si>
    <t>Shelgon</t>
  </si>
  <si>
    <t>Salamence</t>
  </si>
  <si>
    <t>Shinx</t>
  </si>
  <si>
    <t>Luxio</t>
  </si>
  <si>
    <t>Luxray</t>
  </si>
  <si>
    <t>Drifblim</t>
  </si>
  <si>
    <t>Honchkrow</t>
  </si>
  <si>
    <t>Mime Jr.</t>
  </si>
  <si>
    <t>Happiny</t>
  </si>
  <si>
    <t>Spiritomb</t>
  </si>
  <si>
    <t>Lucario</t>
  </si>
  <si>
    <t>Croagunk</t>
  </si>
  <si>
    <t>Toxicroak</t>
  </si>
  <si>
    <t>Snover</t>
  </si>
  <si>
    <t>Abomasnow</t>
  </si>
  <si>
    <t>Weavile</t>
  </si>
  <si>
    <t>Magnezone</t>
  </si>
  <si>
    <t>Togekiss</t>
  </si>
  <si>
    <t>Leafeon</t>
  </si>
  <si>
    <t>Glaceon</t>
  </si>
  <si>
    <t>Gallade</t>
  </si>
  <si>
    <t>Cresselia</t>
  </si>
  <si>
    <t>Darkrai</t>
  </si>
  <si>
    <t>Munna</t>
  </si>
  <si>
    <t>Musharna</t>
  </si>
  <si>
    <t>Dwebble</t>
  </si>
  <si>
    <t>Crustle</t>
  </si>
  <si>
    <t>Rufflet</t>
  </si>
  <si>
    <t>Braviary</t>
  </si>
  <si>
    <t>Sylveon</t>
  </si>
  <si>
    <t>Dedenne</t>
  </si>
  <si>
    <t>Pumpkaboo</t>
  </si>
  <si>
    <t>Gourgeist</t>
  </si>
  <si>
    <t>Grubbin</t>
  </si>
  <si>
    <t>Charjabug</t>
  </si>
  <si>
    <t>Vikavolt</t>
  </si>
  <si>
    <t>Cutiefly</t>
  </si>
  <si>
    <t>Ribombee</t>
  </si>
  <si>
    <t>Stufful</t>
  </si>
  <si>
    <t>Bewear</t>
  </si>
  <si>
    <t>Comfey</t>
  </si>
  <si>
    <t>Togedemaru</t>
  </si>
  <si>
    <t>Mimikyu</t>
  </si>
  <si>
    <t>Cramorant</t>
  </si>
  <si>
    <t>Toxel</t>
  </si>
  <si>
    <t>Toxtricity (Amped Form)</t>
  </si>
  <si>
    <t>Toxtricity (Low Key Form)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</si>
  <si>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</si>
  <si>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</si>
  <si>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</si>
  <si>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</si>
  <si>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</si>
  <si>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</si>
  <si>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</si>
  <si>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</si>
  <si>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</si>
  <si>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Pawmi</t>
  </si>
  <si>
    <t>Pawmo</t>
  </si>
  <si>
    <t>Pawmot</t>
  </si>
  <si>
    <t>Cetoddle</t>
  </si>
  <si>
    <t>Cetitan</t>
  </si>
  <si>
    <t>Clodsire</t>
  </si>
  <si>
    <t>🍇 Berry Team</t>
  </si>
  <si>
    <t>Pokémon die het beste bessen verzamelen — Nature met Speed of Help, Helping Speed skills</t>
  </si>
  <si>
    <t>Ingredient L1</t>
  </si>
  <si>
    <t>Ingredient L30</t>
  </si>
  <si>
    <t>Ingredient L60</t>
  </si>
  <si>
    <t>Nature −</t>
  </si>
  <si>
    <t>Samenvatting</t>
  </si>
  <si>
    <t>Aantal Pokémon:</t>
  </si>
  <si>
    <t>Gem. Level:</t>
  </si>
  <si>
    <t>Hoogste Score:</t>
  </si>
  <si>
    <t>Top Pokémon:</t>
  </si>
  <si>
    <t>🍳 Ingredient Team</t>
  </si>
  <si>
    <t>Pokémon die het beste ingrediënten vinden — Nature met Ingredient Finding, Ingredient Finder skills</t>
  </si>
  <si>
    <t>Ingr. Score</t>
  </si>
  <si>
    <t>✨ Skill Team</t>
  </si>
  <si>
    <t>Pokémon met sterke main skills — Nature met Main Skill Chance, Skill Trigger/Level Up skills</t>
  </si>
  <si>
    <t>Skill L10</t>
  </si>
  <si>
    <t>Skill L25</t>
  </si>
  <si>
    <t>Skill L50</t>
  </si>
  <si>
    <t>Skill L75</t>
  </si>
  <si>
    <t>Skill L100</t>
  </si>
  <si>
    <t>📋 Pokémon Advies — Keep / Level Up / Transfer</t>
  </si>
  <si>
    <t>Automatisch gegenereerd op basis van nature, skills, level en evolutie-potentieel</t>
  </si>
  <si>
    <t>⭐ KEEP — Direct inzetten!</t>
  </si>
  <si>
    <t>🚀 Zero-to-Hero Evoluties</t>
  </si>
  <si>
    <t>Evolueert naar</t>
  </si>
  <si>
    <t>Waarom sterk?</t>
  </si>
  <si>
    <t>Prio</t>
  </si>
  <si>
    <t>Snelste berry helper in het spel</t>
  </si>
  <si>
    <t>⭐⭐⭐</t>
  </si>
  <si>
    <t>Energy for Everyone S = hele team herstelt</t>
  </si>
  <si>
    <t>Energy for Everyone S, werkt overal</t>
  </si>
  <si>
    <t>Snelle berry+ingredient, Kanto starter OP</t>
  </si>
  <si>
    <t>Key voor Snowdrop Tundra</t>
  </si>
  <si>
    <t>⭐⭐</t>
  </si>
  <si>
    <t>Hoge frequentie + Charge Strength M</t>
  </si>
  <si>
    <t>Top berry voor Cyan Beach</t>
  </si>
  <si>
    <t>Sterke all-round fighter</t>
  </si>
  <si>
    <t>💡 Wacht met evolven tot je goede Nature hebt!</t>
  </si>
  <si>
    <t>📈 LEVEL UP — Investeer erin, potentieel is groot!</t>
  </si>
  <si>
    <t>📊 Samenvatting</t>
  </si>
  <si>
    <t>⭐ Keep:</t>
  </si>
  <si>
    <t>📈 Level Up:</t>
  </si>
  <si>
    <t>🤔 Bench:</t>
  </si>
  <si>
    <t>❌ Transfer:</t>
  </si>
  <si>
    <t>Totaal:</t>
  </si>
  <si>
    <t>🤔 BENCH — Bewaar voorlopig, maar lage prioriteit</t>
  </si>
  <si>
    <t>Opmerkingen</t>
  </si>
  <si>
    <t>❌ TRANSFER — Stuur naar Professor Neroli voor candy</t>
  </si>
  <si>
    <t>Waarom transferren?</t>
  </si>
  <si>
    <t>Kookcategorie:</t>
  </si>
  <si>
    <t>Salads</t>
  </si>
  <si>
    <t>Desserts/Drinks</t>
  </si>
  <si>
    <t>Chesto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</si>
</sst>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sz val="13.5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sz val="10"/>
      <color theme="9" tint="-0.499984740745262"/>
      <name val="Arial"/>
      <family val="2"/>
    </font>
    <font>
      <sz val="11"/>
      <color theme="9" tint="-0.499984740745262"/>
      <name val="Calibri"/>
      <family val="2"/>
      <scheme val="minor"/>
    </font>
    <font>
      <b/>
      <sz val="13.5"/>
      <color theme="9" tint="-0.499984740745262"/>
      <name val="Arial"/>
      <family val="2"/>
    </font>
    <font>
      <sz val="10"/>
      <color theme="1"/>
      <name val="Arial"/>
      <family val="2"/>
      <charset val="1"/>
    </font>
    <font>
      <b/>
      <sz val="13.5"/>
      <color theme="1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4"/>
      <color rgb="FFCC00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4"/>
      <color rgb="FF008800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D8431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1565C0"/>
      <name val="Calibri"/>
      <family val="2"/>
      <scheme val="minor"/>
    </font>
    <font>
      <b/>
      <sz val="11"/>
      <color rgb="FFF57F17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FD6D6"/>
        <bgColor indexed="64"/>
      </patternFill>
    </fill>
    <fill>
      <patternFill patternType="solid">
        <fgColor rgb="FFD6FFD6"/>
        <bgColor indexed="64"/>
      </patternFill>
    </fill>
    <fill>
      <patternFill patternType="solid">
        <fgColor rgb="FFD6D6FF"/>
        <bgColor indexed="64"/>
      </patternFill>
    </fill>
    <fill>
      <patternFill patternType="solid">
        <fgColor rgb="FFFFFFD6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2CC"/>
      </patternFill>
    </fill>
    <fill>
      <patternFill patternType="solid">
        <fgColor rgb="FF40404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8" fillId="0" borderId="0" xfId="0" applyFont="1"/>
    <xf numFmtId="0" fontId="1" fillId="2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1" fillId="5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0" fontId="10" fillId="2" borderId="0" xfId="0" applyFont="1" applyFill="1"/>
    <xf numFmtId="164" fontId="0" fillId="0" borderId="0" xfId="0" applyNumberFormat="1"/>
    <xf numFmtId="0" fontId="13" fillId="0" borderId="0" xfId="0" applyFont="1"/>
    <xf numFmtId="0" fontId="10" fillId="3" borderId="0" xfId="0" applyFont="1" applyFill="1"/>
    <xf numFmtId="0" fontId="14" fillId="0" borderId="0" xfId="0" applyFont="1"/>
    <xf numFmtId="0" fontId="10" fillId="4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5" fillId="0" borderId="0" xfId="0" applyFont="1"/>
    <xf numFmtId="0" fontId="16" fillId="9" borderId="0" xfId="0" applyFont="1" applyFill="1"/>
    <xf numFmtId="0" fontId="10" fillId="10" borderId="0" xfId="0" applyFont="1" applyFill="1"/>
    <xf numFmtId="0" fontId="16" fillId="11" borderId="0" xfId="0" applyFont="1" applyFill="1"/>
    <xf numFmtId="0" fontId="10" fillId="12" borderId="0" xfId="0" applyFont="1" applyFill="1"/>
    <xf numFmtId="0" fontId="16" fillId="13" borderId="0" xfId="0" applyFont="1" applyFill="1"/>
    <xf numFmtId="0" fontId="10" fillId="14" borderId="0" xfId="0" applyFont="1" applyFill="1"/>
    <xf numFmtId="0" fontId="16" fillId="15" borderId="0" xfId="0" applyFont="1" applyFill="1"/>
    <xf numFmtId="0" fontId="10" fillId="16" borderId="0" xfId="0" applyFont="1" applyFill="1"/>
    <xf numFmtId="0" fontId="16" fillId="17" borderId="0" xfId="0" applyFont="1" applyFill="1"/>
    <xf numFmtId="0" fontId="10" fillId="18" borderId="0" xfId="0" applyFont="1" applyFill="1"/>
    <xf numFmtId="0" fontId="17" fillId="0" borderId="0" xfId="0" applyFont="1"/>
    <xf numFmtId="0" fontId="18" fillId="19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20" borderId="0" xfId="0" applyFill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0" fillId="20" borderId="2" xfId="0" applyFill="1" applyBorder="1" applyAlignment="1">
      <alignment horizontal="left" vertical="center" wrapText="1"/>
    </xf>
    <xf numFmtId="0" fontId="25" fillId="22" borderId="2" xfId="0" applyFont="1" applyFill="1" applyBorder="1" applyAlignment="1">
      <alignment horizontal="center" vertical="center" wrapText="1"/>
    </xf>
    <xf numFmtId="0" fontId="25" fillId="23" borderId="2" xfId="0" applyFont="1" applyFill="1" applyBorder="1" applyAlignment="1">
      <alignment horizontal="center" vertical="center" wrapText="1"/>
    </xf>
    <xf numFmtId="0" fontId="25" fillId="2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0" fillId="20" borderId="2" xfId="0" applyFill="1" applyBorder="1" applyAlignment="1" applyProtection="1">
      <alignment horizontal="left" vertical="center" wrapText="1"/>
      <protection locked="0"/>
    </xf>
    <xf numFmtId="0" fontId="25" fillId="22" borderId="2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25" fillId="23" borderId="0" xfId="0" applyFont="1" applyFill="1" applyAlignment="1">
      <alignment horizontal="center" vertical="center" wrapText="1"/>
    </xf>
    <xf numFmtId="0" fontId="0" fillId="0" borderId="0" xfId="0"/>
    <xf numFmtId="0" fontId="23" fillId="2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5" fillId="24" borderId="0" xfId="0" applyFont="1" applyFill="1" applyAlignment="1">
      <alignment horizontal="center" vertical="center" wrapText="1"/>
    </xf>
    <xf numFmtId="0" fontId="24" fillId="21" borderId="0" xfId="0" applyFont="1" applyFill="1" applyAlignment="1">
      <alignment horizontal="center" vertical="center" wrapText="1"/>
    </xf>
    <xf numFmtId="0" fontId="25" fillId="22" borderId="0" xfId="0" applyFont="1" applyFill="1" applyAlignment="1">
      <alignment horizontal="center" vertical="center" wrapText="1"/>
    </xf>
    <xf numFmtId="0" fontId="2" fillId="26" borderId="0" xfId="0" applyFont="1" applyFill="1"/>
  </cellXfs>
  <cellStyles count="1">
    <cellStyle name="Standaard" xfId="0" builtinId="0"/>
  </cellStyles>
  <dxfs count="50">
    <dxf>
      <font>
        <color rgb="FFC62828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565C0"/>
      </font>
      <fill>
        <patternFill patternType="solid">
          <fgColor indexed="64"/>
          <bgColor rgb="FFBBDEFB"/>
        </patternFill>
      </fill>
    </dxf>
    <dxf>
      <font>
        <color rgb="FF2E7D32"/>
      </font>
      <fill>
        <patternFill patternType="solid">
          <fgColor indexed="64"/>
          <bgColor rgb="FFC8E6C9"/>
        </patternFill>
      </fill>
    </dxf>
    <dxf>
      <font>
        <color rgb="FF999999"/>
      </font>
      <fill>
        <patternFill patternType="solid">
          <fgColor indexed="64"/>
          <bgColor rgb="FFF0F0F0"/>
        </patternFill>
      </fill>
    </dxf>
    <dxf>
      <font>
        <color rgb="FF0000CC"/>
      </font>
      <fill>
        <patternFill patternType="solid">
          <fgColor indexed="64"/>
          <bgColor rgb="FFE6E6FF"/>
        </patternFill>
      </fill>
    </dxf>
    <dxf>
      <font>
        <color rgb="FF008800"/>
      </font>
      <fill>
        <patternFill patternType="solid">
          <fgColor indexed="64"/>
          <bgColor rgb="FFE6FFE6"/>
        </patternFill>
      </fill>
    </dxf>
    <dxf>
      <font>
        <color rgb="FFCC0066"/>
      </font>
      <fill>
        <patternFill patternType="solid">
          <fgColor indexed="64"/>
          <bgColor rgb="FFFFE6F0"/>
        </patternFill>
      </fill>
    </dxf>
    <dxf>
      <font>
        <color rgb="FFC00000"/>
      </font>
    </dxf>
    <dxf>
      <font>
        <color rgb="FF00B0F0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7B6000"/>
      </font>
      <fill>
        <patternFill patternType="solid">
          <fgColor indexed="64"/>
          <bgColor rgb="FFFFD700"/>
        </patternFill>
      </fill>
    </dxf>
    <dxf>
      <font>
        <color rgb="FFC00000"/>
      </font>
    </dxf>
    <dxf>
      <font>
        <color rgb="FF375623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  <numFmt numFmtId="0" formatCode="General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charset val="1"/>
      </font>
    </dxf>
    <dxf>
      <font>
        <b/>
        <strike val="0"/>
        <condense val="0"/>
        <extend val="0"/>
        <outline val="0"/>
        <shadow val="0"/>
        <vertAlign val="baseline"/>
        <sz val="13.5"/>
        <color theme="1"/>
        <name val="Arial"/>
        <charset val="1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V250" totalsRowShown="0" headerRowDxfId="49" dataDxfId="48">
  <autoFilter ref="A1:V250" xr:uid="{00000000-0009-0000-0100-000001000000}"/>
  <tableColumns count="22">
    <tableColumn id="1" xr3:uid="{00000000-0010-0000-0000-000001000000}" name="Pokémon" dataDxfId="47"/>
    <tableColumn id="3" xr3:uid="{00000000-0010-0000-0000-000003000000}" name="Lvl." dataDxfId="46"/>
    <tableColumn id="2" xr3:uid="{00000000-0010-0000-0000-000002000000}" name="Type" dataDxfId="45"/>
    <tableColumn id="4" xr3:uid="{00000000-0010-0000-0000-000004000000}" name="Berries" dataDxfId="44">
      <calculatedColumnFormula>IF(C2="","",VLOOKUP(C2,Referentie!$A$2:$B$19,2,0))</calculatedColumnFormula>
    </tableColumn>
    <tableColumn id="5" xr3:uid="{00000000-0010-0000-0000-000005000000}" name="Ingredient Level 1" dataDxfId="43"/>
    <tableColumn id="8" xr3:uid="{00000000-0010-0000-0000-000008000000}" name="Ingredient Level 30" dataDxfId="42"/>
    <tableColumn id="9" xr3:uid="{00000000-0010-0000-0000-000009000000}" name="Ingredient Level 60" dataDxfId="41"/>
    <tableColumn id="10" xr3:uid="{00000000-0010-0000-0000-00000A000000}" name="Skill Level 10" dataDxfId="40"/>
    <tableColumn id="11" xr3:uid="{00000000-0010-0000-0000-00000B000000}" name="Skill Level25" dataDxfId="39"/>
    <tableColumn id="12" xr3:uid="{00000000-0010-0000-0000-00000C000000}" name="Skill Level 50" dataDxfId="38"/>
    <tableColumn id="13" xr3:uid="{00000000-0010-0000-0000-00000D000000}" name="Skill Level 75" dataDxfId="37"/>
    <tableColumn id="14" xr3:uid="{00000000-0010-0000-0000-00000E000000}" name="Skill Level 100" dataDxfId="36"/>
    <tableColumn id="7" xr3:uid="{00000000-0010-0000-0000-000007000000}" name="Nature" dataDxfId="35"/>
    <tableColumn id="15" xr3:uid="{00000000-0010-0000-0000-00000F000000}" name="Nature Positives" dataDxfId="34">
      <calculatedColumnFormula>IF(M2="","",VLOOKUP(M2,Referentie!$G$2:$I$26,2,0))</calculatedColumnFormula>
    </tableColumn>
    <tableColumn id="17" xr3:uid="{00000000-0010-0000-0000-000011000000}" name="Nature Negatives" dataDxfId="33">
      <calculatedColumnFormula>IF(M2="","",VLOOKUP(M2,Referentie!$G$2:$I$26,3,0))</calculatedColumnFormula>
    </tableColumn>
    <tableColumn id="6" xr3:uid="{00000000-0010-0000-0000-000006000000}" name="Berry Score" dataDxfId="32">
      <calculatedColumnFormula>IF(A2="","",  (IF(N2="Speed of Help",2,0)) + (IF(O2="Speed of Help",-2,0)) + (IF(N2="EXP Gains",1,0)) + (IF(O2="EXP Gains",-1,0)) +  (COUNTIF(H2:L2,"Helping Speed S")*1) + (COUNTIF(H2:L2,"Helping Speed M")*2) + (COUNTIF(H2:L2,"Berry Finding S")*2) + (COUNTIF(H2:L2,"Helping Bonus")*1) +  (IF(O2="Ingredient Finding",0,0)) + (IF(O2="Main Skill Chance",0,0))  )</calculatedColumnFormula>
    </tableColumn>
    <tableColumn id="16" xr3:uid="{00000000-0010-0000-0000-000010000000}" name="Ingredient Score" dataDxfId="31">
      <calculatedColumnFormula>IF(A2="","",  (IF(N2="Ingredient Finding",2,0)) + (IF(O2="Ingredient Finding",-2,0)) + (IF(N2="EXP Gains",1,0)) + (IF(O2="EXP Gains",-1,0)) +  (COUNTIF(H2:L2,"Ingredient Finder S")*1) + (COUNTIF(H2:L2,"Ingredient Finder M")*2) + (COUNTIF(H2:L2,"Inventory Up S")*0.5) + (COUNTIF(H2:L2,"Inventory Up M")*1) + (COUNTIF(H2:L2,"Inventory Up L")*1.5) +  (IF(E2=F2,1,0)) + (IF(F2=G2,1,0))  )</calculatedColumnFormula>
    </tableColumn>
    <tableColumn id="18" xr3:uid="{00000000-0010-0000-0000-000012000000}" name="Skill Score" dataDxfId="30">
      <calculatedColumnFormula>IF(A2="","",  (IF(N2="Main Skill Chance",2,0)) + (IF(O2="Main Skill Chance",-2,0)) + (IF(N2="EXP Gains",1,0)) + (IF(O2="EXP Gains",-1,0)) +  (COUNTIF(H2:L2,"Skill Trigger S")*1) + (COUNTIF(H2:L2,"Skill Trigger M")*2) + (COUNTIF(H2:L2,"Skill Level Up S")*1) + (COUNTIF(H2:L2,"Skill Level Up M")*2) + (COUNTIF(H2:L2,"Energy Recovery Bonus")*1.5) + (COUNTIF(H2:L2,"Sleep EXP Bonus")*1) + (COUNTIF(H2:L2,"Research EXP Bonus")*1)  )</calculatedColumnFormula>
    </tableColumn>
    <tableColumn id="19" xr3:uid="{00000000-0010-0000-0000-000013000000}" name="Team" dataDxfId="29">
      <calculatedColumnFormula>IF(A2="","",  IF(AND(P2&lt;=1, Q2&lt;=1, R2&lt;=1), "Bench",  IF(AND(P2&gt;=Q2, P2&gt;=R2), "Berry",  IF(AND(Q2&gt;=P2, Q2&gt;=R2), "Ingredient",  "Skill")))  )</calculatedColumnFormula>
    </tableColumn>
    <tableColumn id="20" xr3:uid="{00000000-0010-0000-0000-000014000000}" name="Totaal Score" dataDxfId="28">
      <calculatedColumnFormula>IF(A2="","", MAX(P2,Q2,R2) + IF(OR(N2="Speed of Help",N2="Ingredient Finding",N2="Main Skill Chance"),1,0) + IF(N2="Neutral",0, IF(O2="Neutral",0.5,0)) + IF(B2&gt;=10,0.5,0) )</calculatedColumnFormula>
    </tableColumn>
    <tableColumn id="21" xr3:uid="{00000000-0010-0000-0000-000015000000}" name="Advies" dataDxfId="27">
      <calculatedColumnFormula>IF(A2="","", IF(T2&gt;=7, "⭐ Keep", IF(T2&gt;=5, "📈 Level Up", IF(T2&gt;=3, "🤔 Bench", "❌ Transfer")))  )</calculatedColumnFormula>
    </tableColumn>
    <tableColumn id="22" xr3:uid="{00000000-0010-0000-0000-000016000000}" name="Notities" dataDxfId="26">
      <calculatedColumnFormula>IF(A2="","", _xlfn.TEXTJOIN("; ",TRUE, IF(A2="Pikachu","Evolve naar Raichu = snelste berry helper!",""), IF(A2="Pichu","Evolve → Pikachu → Raichu (top berry)",""), IF(A2="Eevee","Sylveon (skill) of Jolteon (berry) = top evoluties",""), IF(A2="Igglybuff","Evolve → Wigglytuff = Energy for Everyone S (top skill!)",""), IF(A2="Squirtle","Kanto starter: 2x ingrediënten + Ingredient Magnet S",""), IF(A2="Charmander","Evolve → Charizard = snelle berry+ingredient verzamelaar",""), IF(A2="Bulbasaur","Kanto starter: 2x ingrediënten + Ingredient Magnet S",""), IF(A2="Growlithe","Evolve → Arcanine = sterke all-rounder",""), IF(A2="Mareep","Evolve → Ampharos = hoge frequentie + waardevolle ingrediënten",""), IF(A2="Spheal","Evolve → Walrein = key voor Snowdrop Tundra (berry+ingr)",""), IF(A2="Riolu","Evolve → Lucario = sterke fighter",""), IF(A2="Togepi","Let op: Togekiss Metronome is onbetrouwbaar",""), IF(A2="Totodile","Evolve → Feraligatr = top berry voor Cyan Beach",""), IF(A2="Magnemite","Evolve → Magnezone = sterke skill helper",""), IF(A2="Ivysaur","Evolve → Venusaur = 2x ingrediënten specialist",""), IF(OR(N2="Neutral",O2="Neutral"),"Neutrale nature = ok maar niet ideaal",""), IF(AND(N2="Speed of Help",OR(S2="Berry",S2="Ingredient")),"Perfecte nature voor "&amp;S2&amp;" team!",""), IF(AND(N2="Ingredient Finding",S2="Ingredient"),"Perfecte nature voor Ingredient team!",""), IF(AND(N2="Main Skill Chance",S2="Skill"),"Perfecte nature voor Skill team!",""), IF(AND(O2="Speed of Help",S2="Berry"),"Let op: Speed of Help NEGATIEF schaadt berry-prestatie",""), IF(AND(O2="Ingredient Finding",S2="Ingredient"),"Let op: Ingredient Finding NEGATIEF schaadt ingredient-prestatie","") ))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77953D-C940-437D-AC85-2672D701EAE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77876-a8b5-4d9a-9e22-dac76f5a18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0"/>
  <sheetViews>
    <sheetView tabSelected="1" topLeftCell="A31" zoomScale="115" zoomScaleNormal="115" workbookViewId="0">
      <selection activeCell="A56" sqref="A56"/>
    </sheetView>
  </sheetViews>
  <sheetFormatPr defaultRowHeight="15"/>
  <cols>
    <col min="1" max="1" width="17.140625" customWidth="1"/>
    <col min="2" max="2" width="6.7109375" customWidth="1"/>
    <col min="3" max="3" width="11.42578125" customWidth="1"/>
    <col min="4" max="4" width="10.42578125" customWidth="1"/>
    <col min="5" max="5" width="21.85546875" style="6" customWidth="1"/>
    <col min="6" max="7" width="21.85546875" customWidth="1"/>
    <col min="8" max="12" width="21" customWidth="1"/>
    <col min="13" max="13" width="11.42578125" customWidth="1"/>
    <col min="14" max="15" width="20" customWidth="1"/>
    <col min="16" max="16" width="12.42578125" customWidth="1"/>
    <col min="17" max="17" width="15.28515625" customWidth="1"/>
    <col min="18" max="18" width="11.85546875" customWidth="1"/>
    <col min="19" max="20" width="13" customWidth="1"/>
    <col min="21" max="21" width="15.28515625" customWidth="1"/>
    <col min="22" max="22" width="47.5703125" customWidth="1"/>
  </cols>
  <sheetData>
    <row r="1" spans="1:22" ht="15" customHeight="1">
      <c r="A1" s="1" t="s">
        <v>27</v>
      </c>
      <c r="B1" s="1" t="s">
        <v>32</v>
      </c>
      <c r="C1" s="1" t="s">
        <v>33</v>
      </c>
      <c r="D1" s="1" t="s">
        <v>34</v>
      </c>
      <c r="E1" s="8" t="s">
        <v>35</v>
      </c>
      <c r="F1" s="3" t="s">
        <v>36</v>
      </c>
      <c r="G1" s="3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0" t="s">
        <v>43</v>
      </c>
      <c r="N1" s="1" t="s">
        <v>44</v>
      </c>
      <c r="O1" s="3" t="s">
        <v>45</v>
      </c>
      <c r="P1" s="12" t="s">
        <v>46</v>
      </c>
      <c r="Q1" s="13" t="s">
        <v>47</v>
      </c>
      <c r="R1" s="14" t="s">
        <v>48</v>
      </c>
      <c r="S1" s="15" t="s">
        <v>49</v>
      </c>
      <c r="T1" s="25" t="s">
        <v>50</v>
      </c>
      <c r="U1" s="26" t="s">
        <v>51</v>
      </c>
      <c r="V1" s="27" t="s">
        <v>52</v>
      </c>
    </row>
    <row r="2" spans="1:22" ht="15" customHeight="1">
      <c r="A2" s="11" t="s">
        <v>53</v>
      </c>
      <c r="B2" s="2">
        <v>15</v>
      </c>
      <c r="C2" s="2" t="s">
        <v>54</v>
      </c>
      <c r="D2" s="4" t="str">
        <f>IF(C2="","",VLOOKUP(C2,Referentie!$A$2:$B$19,2,0))</f>
        <v>Grepa</v>
      </c>
      <c r="E2" s="4" t="s">
        <v>55</v>
      </c>
      <c r="F2" s="4" t="s">
        <v>56</v>
      </c>
      <c r="G2" s="4" t="s">
        <v>55</v>
      </c>
      <c r="H2" s="4" t="s">
        <v>57</v>
      </c>
      <c r="I2" s="4" t="s">
        <v>58</v>
      </c>
      <c r="J2" s="4" t="s">
        <v>59</v>
      </c>
      <c r="K2" s="4" t="s">
        <v>60</v>
      </c>
      <c r="L2" s="4" t="s">
        <v>61</v>
      </c>
      <c r="M2" s="9" t="s">
        <v>62</v>
      </c>
      <c r="N2" s="4" t="str">
        <f>IF(M2="","",VLOOKUP(M2,Referentie!$G$2:$I$26,2,0))</f>
        <v>Ingredient Finding</v>
      </c>
      <c r="O2" s="4" t="str">
        <f>IF(M2="","",VLOOKUP(M2,Referentie!$G$2:$I$26,3,0))</f>
        <v>Speed of Help</v>
      </c>
      <c r="P2" s="4">
        <f>IF(A2="","",  (IF(N2="Speed of Help",2,0)) + (IF(O2="Speed of Help",-2,0)) + (IF(N2="EXP Gains",1,0)) + (IF(O2="EXP Gains",-1,0)) +  (COUNTIF(H2:L2,"Helping Speed S")*1) + (COUNTIF(H2:L2,"Helping Speed M")*2) + (COUNTIF(H2:L2,"Berry Finding S")*2) + (COUNTIF(H2:L2,"Helping Bonus")*1) +  (IF(O2="Ingredient Finding",0,0)) + (IF(O2="Main Skill Chance",0,0))  )</f>
        <v>-2</v>
      </c>
      <c r="Q2" s="4">
        <f>IF(A2="","",  (IF(N2="Ingredient Finding",2,0)) + (IF(O2="Ingredient Finding",-2,0)) + (IF(N2="EXP Gains",1,0)) + (IF(O2="EXP Gains",-1,0)) +  (COUNTIF(H2:L2,"Ingredient Finder S")*1) + (COUNTIF(H2:L2,"Ingredient Finder M")*2) + (COUNTIF(H2:L2,"Inventory Up S")*0.5) + (COUNTIF(H2:L2,"Inventory Up M")*1) + (COUNTIF(H2:L2,"Inventory Up L")*1.5) +  (IF(E2=F2,1,0)) + (IF(F2=G2,1,0))  )</f>
        <v>6.5</v>
      </c>
      <c r="R2" s="4">
        <f>IF(A2="","",  (IF(N2="Main Skill Chance",2,0)) + (IF(O2="Main Skill Chance",-2,0)) + (IF(N2="EXP Gains",1,0)) + (IF(O2="EXP Gains",-1,0)) +  (COUNTIF(H2:L2,"Skill Trigger S")*1) + (COUNTIF(H2:L2,"Skill Trigger M")*2) + (COUNTIF(H2:L2,"Skill Level Up S")*1) + (COUNTIF(H2:L2,"Skill Level Up M")*2) + (COUNTIF(H2:L2,"Energy Recovery Bonus")*1.5) + (COUNTIF(H2:L2,"Sleep EXP Bonus")*1) + (COUNTIF(H2:L2,"Research EXP Bonus")*1)  )</f>
        <v>1</v>
      </c>
      <c r="S2" s="4" t="str">
        <f>IF(A2="","",  IF(AND(P2&lt;=1, Q2&lt;=1, R2&lt;=1), "Bench",  IF(AND(P2&gt;=Q2, P2&gt;=R2), "Berry",  IF(AND(Q2&gt;=P2, Q2&gt;=R2), "Ingredient",  "Skill")))  )</f>
        <v>Ingredient</v>
      </c>
      <c r="T2" s="4">
        <f t="shared" ref="T2:T65" si="0">IF(A2="","", MAX(P2,Q2,R2) + IF(OR(N2="Speed of Help",N2="Ingredient Finding",N2="Main Skill Chance"),1,0) + IF(N2="Neutral",0, IF(O2="Neutral",0.5,0)) + IF(B2&gt;=10,0.5,0) )</f>
        <v>8</v>
      </c>
      <c r="U2" s="4" t="str">
        <f>IF(A2="","", IF(T2&gt;=7, "⭐ Keep", IF(T2&gt;=5, "📈 Level Up", IF(T2&gt;=3, "🤔 Bench", "❌ Transfer")))  )</f>
        <v>⭐ Keep</v>
      </c>
      <c r="V2" s="4" t="str">
        <f t="shared" ref="V2:V65" si="1">IF(A2="","", _xlfn.TEXTJOIN("; ",TRUE, IF(A2="Pikachu","Evolve naar Raichu = snelste berry helper!",""), IF(A2="Pichu","Evolve → Pikachu → Raichu (top berry)",""), IF(A2="Eevee","Sylveon (skill) of Jolteon (berry) = top evoluties",""), IF(A2="Igglybuff","Evolve → Wigglytuff = Energy for Everyone S (top skill!)",""), IF(A2="Squirtle","Kanto starter: 2x ingrediënten + Ingredient Magnet S",""), IF(A2="Charmander","Evolve → Charizard = snelle berry+ingredient verzamelaar",""), IF(A2="Bulbasaur","Kanto starter: 2x ingrediënten + Ingredient Magnet S",""), IF(A2="Growlithe","Evolve → Arcanine = sterke all-rounder",""), IF(A2="Mareep","Evolve → Ampharos = hoge frequentie + waardevolle ingrediënten",""), IF(A2="Spheal","Evolve → Walrein = key voor Snowdrop Tundra (berry+ingr)",""), IF(A2="Riolu","Evolve → Lucario = sterke fighter",""), IF(A2="Togepi","Let op: Togekiss Metronome is onbetrouwbaar",""), IF(A2="Totodile","Evolve → Feraligatr = top berry voor Cyan Beach",""), IF(A2="Magnemite","Evolve → Magnezone = sterke skill helper",""), IF(A2="Ivysaur","Evolve → Venusaur = 2x ingrediënten specialist",""), IF(OR(N2="Neutral",O2="Neutral"),"Neutrale nature = ok maar niet ideaal",""), IF(AND(N2="Speed of Help",OR(S2="Berry",S2="Ingredient")),"Perfecte nature voor "&amp;S2&amp;" team!",""), IF(AND(N2="Ingredient Finding",S2="Ingredient"),"Perfecte nature voor Ingredient team!",""), IF(AND(N2="Main Skill Chance",S2="Skill"),"Perfecte nature voor Skill team!",""), IF(AND(O2="Speed of Help",S2="Berry"),"Let op: Speed of Help NEGATIEF schaadt berry-prestatie",""), IF(AND(O2="Ingredient Finding",S2="Ingredient"),"Let op: Ingredient Finding NEGATIEF schaadt ingredient-prestatie","") ))</f>
        <v>Evolve naar Raichu = snelste berry helper!; Perfecte nature voor Ingredient team!</v>
      </c>
    </row>
    <row r="3" spans="1:22" ht="15" customHeight="1">
      <c r="A3" s="2" t="s">
        <v>63</v>
      </c>
      <c r="B3" s="2">
        <v>8</v>
      </c>
      <c r="C3" s="2" t="s">
        <v>64</v>
      </c>
      <c r="D3" s="4" t="str">
        <f>IF(C3="","",VLOOKUP(C3,Referentie!$A$2:$B$19,2,0))</f>
        <v>Oran</v>
      </c>
      <c r="E3" s="7" t="s">
        <v>65</v>
      </c>
      <c r="F3" s="4" t="s">
        <v>66</v>
      </c>
      <c r="G3" s="4" t="s">
        <v>66</v>
      </c>
      <c r="H3" s="4" t="s">
        <v>58</v>
      </c>
      <c r="I3" s="4" t="s">
        <v>61</v>
      </c>
      <c r="J3" s="4" t="s">
        <v>67</v>
      </c>
      <c r="K3" s="4" t="s">
        <v>68</v>
      </c>
      <c r="L3" s="4" t="s">
        <v>57</v>
      </c>
      <c r="M3" s="4" t="s">
        <v>69</v>
      </c>
      <c r="N3" s="4" t="str">
        <f>IF(M3="","",VLOOKUP(M3,Referentie!$G$2:$I$26,2,0))</f>
        <v>Neutral</v>
      </c>
      <c r="O3" s="4" t="str">
        <f>IF(M3="","",VLOOKUP(M3,Referentie!$G$2:$I$26,3,0))</f>
        <v>Neutral</v>
      </c>
      <c r="P3" s="4">
        <f t="shared" ref="P3:P34" si="2">IF(A3="","", (IF(N3="Speed of Help",2,0)) + (IF(O3="Speed of Help",-2,0)) + (IF(N3="EXP Gains",1,0)) + (IF(O3="EXP Gains",-1,0)) + (COUNTIF(H3:L3,"Helping Speed S")*1) + (COUNTIF(H3:L3,"Helping Speed M")*2) + (COUNTIF(H3:L3,"Berry Finding S")*2) + (COUNTIF(H3:L3,"Helping Bonus")*1) + (IF(O3="Ingredient Finding",0,0)) + (IF(O3="Main Skill Chance",0,0)) )</f>
        <v>0</v>
      </c>
      <c r="Q3" s="4">
        <f t="shared" ref="Q3:Q34" si="3">IF(A3="","", (IF(N3="Ingredient Finding",2,0)) + (IF(O3="Ingredient Finding",-2,0)) + (IF(N3="EXP Gains",1,0)) + (IF(O3="EXP Gains",-1,0)) + (COUNTIF(H3:L3,"Ingredient Finder S")*1) + (COUNTIF(H3:L3,"Ingredient Finder M")*2) + (COUNTIF(H3:L3,"Inventory Up S")*0.5) + (COUNTIF(H3:L3,"Inventory Up M")*1) + (COUNTIF(H3:L3,"Inventory Up L")*1.5) + (IF(E3=F3,1,0)) + (IF(F3=G3,1,0)) )</f>
        <v>4</v>
      </c>
      <c r="R3" s="4">
        <f t="shared" ref="R3:R34" si="4">IF(A3="","", (IF(N3="Main Skill Chance",2,0)) + (IF(O3="Main Skill Chance",-2,0)) + (IF(N3="EXP Gains",1,0)) + (IF(O3="EXP Gains",-1,0)) + (COUNTIF(H3:L3,"Skill Trigger S")*1) + (COUNTIF(H3:L3,"Skill Trigger M")*2) + (COUNTIF(H3:L3,"Skill Level Up S")*1) + (COUNTIF(H3:L3,"Skill Level Up M")*2) + (COUNTIF(H3:L3,"Energy Recovery Bonus")*1.5) + (COUNTIF(H3:L3,"Sleep EXP Bonus")*1) + (COUNTIF(H3:L3,"Research EXP Bonus")*1) )</f>
        <v>3</v>
      </c>
      <c r="S3" s="4" t="str">
        <f t="shared" ref="S3:S34" si="5">IF(A3="","", IF(AND(P3&lt;=1, Q3&lt;=1, R3&lt;=1), "Bench", IF(AND(P3&gt;=Q3, P3&gt;=R3), "Berry", IF(AND(Q3&gt;=P3, Q3&gt;=R3), "Ingredient", "Skill"))) )</f>
        <v>Ingredient</v>
      </c>
      <c r="T3" s="4">
        <f t="shared" si="0"/>
        <v>4</v>
      </c>
      <c r="U3" s="4" t="str">
        <f t="shared" ref="U3:U34" si="6">IF(A3="","", IF(T3&gt;=7, "⭐ Keep", IF(T3&gt;=5, "📈 Level Up", IF(T3&gt;=3, "🤔 Bench", "❌ Transfer"))) )</f>
        <v>🤔 Bench</v>
      </c>
      <c r="V3" s="4" t="str">
        <f t="shared" si="1"/>
        <v>Kanto starter: 2x ingrediënten + Ingredient Magnet S; Neutrale nature = ok maar niet ideaal</v>
      </c>
    </row>
    <row r="4" spans="1:22" ht="15" customHeight="1">
      <c r="A4" s="2" t="s">
        <v>70</v>
      </c>
      <c r="B4" s="2">
        <v>9</v>
      </c>
      <c r="C4" s="2" t="s">
        <v>71</v>
      </c>
      <c r="D4" s="4" t="str">
        <f>IF(C4="","",VLOOKUP(C4,Referentie!$A$2:$B$19,2,0))</f>
        <v>Pecha</v>
      </c>
      <c r="E4" s="7" t="s">
        <v>72</v>
      </c>
      <c r="F4" s="4" t="s">
        <v>72</v>
      </c>
      <c r="G4" s="4" t="s">
        <v>73</v>
      </c>
      <c r="H4" s="4" t="s">
        <v>74</v>
      </c>
      <c r="I4" s="4" t="s">
        <v>60</v>
      </c>
      <c r="J4" s="4" t="s">
        <v>61</v>
      </c>
      <c r="K4" s="4" t="s">
        <v>58</v>
      </c>
      <c r="L4" s="4" t="s">
        <v>57</v>
      </c>
      <c r="M4" s="4" t="s">
        <v>75</v>
      </c>
      <c r="N4" s="4" t="str">
        <f>IF(M4="","",VLOOKUP(M4,Referentie!$G$2:$I$26,2,0))</f>
        <v>EXP Gains</v>
      </c>
      <c r="O4" s="4" t="str">
        <f>IF(M4="","",VLOOKUP(M4,Referentie!$G$2:$I$26,3,0))</f>
        <v>Main Skill Chance</v>
      </c>
      <c r="P4" s="4">
        <f t="shared" si="2"/>
        <v>2</v>
      </c>
      <c r="Q4" s="4">
        <f t="shared" si="3"/>
        <v>5.5</v>
      </c>
      <c r="R4" s="4">
        <f t="shared" si="4"/>
        <v>0</v>
      </c>
      <c r="S4" s="4" t="str">
        <f t="shared" si="5"/>
        <v>Ingredient</v>
      </c>
      <c r="T4" s="4">
        <f t="shared" si="0"/>
        <v>5.5</v>
      </c>
      <c r="U4" s="4" t="str">
        <f t="shared" si="6"/>
        <v>📈 Level Up</v>
      </c>
      <c r="V4" s="4" t="str">
        <f t="shared" si="1"/>
        <v>Evolve → Wigglytuff = Energy for Everyone S (top skill!)</v>
      </c>
    </row>
    <row r="5" spans="1:22" ht="15" customHeight="1">
      <c r="A5" s="2" t="s">
        <v>76</v>
      </c>
      <c r="B5" s="2">
        <v>11</v>
      </c>
      <c r="C5" s="2" t="s">
        <v>64</v>
      </c>
      <c r="D5" s="4" t="str">
        <f>IF(C5="","",VLOOKUP(C5,Referentie!$A$2:$B$19,2,0))</f>
        <v>Oran</v>
      </c>
      <c r="E5" s="7" t="s">
        <v>73</v>
      </c>
      <c r="F5" s="4" t="s">
        <v>77</v>
      </c>
      <c r="G5" s="4" t="s">
        <v>73</v>
      </c>
      <c r="H5" s="4" t="s">
        <v>58</v>
      </c>
      <c r="I5" s="4" t="s">
        <v>74</v>
      </c>
      <c r="J5" s="4" t="s">
        <v>78</v>
      </c>
      <c r="K5" s="4" t="s">
        <v>57</v>
      </c>
      <c r="L5" s="4" t="s">
        <v>60</v>
      </c>
      <c r="M5" s="4" t="s">
        <v>79</v>
      </c>
      <c r="N5" s="4" t="str">
        <f>IF(M5="","",VLOOKUP(M5,Referentie!$G$2:$I$26,2,0))</f>
        <v>Energy Recovery</v>
      </c>
      <c r="O5" s="4" t="str">
        <f>IF(M5="","",VLOOKUP(M5,Referentie!$G$2:$I$26,3,0))</f>
        <v>Speed of Help</v>
      </c>
      <c r="P5" s="4">
        <f t="shared" si="2"/>
        <v>1</v>
      </c>
      <c r="Q5" s="4">
        <f t="shared" si="3"/>
        <v>3.5</v>
      </c>
      <c r="R5" s="4">
        <f t="shared" si="4"/>
        <v>0</v>
      </c>
      <c r="S5" s="4" t="str">
        <f t="shared" si="5"/>
        <v>Ingredient</v>
      </c>
      <c r="T5" s="4">
        <f t="shared" si="0"/>
        <v>4</v>
      </c>
      <c r="U5" s="4" t="str">
        <f t="shared" si="6"/>
        <v>🤔 Bench</v>
      </c>
      <c r="V5" s="4" t="str">
        <f t="shared" si="1"/>
        <v>Evolve → Walrein = key voor Snowdrop Tundra (berry+ingr)</v>
      </c>
    </row>
    <row r="6" spans="1:22" ht="15" customHeight="1">
      <c r="A6" s="2" t="s">
        <v>80</v>
      </c>
      <c r="B6" s="2">
        <v>11</v>
      </c>
      <c r="C6" s="2" t="s">
        <v>81</v>
      </c>
      <c r="D6" s="4" t="str">
        <f>IF(C6="","",VLOOKUP(C6,Referentie!$A$2:$B$19,2,0))</f>
        <v>Figy</v>
      </c>
      <c r="E6" s="7" t="s">
        <v>56</v>
      </c>
      <c r="F6" s="4" t="s">
        <v>66</v>
      </c>
      <c r="G6" s="4" t="s">
        <v>56</v>
      </c>
      <c r="H6" s="4" t="s">
        <v>82</v>
      </c>
      <c r="I6" s="4" t="s">
        <v>58</v>
      </c>
      <c r="J6" s="4" t="s">
        <v>68</v>
      </c>
      <c r="K6" s="4" t="s">
        <v>83</v>
      </c>
      <c r="L6" s="4" t="s">
        <v>61</v>
      </c>
      <c r="M6" s="4" t="s">
        <v>84</v>
      </c>
      <c r="N6" s="4" t="str">
        <f>IF(M6="","",VLOOKUP(M6,Referentie!$G$2:$I$26,2,0))</f>
        <v>Speed of Help</v>
      </c>
      <c r="O6" s="4" t="str">
        <f>IF(M6="","",VLOOKUP(M6,Referentie!$G$2:$I$26,3,0))</f>
        <v>Main Skill Chance</v>
      </c>
      <c r="P6" s="4">
        <f t="shared" si="2"/>
        <v>4</v>
      </c>
      <c r="Q6" s="4">
        <f t="shared" si="3"/>
        <v>1</v>
      </c>
      <c r="R6" s="4">
        <f t="shared" si="4"/>
        <v>3</v>
      </c>
      <c r="S6" s="4" t="str">
        <f t="shared" si="5"/>
        <v>Berry</v>
      </c>
      <c r="T6" s="4">
        <f t="shared" si="0"/>
        <v>5.5</v>
      </c>
      <c r="U6" s="4" t="str">
        <f t="shared" si="6"/>
        <v>📈 Level Up</v>
      </c>
      <c r="V6" s="4" t="str">
        <f t="shared" si="1"/>
        <v>Perfecte nature voor Berry team!</v>
      </c>
    </row>
    <row r="7" spans="1:22" ht="15" customHeight="1">
      <c r="A7" s="2" t="s">
        <v>85</v>
      </c>
      <c r="B7" s="2">
        <v>6</v>
      </c>
      <c r="C7" s="2" t="s">
        <v>54</v>
      </c>
      <c r="D7" s="4" t="str">
        <f>IF(C7="","",VLOOKUP(C7,Referentie!$A$2:$B$19,2,0))</f>
        <v>Grepa</v>
      </c>
      <c r="E7" s="7" t="s">
        <v>55</v>
      </c>
      <c r="F7" s="4" t="s">
        <v>56</v>
      </c>
      <c r="G7" s="4" t="s">
        <v>55</v>
      </c>
      <c r="H7" s="4" t="s">
        <v>57</v>
      </c>
      <c r="I7" s="4" t="s">
        <v>67</v>
      </c>
      <c r="J7" s="4" t="s">
        <v>60</v>
      </c>
      <c r="K7" s="4" t="s">
        <v>82</v>
      </c>
      <c r="L7" s="4" t="s">
        <v>86</v>
      </c>
      <c r="M7" s="4" t="s">
        <v>87</v>
      </c>
      <c r="N7" s="4" t="str">
        <f>IF(M7="","",VLOOKUP(M7,Referentie!$G$2:$I$26,2,0))</f>
        <v>Energy Recovery</v>
      </c>
      <c r="O7" s="4" t="str">
        <f>IF(M7="","",VLOOKUP(M7,Referentie!$G$2:$I$26,3,0))</f>
        <v>Ingredient Finding</v>
      </c>
      <c r="P7" s="4">
        <f t="shared" si="2"/>
        <v>2</v>
      </c>
      <c r="Q7" s="4">
        <f t="shared" si="3"/>
        <v>2</v>
      </c>
      <c r="R7" s="4">
        <f t="shared" si="4"/>
        <v>1</v>
      </c>
      <c r="S7" s="4" t="str">
        <f t="shared" si="5"/>
        <v>Berry</v>
      </c>
      <c r="T7" s="4">
        <f t="shared" si="0"/>
        <v>2</v>
      </c>
      <c r="U7" s="4" t="str">
        <f t="shared" si="6"/>
        <v>❌ Transfer</v>
      </c>
      <c r="V7" s="4" t="str">
        <f t="shared" si="1"/>
        <v>Evolve → Pikachu → Raichu (top berry)</v>
      </c>
    </row>
    <row r="8" spans="1:22" ht="15" customHeight="1">
      <c r="A8" s="2" t="s">
        <v>88</v>
      </c>
      <c r="B8" s="2">
        <v>9</v>
      </c>
      <c r="C8" s="2" t="s">
        <v>64</v>
      </c>
      <c r="D8" s="4" t="str">
        <f>IF(C8="","",VLOOKUP(C8,Referentie!$A$2:$B$19,2,0))</f>
        <v>Oran</v>
      </c>
      <c r="E8" s="7" t="s">
        <v>66</v>
      </c>
      <c r="F8" s="4" t="s">
        <v>89</v>
      </c>
      <c r="G8" s="4" t="s">
        <v>66</v>
      </c>
      <c r="H8" s="4" t="s">
        <v>58</v>
      </c>
      <c r="I8" s="4" t="s">
        <v>74</v>
      </c>
      <c r="J8" s="4" t="s">
        <v>57</v>
      </c>
      <c r="K8" s="4" t="s">
        <v>61</v>
      </c>
      <c r="L8" s="4" t="s">
        <v>59</v>
      </c>
      <c r="M8" s="4" t="s">
        <v>90</v>
      </c>
      <c r="N8" s="4" t="str">
        <f>IF(M8="","",VLOOKUP(M8,Referentie!$G$2:$I$26,2,0))</f>
        <v>EXP Gains</v>
      </c>
      <c r="O8" s="4" t="str">
        <f>IF(M8="","",VLOOKUP(M8,Referentie!$G$2:$I$26,3,0))</f>
        <v>Ingredient Finding</v>
      </c>
      <c r="P8" s="4">
        <f t="shared" si="2"/>
        <v>2</v>
      </c>
      <c r="Q8" s="4">
        <f t="shared" si="3"/>
        <v>1.5</v>
      </c>
      <c r="R8" s="4">
        <f t="shared" si="4"/>
        <v>2</v>
      </c>
      <c r="S8" s="4" t="str">
        <f t="shared" si="5"/>
        <v>Berry</v>
      </c>
      <c r="T8" s="4">
        <f t="shared" si="0"/>
        <v>2</v>
      </c>
      <c r="U8" s="4" t="str">
        <f t="shared" si="6"/>
        <v>❌ Transfer</v>
      </c>
      <c r="V8" s="4" t="str">
        <f t="shared" si="1"/>
        <v/>
      </c>
    </row>
    <row r="9" spans="1:22" ht="15" customHeight="1">
      <c r="A9" s="2" t="s">
        <v>91</v>
      </c>
      <c r="B9" s="2">
        <v>14</v>
      </c>
      <c r="C9" s="2" t="s">
        <v>92</v>
      </c>
      <c r="D9" s="4" t="str">
        <f>IF(C9="","",VLOOKUP(C9,Referentie!$A$2:$B$19,2,0))</f>
        <v>Yache</v>
      </c>
      <c r="E9" s="7" t="s">
        <v>55</v>
      </c>
      <c r="F9" s="4" t="s">
        <v>93</v>
      </c>
      <c r="G9" s="4" t="s">
        <v>77</v>
      </c>
      <c r="H9" s="4" t="s">
        <v>57</v>
      </c>
      <c r="I9" s="4" t="s">
        <v>59</v>
      </c>
      <c r="J9" s="4" t="s">
        <v>60</v>
      </c>
      <c r="K9" s="4" t="s">
        <v>61</v>
      </c>
      <c r="L9" s="4" t="s">
        <v>58</v>
      </c>
      <c r="M9" s="4" t="s">
        <v>94</v>
      </c>
      <c r="N9" s="4" t="str">
        <f>IF(M9="","",VLOOKUP(M9,Referentie!$G$2:$I$26,2,0))</f>
        <v>Neutral</v>
      </c>
      <c r="O9" s="4" t="str">
        <f>IF(M9="","",VLOOKUP(M9,Referentie!$G$2:$I$26,3,0))</f>
        <v>Neutral</v>
      </c>
      <c r="P9" s="4">
        <f t="shared" si="2"/>
        <v>0</v>
      </c>
      <c r="Q9" s="4">
        <f t="shared" si="3"/>
        <v>4.5</v>
      </c>
      <c r="R9" s="4">
        <f t="shared" si="4"/>
        <v>1</v>
      </c>
      <c r="S9" s="4" t="str">
        <f t="shared" si="5"/>
        <v>Ingredient</v>
      </c>
      <c r="T9" s="4">
        <f t="shared" si="0"/>
        <v>5</v>
      </c>
      <c r="U9" s="4" t="str">
        <f t="shared" si="6"/>
        <v>📈 Level Up</v>
      </c>
      <c r="V9" s="4" t="str">
        <f t="shared" si="1"/>
        <v>Neutrale nature = ok maar niet ideaal</v>
      </c>
    </row>
    <row r="10" spans="1:22" ht="15" customHeight="1">
      <c r="A10" s="2" t="s">
        <v>95</v>
      </c>
      <c r="B10" s="2">
        <v>8</v>
      </c>
      <c r="C10" s="2" t="s">
        <v>96</v>
      </c>
      <c r="D10" s="4" t="str">
        <f>IF(C10="","",VLOOKUP(C10,Referentie!$A$2:$B$19,2,0))</f>
        <v>Persim</v>
      </c>
      <c r="E10" s="7" t="s">
        <v>55</v>
      </c>
      <c r="F10" s="4" t="s">
        <v>97</v>
      </c>
      <c r="G10" s="4" t="s">
        <v>55</v>
      </c>
      <c r="H10" s="4" t="s">
        <v>74</v>
      </c>
      <c r="I10" s="4" t="s">
        <v>60</v>
      </c>
      <c r="J10" s="4" t="s">
        <v>98</v>
      </c>
      <c r="K10" s="4" t="s">
        <v>99</v>
      </c>
      <c r="L10" s="4" t="s">
        <v>58</v>
      </c>
      <c r="M10" s="4" t="s">
        <v>100</v>
      </c>
      <c r="N10" s="4" t="str">
        <f>IF(M10="","",VLOOKUP(M10,Referentie!$G$2:$I$26,2,0))</f>
        <v>Ingredient Finding</v>
      </c>
      <c r="O10" s="4" t="str">
        <f>IF(M10="","",VLOOKUP(M10,Referentie!$G$2:$I$26,3,0))</f>
        <v>Energy Recovery</v>
      </c>
      <c r="P10" s="4">
        <f t="shared" si="2"/>
        <v>1</v>
      </c>
      <c r="Q10" s="4">
        <f t="shared" si="3"/>
        <v>5</v>
      </c>
      <c r="R10" s="4">
        <f t="shared" si="4"/>
        <v>2</v>
      </c>
      <c r="S10" s="4" t="str">
        <f t="shared" si="5"/>
        <v>Ingredient</v>
      </c>
      <c r="T10" s="4">
        <f t="shared" si="0"/>
        <v>6</v>
      </c>
      <c r="U10" s="4" t="str">
        <f t="shared" si="6"/>
        <v>📈 Level Up</v>
      </c>
      <c r="V10" s="4" t="str">
        <f t="shared" si="1"/>
        <v>Perfecte nature voor Ingredient team!</v>
      </c>
    </row>
    <row r="11" spans="1:22" ht="15" customHeight="1">
      <c r="A11" s="2" t="s">
        <v>101</v>
      </c>
      <c r="B11" s="2">
        <v>9</v>
      </c>
      <c r="C11" s="2" t="s">
        <v>102</v>
      </c>
      <c r="D11" s="4" t="str">
        <f>IF(C11="","",VLOOKUP(C11,Referentie!$A$2:$B$19,2,0))</f>
        <v>Chesto</v>
      </c>
      <c r="E11" s="7" t="s">
        <v>97</v>
      </c>
      <c r="F11" s="4" t="s">
        <v>97</v>
      </c>
      <c r="G11" s="4" t="s">
        <v>103</v>
      </c>
      <c r="H11" s="4" t="s">
        <v>60</v>
      </c>
      <c r="I11" s="4" t="s">
        <v>58</v>
      </c>
      <c r="J11" s="4" t="s">
        <v>57</v>
      </c>
      <c r="K11" s="4" t="s">
        <v>74</v>
      </c>
      <c r="L11" s="4" t="s">
        <v>104</v>
      </c>
      <c r="M11" s="4" t="s">
        <v>105</v>
      </c>
      <c r="N11" s="4" t="str">
        <f>IF(M11="","",VLOOKUP(M11,Referentie!$G$2:$I$26,2,0))</f>
        <v>EXP Gains</v>
      </c>
      <c r="O11" s="4" t="str">
        <f>IF(M11="","",VLOOKUP(M11,Referentie!$G$2:$I$26,3,0))</f>
        <v>Energy Recovery</v>
      </c>
      <c r="P11" s="4">
        <f t="shared" si="2"/>
        <v>2</v>
      </c>
      <c r="Q11" s="4">
        <f t="shared" si="3"/>
        <v>5.5</v>
      </c>
      <c r="R11" s="4">
        <f t="shared" si="4"/>
        <v>1</v>
      </c>
      <c r="S11" s="4" t="str">
        <f t="shared" si="5"/>
        <v>Ingredient</v>
      </c>
      <c r="T11" s="4">
        <f t="shared" si="0"/>
        <v>5.5</v>
      </c>
      <c r="U11" s="4" t="str">
        <f t="shared" si="6"/>
        <v>📈 Level Up</v>
      </c>
      <c r="V11" s="4" t="str">
        <f t="shared" si="1"/>
        <v/>
      </c>
    </row>
    <row r="12" spans="1:22" ht="15" customHeight="1">
      <c r="A12" s="2" t="s">
        <v>106</v>
      </c>
      <c r="B12" s="2">
        <v>7</v>
      </c>
      <c r="C12" s="2" t="s">
        <v>107</v>
      </c>
      <c r="D12" s="4" t="str">
        <f>IF(C12="","",VLOOKUP(C12,Referentie!$A$2:$B$19,2,0))</f>
        <v>Lum</v>
      </c>
      <c r="E12" s="7" t="s">
        <v>108</v>
      </c>
      <c r="F12" s="4" t="s">
        <v>97</v>
      </c>
      <c r="G12" s="4" t="s">
        <v>108</v>
      </c>
      <c r="H12" s="4" t="s">
        <v>61</v>
      </c>
      <c r="I12" s="4" t="s">
        <v>57</v>
      </c>
      <c r="J12" s="4" t="s">
        <v>74</v>
      </c>
      <c r="K12" s="4" t="s">
        <v>58</v>
      </c>
      <c r="L12" s="9" t="s">
        <v>78</v>
      </c>
      <c r="M12" s="4" t="s">
        <v>69</v>
      </c>
      <c r="N12" s="4" t="str">
        <f>IF(M12="","",VLOOKUP(M12,Referentie!$G$2:$I$26,2,0))</f>
        <v>Neutral</v>
      </c>
      <c r="O12" s="4" t="str">
        <f>IF(M12="","",VLOOKUP(M12,Referentie!$G$2:$I$26,3,0))</f>
        <v>Neutral</v>
      </c>
      <c r="P12" s="4">
        <f t="shared" si="2"/>
        <v>3</v>
      </c>
      <c r="Q12" s="4">
        <f t="shared" si="3"/>
        <v>1.5</v>
      </c>
      <c r="R12" s="4">
        <f t="shared" si="4"/>
        <v>1</v>
      </c>
      <c r="S12" s="4" t="str">
        <f t="shared" si="5"/>
        <v>Berry</v>
      </c>
      <c r="T12" s="4">
        <f t="shared" si="0"/>
        <v>3</v>
      </c>
      <c r="U12" s="4" t="str">
        <f t="shared" si="6"/>
        <v>🤔 Bench</v>
      </c>
      <c r="V12" s="4" t="str">
        <f t="shared" si="1"/>
        <v>Neutrale nature = ok maar niet ideaal</v>
      </c>
    </row>
    <row r="13" spans="1:22" ht="15" customHeight="1">
      <c r="A13" s="2" t="s">
        <v>70</v>
      </c>
      <c r="B13" s="2">
        <v>4</v>
      </c>
      <c r="C13" s="2" t="s">
        <v>71</v>
      </c>
      <c r="D13" s="4" t="str">
        <f>IF(C13="","",VLOOKUP(C13,Referentie!$A$2:$B$19,2,0))</f>
        <v>Pecha</v>
      </c>
      <c r="E13" s="7" t="s">
        <v>72</v>
      </c>
      <c r="F13" s="4" t="s">
        <v>73</v>
      </c>
      <c r="G13" s="4" t="s">
        <v>72</v>
      </c>
      <c r="H13" s="4" t="s">
        <v>60</v>
      </c>
      <c r="I13" s="4" t="s">
        <v>86</v>
      </c>
      <c r="J13" s="4" t="s">
        <v>61</v>
      </c>
      <c r="K13" s="4" t="s">
        <v>57</v>
      </c>
      <c r="L13" s="4" t="s">
        <v>83</v>
      </c>
      <c r="M13" s="4" t="s">
        <v>109</v>
      </c>
      <c r="N13" s="4" t="str">
        <f>IF(M13="","",VLOOKUP(M13,Referentie!$G$2:$I$26,2,0))</f>
        <v>Ingredient Finding</v>
      </c>
      <c r="O13" s="4" t="str">
        <f>IF(M13="","",VLOOKUP(M13,Referentie!$G$2:$I$26,3,0))</f>
        <v>Main Skill Chance</v>
      </c>
      <c r="P13" s="4">
        <f t="shared" si="2"/>
        <v>0</v>
      </c>
      <c r="Q13" s="4">
        <f t="shared" si="3"/>
        <v>4.5</v>
      </c>
      <c r="R13" s="4">
        <f t="shared" si="4"/>
        <v>2</v>
      </c>
      <c r="S13" s="4" t="str">
        <f t="shared" si="5"/>
        <v>Ingredient</v>
      </c>
      <c r="T13" s="4">
        <f t="shared" si="0"/>
        <v>5.5</v>
      </c>
      <c r="U13" s="4" t="str">
        <f t="shared" si="6"/>
        <v>📈 Level Up</v>
      </c>
      <c r="V13" s="4" t="str">
        <f t="shared" si="1"/>
        <v>Evolve → Wigglytuff = Energy for Everyone S (top skill!); Perfecte nature voor Ingredient team!</v>
      </c>
    </row>
    <row r="14" spans="1:22" ht="15" customHeight="1">
      <c r="A14" s="2" t="s">
        <v>110</v>
      </c>
      <c r="B14" s="2">
        <v>5</v>
      </c>
      <c r="C14" s="2" t="s">
        <v>111</v>
      </c>
      <c r="D14" s="4" t="str">
        <f>IF(C14="","",VLOOKUP(C14,Referentie!$A$2:$B$19,2,0))</f>
        <v>Durin</v>
      </c>
      <c r="E14" s="7" t="s">
        <v>108</v>
      </c>
      <c r="F14" s="4" t="s">
        <v>108</v>
      </c>
      <c r="G14" s="4" t="s">
        <v>108</v>
      </c>
      <c r="H14" s="4" t="s">
        <v>67</v>
      </c>
      <c r="I14" s="4" t="s">
        <v>58</v>
      </c>
      <c r="J14" s="4" t="s">
        <v>61</v>
      </c>
      <c r="K14" s="4" t="s">
        <v>74</v>
      </c>
      <c r="L14" s="4" t="s">
        <v>57</v>
      </c>
      <c r="M14" s="4" t="s">
        <v>84</v>
      </c>
      <c r="N14" s="4" t="str">
        <f>IF(M14="","",VLOOKUP(M14,Referentie!$G$2:$I$26,2,0))</f>
        <v>Speed of Help</v>
      </c>
      <c r="O14" s="4" t="str">
        <f>IF(M14="","",VLOOKUP(M14,Referentie!$G$2:$I$26,3,0))</f>
        <v>Main Skill Chance</v>
      </c>
      <c r="P14" s="4">
        <f t="shared" si="2"/>
        <v>3</v>
      </c>
      <c r="Q14" s="4">
        <f t="shared" si="3"/>
        <v>5</v>
      </c>
      <c r="R14" s="4">
        <f t="shared" si="4"/>
        <v>-1</v>
      </c>
      <c r="S14" s="4" t="str">
        <f t="shared" si="5"/>
        <v>Ingredient</v>
      </c>
      <c r="T14" s="4">
        <f t="shared" si="0"/>
        <v>6</v>
      </c>
      <c r="U14" s="4" t="str">
        <f t="shared" si="6"/>
        <v>📈 Level Up</v>
      </c>
      <c r="V14" s="4" t="str">
        <f t="shared" si="1"/>
        <v>Perfecte nature voor Ingredient team!</v>
      </c>
    </row>
    <row r="15" spans="1:22" ht="15" customHeight="1">
      <c r="A15" s="2" t="s">
        <v>112</v>
      </c>
      <c r="B15" s="2">
        <v>10</v>
      </c>
      <c r="C15" s="2" t="s">
        <v>113</v>
      </c>
      <c r="D15" s="4" t="str">
        <f>IF(C15="","",VLOOKUP(C15,Referentie!$A$2:$B$19,2,0))</f>
        <v>Leppa</v>
      </c>
      <c r="E15" s="7" t="s">
        <v>114</v>
      </c>
      <c r="F15" s="4" t="s">
        <v>77</v>
      </c>
      <c r="G15" s="4" t="s">
        <v>65</v>
      </c>
      <c r="H15" s="4" t="s">
        <v>115</v>
      </c>
      <c r="I15" s="4" t="s">
        <v>60</v>
      </c>
      <c r="J15" s="4" t="s">
        <v>58</v>
      </c>
      <c r="K15" s="4" t="s">
        <v>59</v>
      </c>
      <c r="L15" s="4" t="s">
        <v>86</v>
      </c>
      <c r="M15" s="4" t="s">
        <v>90</v>
      </c>
      <c r="N15" s="4" t="str">
        <f>IF(M15="","",VLOOKUP(M15,Referentie!$G$2:$I$26,2,0))</f>
        <v>EXP Gains</v>
      </c>
      <c r="O15" s="4" t="str">
        <f>IF(M15="","",VLOOKUP(M15,Referentie!$G$2:$I$26,3,0))</f>
        <v>Ingredient Finding</v>
      </c>
      <c r="P15" s="4">
        <f t="shared" si="2"/>
        <v>1</v>
      </c>
      <c r="Q15" s="4">
        <f t="shared" si="3"/>
        <v>3</v>
      </c>
      <c r="R15" s="4">
        <f t="shared" si="4"/>
        <v>3.5</v>
      </c>
      <c r="S15" s="4" t="str">
        <f t="shared" si="5"/>
        <v>Skill</v>
      </c>
      <c r="T15" s="4">
        <f t="shared" si="0"/>
        <v>4</v>
      </c>
      <c r="U15" s="4" t="str">
        <f t="shared" si="6"/>
        <v>🤔 Bench</v>
      </c>
      <c r="V15" s="4" t="str">
        <f t="shared" si="1"/>
        <v>Evolve → Arcanine = sterke all-rounder</v>
      </c>
    </row>
    <row r="16" spans="1:22" ht="15" customHeight="1">
      <c r="A16" s="2" t="s">
        <v>116</v>
      </c>
      <c r="B16" s="2">
        <v>6</v>
      </c>
      <c r="C16" s="2" t="s">
        <v>64</v>
      </c>
      <c r="D16" s="4" t="str">
        <f>IF(C16="","",VLOOKUP(C16,Referentie!$A$2:$B$19,2,0))</f>
        <v>Oran</v>
      </c>
      <c r="E16" s="7" t="s">
        <v>66</v>
      </c>
      <c r="F16" s="4" t="s">
        <v>66</v>
      </c>
      <c r="G16" s="4" t="s">
        <v>66</v>
      </c>
      <c r="H16" s="4" t="s">
        <v>59</v>
      </c>
      <c r="I16" s="4" t="s">
        <v>60</v>
      </c>
      <c r="J16" s="4" t="s">
        <v>98</v>
      </c>
      <c r="K16" s="4" t="s">
        <v>57</v>
      </c>
      <c r="L16" s="4" t="s">
        <v>68</v>
      </c>
      <c r="M16" s="4" t="s">
        <v>117</v>
      </c>
      <c r="N16" s="4" t="str">
        <f>IF(M16="","",VLOOKUP(M16,Referentie!$G$2:$I$26,2,0))</f>
        <v>Energy Recovery</v>
      </c>
      <c r="O16" s="4" t="str">
        <f>IF(M16="","",VLOOKUP(M16,Referentie!$G$2:$I$26,3,0))</f>
        <v>EXP Gains</v>
      </c>
      <c r="P16" s="4">
        <f t="shared" si="2"/>
        <v>-1</v>
      </c>
      <c r="Q16" s="4">
        <f t="shared" si="3"/>
        <v>4.5</v>
      </c>
      <c r="R16" s="4">
        <f t="shared" si="4"/>
        <v>2</v>
      </c>
      <c r="S16" s="4" t="str">
        <f t="shared" si="5"/>
        <v>Ingredient</v>
      </c>
      <c r="T16" s="4">
        <f t="shared" si="0"/>
        <v>4.5</v>
      </c>
      <c r="U16" s="4" t="str">
        <f t="shared" si="6"/>
        <v>🤔 Bench</v>
      </c>
      <c r="V16" s="4" t="str">
        <f t="shared" si="1"/>
        <v/>
      </c>
    </row>
    <row r="17" spans="1:22" ht="15" customHeight="1">
      <c r="A17" s="2" t="s">
        <v>118</v>
      </c>
      <c r="B17" s="2">
        <v>6</v>
      </c>
      <c r="C17" s="2" t="s">
        <v>119</v>
      </c>
      <c r="D17" s="4" t="str">
        <f>IF(C17="","",VLOOKUP(C17,Referentie!$A$2:$B$19,2,0))</f>
        <v>Cheri</v>
      </c>
      <c r="E17" s="7" t="s">
        <v>73</v>
      </c>
      <c r="F17" s="4" t="s">
        <v>120</v>
      </c>
      <c r="G17" s="4" t="s">
        <v>73</v>
      </c>
      <c r="H17" s="4" t="s">
        <v>82</v>
      </c>
      <c r="I17" s="4" t="s">
        <v>59</v>
      </c>
      <c r="J17" s="4" t="s">
        <v>68</v>
      </c>
      <c r="K17" s="4" t="s">
        <v>121</v>
      </c>
      <c r="L17" s="4" t="s">
        <v>74</v>
      </c>
      <c r="M17" s="4" t="s">
        <v>122</v>
      </c>
      <c r="N17" s="4" t="str">
        <f>IF(M17="","",VLOOKUP(M17,Referentie!$G$2:$I$26,2,0))</f>
        <v>Speed of Help</v>
      </c>
      <c r="O17" s="4" t="str">
        <f>IF(M17="","",VLOOKUP(M17,Referentie!$G$2:$I$26,3,0))</f>
        <v>Ingredient Finding</v>
      </c>
      <c r="P17" s="4">
        <f t="shared" si="2"/>
        <v>6</v>
      </c>
      <c r="Q17" s="4">
        <f t="shared" si="3"/>
        <v>-1</v>
      </c>
      <c r="R17" s="4">
        <f t="shared" si="4"/>
        <v>2</v>
      </c>
      <c r="S17" s="4" t="str">
        <f t="shared" si="5"/>
        <v>Berry</v>
      </c>
      <c r="T17" s="4">
        <f t="shared" si="0"/>
        <v>7</v>
      </c>
      <c r="U17" s="4" t="str">
        <f t="shared" si="6"/>
        <v>⭐ Keep</v>
      </c>
      <c r="V17" s="4" t="str">
        <f t="shared" si="1"/>
        <v>Evolve → Lucario = sterke fighter; Perfecte nature voor Berry team!</v>
      </c>
    </row>
    <row r="18" spans="1:22" ht="15" customHeight="1">
      <c r="A18" s="2" t="s">
        <v>110</v>
      </c>
      <c r="B18" s="2">
        <v>8</v>
      </c>
      <c r="C18" s="2" t="s">
        <v>111</v>
      </c>
      <c r="D18" s="4" t="str">
        <f>IF(C18="","",VLOOKUP(C18,Referentie!$A$2:$B$19,2,0))</f>
        <v>Durin</v>
      </c>
      <c r="E18" s="7" t="s">
        <v>108</v>
      </c>
      <c r="F18" s="4" t="s">
        <v>108</v>
      </c>
      <c r="G18" s="4" t="s">
        <v>123</v>
      </c>
      <c r="H18" s="4" t="s">
        <v>74</v>
      </c>
      <c r="I18" s="4" t="s">
        <v>61</v>
      </c>
      <c r="J18" s="4" t="s">
        <v>58</v>
      </c>
      <c r="K18" s="4" t="s">
        <v>82</v>
      </c>
      <c r="L18" s="4" t="s">
        <v>121</v>
      </c>
      <c r="M18" s="4" t="s">
        <v>124</v>
      </c>
      <c r="N18" s="4" t="str">
        <f>IF(M18="","",VLOOKUP(M18,Referentie!$G$2:$I$26,2,0))</f>
        <v>Ingredient Finding</v>
      </c>
      <c r="O18" s="4" t="str">
        <f>IF(M18="","",VLOOKUP(M18,Referentie!$G$2:$I$26,3,0))</f>
        <v>EXP Gains</v>
      </c>
      <c r="P18" s="4">
        <f t="shared" si="2"/>
        <v>3</v>
      </c>
      <c r="Q18" s="4">
        <f t="shared" si="3"/>
        <v>3</v>
      </c>
      <c r="R18" s="4">
        <f t="shared" si="4"/>
        <v>0</v>
      </c>
      <c r="S18" s="4" t="str">
        <f t="shared" si="5"/>
        <v>Berry</v>
      </c>
      <c r="T18" s="4">
        <f t="shared" si="0"/>
        <v>4</v>
      </c>
      <c r="U18" s="4" t="str">
        <f t="shared" si="6"/>
        <v>🤔 Bench</v>
      </c>
      <c r="V18" s="4" t="str">
        <f t="shared" si="1"/>
        <v/>
      </c>
    </row>
    <row r="19" spans="1:22" ht="15" customHeight="1">
      <c r="A19" s="2" t="s">
        <v>106</v>
      </c>
      <c r="B19" s="2">
        <v>5</v>
      </c>
      <c r="C19" s="2" t="s">
        <v>107</v>
      </c>
      <c r="D19" s="4" t="str">
        <f>IF(C19="","",VLOOKUP(C19,Referentie!$A$2:$B$19,2,0))</f>
        <v>Lum</v>
      </c>
      <c r="E19" s="7" t="s">
        <v>108</v>
      </c>
      <c r="F19" s="4" t="s">
        <v>97</v>
      </c>
      <c r="G19" s="4" t="s">
        <v>97</v>
      </c>
      <c r="H19" s="4" t="s">
        <v>61</v>
      </c>
      <c r="I19" s="4" t="s">
        <v>86</v>
      </c>
      <c r="J19" s="4" t="s">
        <v>58</v>
      </c>
      <c r="K19" s="4" t="s">
        <v>57</v>
      </c>
      <c r="L19" s="4" t="s">
        <v>74</v>
      </c>
      <c r="M19" s="4" t="s">
        <v>125</v>
      </c>
      <c r="N19" s="4" t="str">
        <f>IF(M19="","",VLOOKUP(M19,Referentie!$G$2:$I$26,2,0))</f>
        <v>EXP Gains</v>
      </c>
      <c r="O19" s="4" t="str">
        <f>IF(M19="","",VLOOKUP(M19,Referentie!$G$2:$I$26,3,0))</f>
        <v>Speed of Help</v>
      </c>
      <c r="P19" s="4">
        <f t="shared" si="2"/>
        <v>0</v>
      </c>
      <c r="Q19" s="4">
        <f t="shared" si="3"/>
        <v>3.5</v>
      </c>
      <c r="R19" s="4">
        <f t="shared" si="4"/>
        <v>3</v>
      </c>
      <c r="S19" s="4" t="str">
        <f t="shared" si="5"/>
        <v>Ingredient</v>
      </c>
      <c r="T19" s="4">
        <f t="shared" si="0"/>
        <v>3.5</v>
      </c>
      <c r="U19" s="4" t="str">
        <f t="shared" si="6"/>
        <v>🤔 Bench</v>
      </c>
      <c r="V19" s="4" t="str">
        <f t="shared" si="1"/>
        <v/>
      </c>
    </row>
    <row r="20" spans="1:22" ht="15" customHeight="1">
      <c r="A20" s="68" t="s">
        <v>126</v>
      </c>
      <c r="B20" s="2">
        <v>6</v>
      </c>
      <c r="C20" s="2" t="s">
        <v>127</v>
      </c>
      <c r="D20" s="4" t="str">
        <f>IF(C20="","",VLOOKUP(C20,Referentie!$A$2:$B$19,2,0))</f>
        <v>Bluk</v>
      </c>
      <c r="E20" s="7" t="s">
        <v>128</v>
      </c>
      <c r="F20" s="4" t="s">
        <v>73</v>
      </c>
      <c r="G20" s="4" t="s">
        <v>73</v>
      </c>
      <c r="H20" s="4" t="s">
        <v>58</v>
      </c>
      <c r="I20" s="4" t="s">
        <v>68</v>
      </c>
      <c r="J20" s="4" t="s">
        <v>57</v>
      </c>
      <c r="K20" s="4" t="s">
        <v>74</v>
      </c>
      <c r="L20" s="4" t="s">
        <v>59</v>
      </c>
      <c r="M20" s="4" t="s">
        <v>122</v>
      </c>
      <c r="N20" s="4" t="str">
        <f>IF(M20="","",VLOOKUP(M20,Referentie!$G$2:$I$26,2,0))</f>
        <v>Speed of Help</v>
      </c>
      <c r="O20" s="4" t="str">
        <f>IF(M20="","",VLOOKUP(M20,Referentie!$G$2:$I$26,3,0))</f>
        <v>Ingredient Finding</v>
      </c>
      <c r="P20" s="4">
        <f t="shared" si="2"/>
        <v>3</v>
      </c>
      <c r="Q20" s="4">
        <f t="shared" si="3"/>
        <v>1.5</v>
      </c>
      <c r="R20" s="4">
        <f t="shared" si="4"/>
        <v>2</v>
      </c>
      <c r="S20" s="4" t="str">
        <f t="shared" si="5"/>
        <v>Berry</v>
      </c>
      <c r="T20" s="4">
        <f t="shared" si="0"/>
        <v>4</v>
      </c>
      <c r="U20" s="4" t="str">
        <f t="shared" si="6"/>
        <v>🤔 Bench</v>
      </c>
      <c r="V20" s="4" t="str">
        <f t="shared" si="1"/>
        <v>Perfecte nature voor Berry team!</v>
      </c>
    </row>
    <row r="21" spans="1:22" ht="15" customHeight="1">
      <c r="A21" s="2" t="s">
        <v>129</v>
      </c>
      <c r="B21" s="2">
        <v>11</v>
      </c>
      <c r="C21" s="2" t="s">
        <v>54</v>
      </c>
      <c r="D21" s="4" t="str">
        <f>IF(C21="","",VLOOKUP(C21,Referentie!$A$2:$B$19,2,0))</f>
        <v>Grepa</v>
      </c>
      <c r="E21" s="7" t="s">
        <v>114</v>
      </c>
      <c r="F21" s="4" t="s">
        <v>114</v>
      </c>
      <c r="G21" s="4" t="s">
        <v>114</v>
      </c>
      <c r="H21" s="4" t="s">
        <v>74</v>
      </c>
      <c r="I21" s="4" t="s">
        <v>58</v>
      </c>
      <c r="J21" s="4" t="s">
        <v>61</v>
      </c>
      <c r="K21" s="4" t="s">
        <v>57</v>
      </c>
      <c r="L21" s="4" t="s">
        <v>78</v>
      </c>
      <c r="M21" s="4" t="s">
        <v>75</v>
      </c>
      <c r="N21" s="4" t="str">
        <f>IF(M21="","",VLOOKUP(M21,Referentie!$G$2:$I$26,2,0))</f>
        <v>EXP Gains</v>
      </c>
      <c r="O21" s="4" t="str">
        <f>IF(M21="","",VLOOKUP(M21,Referentie!$G$2:$I$26,3,0))</f>
        <v>Main Skill Chance</v>
      </c>
      <c r="P21" s="4">
        <f t="shared" si="2"/>
        <v>4</v>
      </c>
      <c r="Q21" s="4">
        <f t="shared" si="3"/>
        <v>4.5</v>
      </c>
      <c r="R21" s="4">
        <f t="shared" si="4"/>
        <v>0</v>
      </c>
      <c r="S21" s="4" t="str">
        <f t="shared" si="5"/>
        <v>Ingredient</v>
      </c>
      <c r="T21" s="4">
        <f t="shared" si="0"/>
        <v>5</v>
      </c>
      <c r="U21" s="4" t="str">
        <f t="shared" si="6"/>
        <v>📈 Level Up</v>
      </c>
      <c r="V21" s="4" t="str">
        <f t="shared" si="1"/>
        <v>Evolve → Ampharos = hoge frequentie + waardevolle ingrediënten</v>
      </c>
    </row>
    <row r="22" spans="1:22" ht="15" customHeight="1">
      <c r="A22" s="2" t="s">
        <v>88</v>
      </c>
      <c r="B22" s="2">
        <v>5</v>
      </c>
      <c r="C22" s="2" t="s">
        <v>64</v>
      </c>
      <c r="D22" s="4" t="str">
        <f>IF(C22="","",VLOOKUP(C22,Referentie!$A$2:$B$19,2,0))</f>
        <v>Oran</v>
      </c>
      <c r="E22" s="7" t="s">
        <v>66</v>
      </c>
      <c r="F22" s="4" t="s">
        <v>89</v>
      </c>
      <c r="G22" s="4" t="s">
        <v>89</v>
      </c>
      <c r="H22" s="4" t="s">
        <v>61</v>
      </c>
      <c r="I22" s="4" t="s">
        <v>58</v>
      </c>
      <c r="J22" s="4" t="s">
        <v>78</v>
      </c>
      <c r="K22" s="4" t="s">
        <v>57</v>
      </c>
      <c r="L22" s="4" t="s">
        <v>74</v>
      </c>
      <c r="M22" s="4" t="s">
        <v>79</v>
      </c>
      <c r="N22" s="4" t="str">
        <f>IF(M22="","",VLOOKUP(M22,Referentie!$G$2:$I$26,2,0))</f>
        <v>Energy Recovery</v>
      </c>
      <c r="O22" s="4" t="str">
        <f>IF(M22="","",VLOOKUP(M22,Referentie!$G$2:$I$26,3,0))</f>
        <v>Speed of Help</v>
      </c>
      <c r="P22" s="4">
        <f t="shared" si="2"/>
        <v>1</v>
      </c>
      <c r="Q22" s="4">
        <f t="shared" si="3"/>
        <v>2.5</v>
      </c>
      <c r="R22" s="4">
        <f t="shared" si="4"/>
        <v>1</v>
      </c>
      <c r="S22" s="4" t="str">
        <f t="shared" si="5"/>
        <v>Ingredient</v>
      </c>
      <c r="T22" s="4">
        <f t="shared" si="0"/>
        <v>2.5</v>
      </c>
      <c r="U22" s="4" t="str">
        <f t="shared" si="6"/>
        <v>❌ Transfer</v>
      </c>
      <c r="V22" s="4" t="str">
        <f t="shared" si="1"/>
        <v/>
      </c>
    </row>
    <row r="23" spans="1:22" ht="15" customHeight="1">
      <c r="A23" s="2" t="s">
        <v>70</v>
      </c>
      <c r="B23" s="2">
        <v>4</v>
      </c>
      <c r="C23" s="2" t="s">
        <v>71</v>
      </c>
      <c r="D23" s="4" t="str">
        <f>IF(C23="","",VLOOKUP(C23,Referentie!$A$2:$B$19,2,0))</f>
        <v>Pecha</v>
      </c>
      <c r="E23" s="7" t="s">
        <v>72</v>
      </c>
      <c r="F23" s="4" t="s">
        <v>73</v>
      </c>
      <c r="G23" s="4" t="s">
        <v>72</v>
      </c>
      <c r="H23" s="4" t="s">
        <v>58</v>
      </c>
      <c r="I23" s="4" t="s">
        <v>74</v>
      </c>
      <c r="J23" s="4" t="s">
        <v>57</v>
      </c>
      <c r="K23" s="4" t="s">
        <v>67</v>
      </c>
      <c r="L23" s="4" t="s">
        <v>82</v>
      </c>
      <c r="M23" s="4" t="s">
        <v>122</v>
      </c>
      <c r="N23" s="4" t="str">
        <f>IF(M23="","",VLOOKUP(M23,Referentie!$G$2:$I$26,2,0))</f>
        <v>Speed of Help</v>
      </c>
      <c r="O23" s="4" t="str">
        <f>IF(M23="","",VLOOKUP(M23,Referentie!$G$2:$I$26,3,0))</f>
        <v>Ingredient Finding</v>
      </c>
      <c r="P23" s="4">
        <f t="shared" si="2"/>
        <v>5</v>
      </c>
      <c r="Q23" s="4">
        <f t="shared" si="3"/>
        <v>1</v>
      </c>
      <c r="R23" s="4">
        <f t="shared" si="4"/>
        <v>0</v>
      </c>
      <c r="S23" s="4" t="str">
        <f t="shared" si="5"/>
        <v>Berry</v>
      </c>
      <c r="T23" s="4">
        <f t="shared" si="0"/>
        <v>6</v>
      </c>
      <c r="U23" s="4" t="str">
        <f t="shared" si="6"/>
        <v>📈 Level Up</v>
      </c>
      <c r="V23" s="4" t="str">
        <f t="shared" si="1"/>
        <v>Evolve → Wigglytuff = Energy for Everyone S (top skill!); Perfecte nature voor Berry team!</v>
      </c>
    </row>
    <row r="24" spans="1:22" ht="15" customHeight="1">
      <c r="A24" s="2" t="s">
        <v>130</v>
      </c>
      <c r="B24" s="2">
        <v>9</v>
      </c>
      <c r="C24" s="2" t="s">
        <v>131</v>
      </c>
      <c r="D24" s="4" t="str">
        <f>IF(C24="","",VLOOKUP(C24,Referentie!$A$2:$B$19,2,0))</f>
        <v>Mago</v>
      </c>
      <c r="E24" s="7" t="s">
        <v>55</v>
      </c>
      <c r="F24" s="4" t="s">
        <v>103</v>
      </c>
      <c r="G24" s="4" t="s">
        <v>73</v>
      </c>
      <c r="H24" s="4" t="s">
        <v>82</v>
      </c>
      <c r="I24" s="4" t="s">
        <v>61</v>
      </c>
      <c r="J24" s="4" t="s">
        <v>57</v>
      </c>
      <c r="K24" s="4" t="s">
        <v>59</v>
      </c>
      <c r="L24" s="4" t="s">
        <v>74</v>
      </c>
      <c r="M24" s="4" t="s">
        <v>90</v>
      </c>
      <c r="N24" s="4" t="str">
        <f>IF(M24="","",VLOOKUP(M24,Referentie!$G$2:$I$26,2,0))</f>
        <v>EXP Gains</v>
      </c>
      <c r="O24" s="4" t="str">
        <f>IF(M24="","",VLOOKUP(M24,Referentie!$G$2:$I$26,3,0))</f>
        <v>Ingredient Finding</v>
      </c>
      <c r="P24" s="4">
        <f t="shared" si="2"/>
        <v>4</v>
      </c>
      <c r="Q24" s="4">
        <f t="shared" si="3"/>
        <v>0.5</v>
      </c>
      <c r="R24" s="4">
        <f t="shared" si="4"/>
        <v>2</v>
      </c>
      <c r="S24" s="4" t="str">
        <f t="shared" si="5"/>
        <v>Berry</v>
      </c>
      <c r="T24" s="4">
        <f t="shared" si="0"/>
        <v>4</v>
      </c>
      <c r="U24" s="4" t="str">
        <f t="shared" si="6"/>
        <v>🤔 Bench</v>
      </c>
      <c r="V24" s="4" t="str">
        <f t="shared" si="1"/>
        <v/>
      </c>
    </row>
    <row r="25" spans="1:22" ht="15" customHeight="1">
      <c r="A25" s="2" t="s">
        <v>85</v>
      </c>
      <c r="B25" s="2">
        <v>5</v>
      </c>
      <c r="C25" s="2" t="s">
        <v>54</v>
      </c>
      <c r="D25" s="4" t="str">
        <f>IF(C25="","",VLOOKUP(C25,Referentie!$A$2:$B$19,2,0))</f>
        <v>Grepa</v>
      </c>
      <c r="E25" s="7" t="s">
        <v>55</v>
      </c>
      <c r="F25" s="4" t="s">
        <v>56</v>
      </c>
      <c r="G25" s="4" t="s">
        <v>108</v>
      </c>
      <c r="H25" s="4" t="s">
        <v>60</v>
      </c>
      <c r="I25" s="4" t="s">
        <v>57</v>
      </c>
      <c r="J25" s="4" t="s">
        <v>86</v>
      </c>
      <c r="K25" s="4" t="s">
        <v>59</v>
      </c>
      <c r="L25" s="4" t="s">
        <v>61</v>
      </c>
      <c r="M25" s="4" t="s">
        <v>79</v>
      </c>
      <c r="N25" s="4" t="str">
        <f>IF(M25="","",VLOOKUP(M25,Referentie!$G$2:$I$26,2,0))</f>
        <v>Energy Recovery</v>
      </c>
      <c r="O25" s="4" t="str">
        <f>IF(M25="","",VLOOKUP(M25,Referentie!$G$2:$I$26,3,0))</f>
        <v>Speed of Help</v>
      </c>
      <c r="P25" s="4">
        <f t="shared" si="2"/>
        <v>-2</v>
      </c>
      <c r="Q25" s="4">
        <f t="shared" si="3"/>
        <v>3.5</v>
      </c>
      <c r="R25" s="4">
        <f t="shared" si="4"/>
        <v>2</v>
      </c>
      <c r="S25" s="4" t="str">
        <f t="shared" si="5"/>
        <v>Ingredient</v>
      </c>
      <c r="T25" s="4">
        <f t="shared" si="0"/>
        <v>3.5</v>
      </c>
      <c r="U25" s="4" t="str">
        <f t="shared" si="6"/>
        <v>🤔 Bench</v>
      </c>
      <c r="V25" s="4" t="str">
        <f t="shared" si="1"/>
        <v>Evolve → Pikachu → Raichu (top berry)</v>
      </c>
    </row>
    <row r="26" spans="1:22" ht="15" customHeight="1">
      <c r="A26" s="2" t="s">
        <v>132</v>
      </c>
      <c r="B26" s="2">
        <v>7</v>
      </c>
      <c r="C26" s="2" t="s">
        <v>133</v>
      </c>
      <c r="D26" s="4" t="str">
        <f>IF(C26="","",VLOOKUP(C26,Referentie!$A$2:$B$19,2,0))</f>
        <v>Sitrus</v>
      </c>
      <c r="E26" s="7" t="s">
        <v>56</v>
      </c>
      <c r="F26" s="4" t="s">
        <v>97</v>
      </c>
      <c r="G26" s="4" t="s">
        <v>97</v>
      </c>
      <c r="H26" s="4" t="s">
        <v>74</v>
      </c>
      <c r="I26" s="4" t="s">
        <v>58</v>
      </c>
      <c r="J26" s="4" t="s">
        <v>78</v>
      </c>
      <c r="K26" s="4" t="s">
        <v>57</v>
      </c>
      <c r="L26" s="4" t="s">
        <v>68</v>
      </c>
      <c r="M26" s="4" t="s">
        <v>134</v>
      </c>
      <c r="N26" s="4" t="str">
        <f>IF(M26="","",VLOOKUP(M26,Referentie!$G$2:$I$26,2,0))</f>
        <v>Neutral</v>
      </c>
      <c r="O26" s="4" t="str">
        <f>IF(M26="","",VLOOKUP(M26,Referentie!$G$2:$I$26,3,0))</f>
        <v>Neutral</v>
      </c>
      <c r="P26" s="4">
        <f t="shared" si="2"/>
        <v>3</v>
      </c>
      <c r="Q26" s="4">
        <f t="shared" si="3"/>
        <v>2.5</v>
      </c>
      <c r="R26" s="4">
        <f t="shared" si="4"/>
        <v>2</v>
      </c>
      <c r="S26" s="4" t="str">
        <f t="shared" si="5"/>
        <v>Berry</v>
      </c>
      <c r="T26" s="4">
        <f t="shared" si="0"/>
        <v>3</v>
      </c>
      <c r="U26" s="4" t="str">
        <f t="shared" si="6"/>
        <v>🤔 Bench</v>
      </c>
      <c r="V26" s="4" t="str">
        <f t="shared" si="1"/>
        <v>Neutrale nature = ok maar niet ideaal</v>
      </c>
    </row>
    <row r="27" spans="1:22" ht="15" customHeight="1">
      <c r="A27" s="2" t="s">
        <v>135</v>
      </c>
      <c r="B27" s="2">
        <v>6</v>
      </c>
      <c r="C27" s="2" t="s">
        <v>111</v>
      </c>
      <c r="D27" s="4" t="str">
        <f>IF(C27="","",VLOOKUP(C27,Referentie!$A$2:$B$19,2,0))</f>
        <v>Durin</v>
      </c>
      <c r="E27" s="7" t="s">
        <v>72</v>
      </c>
      <c r="F27" s="4" t="s">
        <v>72</v>
      </c>
      <c r="G27" s="4" t="s">
        <v>72</v>
      </c>
      <c r="H27" s="4" t="s">
        <v>82</v>
      </c>
      <c r="I27" s="4" t="s">
        <v>57</v>
      </c>
      <c r="J27" s="4" t="s">
        <v>58</v>
      </c>
      <c r="K27" s="4" t="s">
        <v>68</v>
      </c>
      <c r="L27" s="4" t="s">
        <v>74</v>
      </c>
      <c r="M27" s="4" t="s">
        <v>87</v>
      </c>
      <c r="N27" s="4" t="str">
        <f>IF(M27="","",VLOOKUP(M27,Referentie!$G$2:$I$26,2,0))</f>
        <v>Energy Recovery</v>
      </c>
      <c r="O27" s="4" t="str">
        <f>IF(M27="","",VLOOKUP(M27,Referentie!$G$2:$I$26,3,0))</f>
        <v>Ingredient Finding</v>
      </c>
      <c r="P27" s="4">
        <f t="shared" si="2"/>
        <v>3</v>
      </c>
      <c r="Q27" s="4">
        <f t="shared" si="3"/>
        <v>1.5</v>
      </c>
      <c r="R27" s="4">
        <f t="shared" si="4"/>
        <v>2</v>
      </c>
      <c r="S27" s="4" t="str">
        <f t="shared" si="5"/>
        <v>Berry</v>
      </c>
      <c r="T27" s="4">
        <f t="shared" si="0"/>
        <v>3</v>
      </c>
      <c r="U27" s="4" t="str">
        <f t="shared" si="6"/>
        <v>🤔 Bench</v>
      </c>
      <c r="V27" s="4" t="str">
        <f t="shared" si="1"/>
        <v>Kanto starter: 2x ingrediënten + Ingredient Magnet S</v>
      </c>
    </row>
    <row r="28" spans="1:22" ht="15" customHeight="1">
      <c r="A28" s="2" t="s">
        <v>95</v>
      </c>
      <c r="B28" s="2">
        <v>6</v>
      </c>
      <c r="C28" s="2" t="s">
        <v>96</v>
      </c>
      <c r="D28" s="4" t="str">
        <f>IF(C28="","",VLOOKUP(C28,Referentie!$A$2:$B$19,2,0))</f>
        <v>Persim</v>
      </c>
      <c r="E28" s="7" t="s">
        <v>55</v>
      </c>
      <c r="F28" s="4" t="s">
        <v>55</v>
      </c>
      <c r="G28" s="4" t="s">
        <v>97</v>
      </c>
      <c r="H28" s="4" t="s">
        <v>86</v>
      </c>
      <c r="I28" s="4" t="s">
        <v>61</v>
      </c>
      <c r="J28" s="4" t="s">
        <v>67</v>
      </c>
      <c r="K28" s="4" t="s">
        <v>60</v>
      </c>
      <c r="L28" s="4" t="s">
        <v>58</v>
      </c>
      <c r="M28" s="4" t="s">
        <v>75</v>
      </c>
      <c r="N28" s="4" t="str">
        <f>IF(M28="","",VLOOKUP(M28,Referentie!$G$2:$I$26,2,0))</f>
        <v>EXP Gains</v>
      </c>
      <c r="O28" s="4" t="str">
        <f>IF(M28="","",VLOOKUP(M28,Referentie!$G$2:$I$26,3,0))</f>
        <v>Main Skill Chance</v>
      </c>
      <c r="P28" s="4">
        <f t="shared" si="2"/>
        <v>1</v>
      </c>
      <c r="Q28" s="4">
        <f t="shared" si="3"/>
        <v>6.5</v>
      </c>
      <c r="R28" s="4">
        <f t="shared" si="4"/>
        <v>1</v>
      </c>
      <c r="S28" s="4" t="str">
        <f t="shared" si="5"/>
        <v>Ingredient</v>
      </c>
      <c r="T28" s="4">
        <f t="shared" si="0"/>
        <v>6.5</v>
      </c>
      <c r="U28" s="4" t="str">
        <f t="shared" si="6"/>
        <v>📈 Level Up</v>
      </c>
      <c r="V28" s="4" t="str">
        <f t="shared" si="1"/>
        <v/>
      </c>
    </row>
    <row r="29" spans="1:22" ht="15" customHeight="1">
      <c r="A29" s="2" t="s">
        <v>136</v>
      </c>
      <c r="B29" s="2">
        <v>6</v>
      </c>
      <c r="C29" s="2" t="s">
        <v>64</v>
      </c>
      <c r="D29" s="4" t="str">
        <f>IF(C29="","",VLOOKUP(C29,Referentie!$A$2:$B$19,2,0))</f>
        <v>Oran</v>
      </c>
      <c r="E29" s="7" t="s">
        <v>128</v>
      </c>
      <c r="F29" s="4" t="s">
        <v>65</v>
      </c>
      <c r="G29" s="4" t="s">
        <v>128</v>
      </c>
      <c r="H29" s="4" t="s">
        <v>58</v>
      </c>
      <c r="I29" s="4" t="s">
        <v>61</v>
      </c>
      <c r="J29" s="4" t="s">
        <v>82</v>
      </c>
      <c r="K29" s="4" t="s">
        <v>57</v>
      </c>
      <c r="L29" s="4" t="s">
        <v>86</v>
      </c>
      <c r="M29" s="4" t="s">
        <v>105</v>
      </c>
      <c r="N29" s="4" t="str">
        <f>IF(M29="","",VLOOKUP(M29,Referentie!$G$2:$I$26,2,0))</f>
        <v>EXP Gains</v>
      </c>
      <c r="O29" s="4" t="str">
        <f>IF(M29="","",VLOOKUP(M29,Referentie!$G$2:$I$26,3,0))</f>
        <v>Energy Recovery</v>
      </c>
      <c r="P29" s="4">
        <f t="shared" si="2"/>
        <v>3</v>
      </c>
      <c r="Q29" s="4">
        <f t="shared" si="3"/>
        <v>2.5</v>
      </c>
      <c r="R29" s="4">
        <f t="shared" si="4"/>
        <v>3</v>
      </c>
      <c r="S29" s="4" t="str">
        <f t="shared" si="5"/>
        <v>Berry</v>
      </c>
      <c r="T29" s="4">
        <f t="shared" si="0"/>
        <v>3</v>
      </c>
      <c r="U29" s="4" t="str">
        <f t="shared" si="6"/>
        <v>🤔 Bench</v>
      </c>
      <c r="V29" s="4" t="str">
        <f t="shared" si="1"/>
        <v/>
      </c>
    </row>
    <row r="30" spans="1:22" ht="15" customHeight="1">
      <c r="A30" s="2" t="s">
        <v>80</v>
      </c>
      <c r="B30" s="2">
        <v>5</v>
      </c>
      <c r="C30" s="2" t="s">
        <v>81</v>
      </c>
      <c r="D30" s="4" t="str">
        <f>IF(C30="","",VLOOKUP(C30,Referentie!$A$2:$B$19,2,0))</f>
        <v>Figy</v>
      </c>
      <c r="E30" s="7" t="s">
        <v>56</v>
      </c>
      <c r="F30" s="4" t="s">
        <v>66</v>
      </c>
      <c r="G30" s="4" t="s">
        <v>56</v>
      </c>
      <c r="H30" s="4" t="s">
        <v>83</v>
      </c>
      <c r="I30" s="4" t="s">
        <v>74</v>
      </c>
      <c r="J30" s="4" t="s">
        <v>121</v>
      </c>
      <c r="K30" s="4" t="s">
        <v>99</v>
      </c>
      <c r="L30" s="4" t="s">
        <v>68</v>
      </c>
      <c r="M30" s="4" t="s">
        <v>87</v>
      </c>
      <c r="N30" s="4" t="str">
        <f>IF(M30="","",VLOOKUP(M30,Referentie!$G$2:$I$26,2,0))</f>
        <v>Energy Recovery</v>
      </c>
      <c r="O30" s="4" t="str">
        <f>IF(M30="","",VLOOKUP(M30,Referentie!$G$2:$I$26,3,0))</f>
        <v>Ingredient Finding</v>
      </c>
      <c r="P30" s="4">
        <f t="shared" si="2"/>
        <v>2</v>
      </c>
      <c r="Q30" s="4">
        <f t="shared" si="3"/>
        <v>-2</v>
      </c>
      <c r="R30" s="4">
        <f t="shared" si="4"/>
        <v>5</v>
      </c>
      <c r="S30" s="4" t="str">
        <f t="shared" si="5"/>
        <v>Skill</v>
      </c>
      <c r="T30" s="4">
        <f t="shared" si="0"/>
        <v>5</v>
      </c>
      <c r="U30" s="4" t="str">
        <f t="shared" si="6"/>
        <v>📈 Level Up</v>
      </c>
      <c r="V30" s="4" t="str">
        <f t="shared" si="1"/>
        <v/>
      </c>
    </row>
    <row r="31" spans="1:22" ht="15" customHeight="1">
      <c r="A31" s="2" t="s">
        <v>137</v>
      </c>
      <c r="B31" s="2">
        <v>8</v>
      </c>
      <c r="C31" s="2" t="s">
        <v>71</v>
      </c>
      <c r="D31" s="4" t="str">
        <f>IF(C31="","",VLOOKUP(C31,Referentie!$A$2:$B$19,2,0))</f>
        <v>Pecha</v>
      </c>
      <c r="E31" s="7" t="s">
        <v>108</v>
      </c>
      <c r="F31" s="4" t="s">
        <v>56</v>
      </c>
      <c r="G31" s="4" t="s">
        <v>56</v>
      </c>
      <c r="H31" s="4" t="s">
        <v>67</v>
      </c>
      <c r="I31" s="4" t="s">
        <v>58</v>
      </c>
      <c r="J31" s="4" t="s">
        <v>74</v>
      </c>
      <c r="K31" s="4" t="s">
        <v>78</v>
      </c>
      <c r="L31" s="4" t="s">
        <v>59</v>
      </c>
      <c r="M31" s="4" t="s">
        <v>122</v>
      </c>
      <c r="N31" s="4" t="str">
        <f>IF(M31="","",VLOOKUP(M31,Referentie!$G$2:$I$26,2,0))</f>
        <v>Speed of Help</v>
      </c>
      <c r="O31" s="4" t="str">
        <f>IF(M31="","",VLOOKUP(M31,Referentie!$G$2:$I$26,3,0))</f>
        <v>Ingredient Finding</v>
      </c>
      <c r="P31" s="4">
        <f t="shared" si="2"/>
        <v>5</v>
      </c>
      <c r="Q31" s="4">
        <f t="shared" si="3"/>
        <v>2.5</v>
      </c>
      <c r="R31" s="4">
        <f t="shared" si="4"/>
        <v>0</v>
      </c>
      <c r="S31" s="4" t="str">
        <f t="shared" si="5"/>
        <v>Berry</v>
      </c>
      <c r="T31" s="4">
        <f t="shared" si="0"/>
        <v>6</v>
      </c>
      <c r="U31" s="4" t="str">
        <f t="shared" si="6"/>
        <v>📈 Level Up</v>
      </c>
      <c r="V31" s="4" t="str">
        <f t="shared" si="1"/>
        <v>Let op: Togekiss Metronome is onbetrouwbaar; Perfecte nature voor Berry team!</v>
      </c>
    </row>
    <row r="32" spans="1:22" ht="15" customHeight="1">
      <c r="A32" s="2" t="s">
        <v>138</v>
      </c>
      <c r="B32" s="2">
        <v>8</v>
      </c>
      <c r="C32" s="2" t="s">
        <v>133</v>
      </c>
      <c r="D32" s="4" t="str">
        <f>IF(C32="","",VLOOKUP(C32,Referentie!$A$2:$B$19,2,0))</f>
        <v>Sitrus</v>
      </c>
      <c r="E32" s="7" t="s">
        <v>97</v>
      </c>
      <c r="F32" s="4" t="s">
        <v>97</v>
      </c>
      <c r="G32" s="4" t="s">
        <v>103</v>
      </c>
      <c r="H32" s="4" t="s">
        <v>57</v>
      </c>
      <c r="I32" s="4" t="s">
        <v>74</v>
      </c>
      <c r="J32" s="4" t="s">
        <v>61</v>
      </c>
      <c r="K32" s="4" t="s">
        <v>58</v>
      </c>
      <c r="L32" s="4" t="s">
        <v>115</v>
      </c>
      <c r="M32" s="4" t="s">
        <v>94</v>
      </c>
      <c r="N32" s="4" t="str">
        <f>IF(M32="","",VLOOKUP(M32,Referentie!$G$2:$I$26,2,0))</f>
        <v>Neutral</v>
      </c>
      <c r="O32" s="4" t="str">
        <f>IF(M32="","",VLOOKUP(M32,Referentie!$G$2:$I$26,3,0))</f>
        <v>Neutral</v>
      </c>
      <c r="P32" s="4">
        <f t="shared" si="2"/>
        <v>1</v>
      </c>
      <c r="Q32" s="4">
        <f t="shared" si="3"/>
        <v>2.5</v>
      </c>
      <c r="R32" s="4">
        <f t="shared" si="4"/>
        <v>2.5</v>
      </c>
      <c r="S32" s="4" t="str">
        <f t="shared" si="5"/>
        <v>Ingredient</v>
      </c>
      <c r="T32" s="4">
        <f t="shared" si="0"/>
        <v>2.5</v>
      </c>
      <c r="U32" s="4" t="str">
        <f t="shared" si="6"/>
        <v>❌ Transfer</v>
      </c>
      <c r="V32" s="4" t="str">
        <f t="shared" si="1"/>
        <v>Neutrale nature = ok maar niet ideaal</v>
      </c>
    </row>
    <row r="33" spans="1:22" ht="15" customHeight="1">
      <c r="A33" s="2" t="s">
        <v>139</v>
      </c>
      <c r="B33" s="2">
        <v>6</v>
      </c>
      <c r="C33" s="2" t="s">
        <v>64</v>
      </c>
      <c r="D33" s="4" t="str">
        <f>IF(C33="","",VLOOKUP(C33,Referentie!$A$2:$B$19,2,0))</f>
        <v>Oran</v>
      </c>
      <c r="E33" s="7" t="s">
        <v>77</v>
      </c>
      <c r="F33" s="4" t="s">
        <v>73</v>
      </c>
      <c r="G33" s="4" t="s">
        <v>73</v>
      </c>
      <c r="H33" s="4" t="s">
        <v>61</v>
      </c>
      <c r="I33" s="4" t="s">
        <v>59</v>
      </c>
      <c r="J33" s="4" t="s">
        <v>58</v>
      </c>
      <c r="K33" s="4" t="s">
        <v>57</v>
      </c>
      <c r="L33" s="4" t="s">
        <v>74</v>
      </c>
      <c r="M33" s="4" t="s">
        <v>100</v>
      </c>
      <c r="N33" s="4" t="str">
        <f>IF(M33="","",VLOOKUP(M33,Referentie!$G$2:$I$26,2,0))</f>
        <v>Ingredient Finding</v>
      </c>
      <c r="O33" s="4" t="str">
        <f>IF(M33="","",VLOOKUP(M33,Referentie!$G$2:$I$26,3,0))</f>
        <v>Energy Recovery</v>
      </c>
      <c r="P33" s="4">
        <f t="shared" si="2"/>
        <v>1</v>
      </c>
      <c r="Q33" s="4">
        <f t="shared" si="3"/>
        <v>5.5</v>
      </c>
      <c r="R33" s="4">
        <f t="shared" si="4"/>
        <v>1</v>
      </c>
      <c r="S33" s="4" t="str">
        <f t="shared" si="5"/>
        <v>Ingredient</v>
      </c>
      <c r="T33" s="4">
        <f t="shared" si="0"/>
        <v>6.5</v>
      </c>
      <c r="U33" s="4" t="str">
        <f t="shared" si="6"/>
        <v>📈 Level Up</v>
      </c>
      <c r="V33" s="4" t="str">
        <f t="shared" si="1"/>
        <v>Evolve → Feraligatr = top berry voor Cyan Beach; Perfecte nature voor Ingredient team!</v>
      </c>
    </row>
    <row r="34" spans="1:22" ht="15" customHeight="1">
      <c r="A34" s="2" t="s">
        <v>140</v>
      </c>
      <c r="B34" s="2">
        <v>4</v>
      </c>
      <c r="C34" s="2" t="s">
        <v>141</v>
      </c>
      <c r="D34" s="4" t="str">
        <f>IF(C34="","",VLOOKUP(C34,Referentie!$A$2:$B$19,2,0))</f>
        <v>Wiki</v>
      </c>
      <c r="E34" s="7" t="s">
        <v>114</v>
      </c>
      <c r="F34" s="4" t="s">
        <v>114</v>
      </c>
      <c r="G34" s="4" t="s">
        <v>56</v>
      </c>
      <c r="H34" s="4" t="s">
        <v>68</v>
      </c>
      <c r="I34" s="4" t="s">
        <v>57</v>
      </c>
      <c r="J34" s="4" t="s">
        <v>58</v>
      </c>
      <c r="K34" s="4" t="s">
        <v>74</v>
      </c>
      <c r="L34" s="4" t="s">
        <v>121</v>
      </c>
      <c r="M34" s="4" t="s">
        <v>125</v>
      </c>
      <c r="N34" s="4" t="str">
        <f>IF(M34="","",VLOOKUP(M34,Referentie!$G$2:$I$26,2,0))</f>
        <v>EXP Gains</v>
      </c>
      <c r="O34" s="4" t="str">
        <f>IF(M34="","",VLOOKUP(M34,Referentie!$G$2:$I$26,3,0))</f>
        <v>Speed of Help</v>
      </c>
      <c r="P34" s="4">
        <f t="shared" si="2"/>
        <v>1</v>
      </c>
      <c r="Q34" s="4">
        <f t="shared" si="3"/>
        <v>3.5</v>
      </c>
      <c r="R34" s="4">
        <f t="shared" si="4"/>
        <v>3</v>
      </c>
      <c r="S34" s="4" t="str">
        <f t="shared" si="5"/>
        <v>Ingredient</v>
      </c>
      <c r="T34" s="4">
        <f t="shared" si="0"/>
        <v>3.5</v>
      </c>
      <c r="U34" s="4" t="str">
        <f t="shared" si="6"/>
        <v>🤔 Bench</v>
      </c>
      <c r="V34" s="4" t="str">
        <f t="shared" si="1"/>
        <v/>
      </c>
    </row>
    <row r="35" spans="1:22" ht="15" customHeight="1">
      <c r="A35" s="2" t="s">
        <v>118</v>
      </c>
      <c r="B35" s="2">
        <v>5</v>
      </c>
      <c r="C35" s="2" t="s">
        <v>119</v>
      </c>
      <c r="D35" s="4" t="str">
        <f>IF(C35="","",VLOOKUP(C35,Referentie!$A$2:$B$19,2,0))</f>
        <v>Cheri</v>
      </c>
      <c r="E35" s="7" t="s">
        <v>73</v>
      </c>
      <c r="F35" s="4" t="s">
        <v>120</v>
      </c>
      <c r="G35" s="4" t="s">
        <v>120</v>
      </c>
      <c r="H35" s="4" t="s">
        <v>67</v>
      </c>
      <c r="I35" s="4" t="s">
        <v>86</v>
      </c>
      <c r="J35" s="4" t="s">
        <v>59</v>
      </c>
      <c r="K35" s="4" t="s">
        <v>68</v>
      </c>
      <c r="L35" s="4" t="s">
        <v>58</v>
      </c>
      <c r="M35" s="4" t="s">
        <v>142</v>
      </c>
      <c r="N35" s="4" t="str">
        <f>IF(M35="","",VLOOKUP(M35,Referentie!$G$2:$I$26,2,0))</f>
        <v>Main Skill Chance</v>
      </c>
      <c r="O35" s="4" t="str">
        <f>IF(M35="","",VLOOKUP(M35,Referentie!$G$2:$I$26,3,0))</f>
        <v>EXP Gains</v>
      </c>
      <c r="P35" s="4">
        <f t="shared" ref="P35:P65" si="7">IF(A35="","", (IF(N35="Speed of Help",2,0)) + (IF(O35="Speed of Help",-2,0)) + (IF(N35="EXP Gains",1,0)) + (IF(O35="EXP Gains",-1,0)) + (COUNTIF(H35:L35,"Helping Speed S")*1) + (COUNTIF(H35:L35,"Helping Speed M")*2) + (COUNTIF(H35:L35,"Berry Finding S")*2) + (COUNTIF(H35:L35,"Helping Bonus")*1) + (IF(O35="Ingredient Finding",0,0)) + (IF(O35="Main Skill Chance",0,0)) )</f>
        <v>-1</v>
      </c>
      <c r="Q35" s="4">
        <f t="shared" ref="Q35:Q65" si="8">IF(A35="","", (IF(N35="Ingredient Finding",2,0)) + (IF(O35="Ingredient Finding",-2,0)) + (IF(N35="EXP Gains",1,0)) + (IF(O35="EXP Gains",-1,0)) + (COUNTIF(H35:L35,"Ingredient Finder S")*1) + (COUNTIF(H35:L35,"Ingredient Finder M")*2) + (COUNTIF(H35:L35,"Inventory Up S")*0.5) + (COUNTIF(H35:L35,"Inventory Up M")*1) + (COUNTIF(H35:L35,"Inventory Up L")*1.5) + (IF(E35=F35,1,0)) + (IF(F35=G35,1,0)) )</f>
        <v>3.5</v>
      </c>
      <c r="R35" s="4">
        <f t="shared" ref="R35:R65" si="9">IF(A35="","", (IF(N35="Main Skill Chance",2,0)) + (IF(O35="Main Skill Chance",-2,0)) + (IF(N35="EXP Gains",1,0)) + (IF(O35="EXP Gains",-1,0)) + (COUNTIF(H35:L35,"Skill Trigger S")*1) + (COUNTIF(H35:L35,"Skill Trigger M")*2) + (COUNTIF(H35:L35,"Skill Level Up S")*1) + (COUNTIF(H35:L35,"Skill Level Up M")*2) + (COUNTIF(H35:L35,"Energy Recovery Bonus")*1.5) + (COUNTIF(H35:L35,"Sleep EXP Bonus")*1) + (COUNTIF(H35:L35,"Research EXP Bonus")*1) )</f>
        <v>4</v>
      </c>
      <c r="S35" s="4" t="str">
        <f t="shared" ref="S35:S65" si="10">IF(A35="","", IF(AND(P35&lt;=1, Q35&lt;=1, R35&lt;=1), "Bench", IF(AND(P35&gt;=Q35, P35&gt;=R35), "Berry", IF(AND(Q35&gt;=P35, Q35&gt;=R35), "Ingredient", "Skill"))) )</f>
        <v>Skill</v>
      </c>
      <c r="T35" s="4">
        <f t="shared" si="0"/>
        <v>5</v>
      </c>
      <c r="U35" s="4" t="str">
        <f t="shared" ref="U35:U65" si="11">IF(A35="","", IF(T35&gt;=7, "⭐ Keep", IF(T35&gt;=5, "📈 Level Up", IF(T35&gt;=3, "🤔 Bench", "❌ Transfer"))) )</f>
        <v>📈 Level Up</v>
      </c>
      <c r="V35" s="4" t="str">
        <f t="shared" si="1"/>
        <v>Evolve → Lucario = sterke fighter; Perfecte nature voor Skill team!</v>
      </c>
    </row>
    <row r="36" spans="1:22" ht="15" customHeight="1">
      <c r="A36" s="2" t="s">
        <v>143</v>
      </c>
      <c r="B36" s="2">
        <v>4</v>
      </c>
      <c r="C36" s="2" t="s">
        <v>81</v>
      </c>
      <c r="D36" s="4" t="str">
        <f>IF(C36="","",VLOOKUP(C36,Referentie!$A$2:$B$19,2,0))</f>
        <v>Figy</v>
      </c>
      <c r="E36" s="7" t="s">
        <v>144</v>
      </c>
      <c r="F36" s="4" t="s">
        <v>144</v>
      </c>
      <c r="G36" s="4" t="s">
        <v>93</v>
      </c>
      <c r="H36" s="4" t="s">
        <v>60</v>
      </c>
      <c r="I36" s="4" t="s">
        <v>61</v>
      </c>
      <c r="J36" s="4" t="s">
        <v>57</v>
      </c>
      <c r="K36" s="4" t="s">
        <v>74</v>
      </c>
      <c r="L36" s="4" t="s">
        <v>58</v>
      </c>
      <c r="M36" s="4" t="s">
        <v>90</v>
      </c>
      <c r="N36" s="4" t="str">
        <f>IF(M36="","",VLOOKUP(M36,Referentie!$G$2:$I$26,2,0))</f>
        <v>EXP Gains</v>
      </c>
      <c r="O36" s="4" t="str">
        <f>IF(M36="","",VLOOKUP(M36,Referentie!$G$2:$I$26,3,0))</f>
        <v>Ingredient Finding</v>
      </c>
      <c r="P36" s="4">
        <f t="shared" si="7"/>
        <v>2</v>
      </c>
      <c r="Q36" s="4">
        <f t="shared" si="8"/>
        <v>3.5</v>
      </c>
      <c r="R36" s="4">
        <f t="shared" si="9"/>
        <v>2</v>
      </c>
      <c r="S36" s="4" t="str">
        <f t="shared" si="10"/>
        <v>Ingredient</v>
      </c>
      <c r="T36" s="4">
        <f t="shared" si="0"/>
        <v>3.5</v>
      </c>
      <c r="U36" s="4" t="str">
        <f t="shared" si="11"/>
        <v>🤔 Bench</v>
      </c>
      <c r="V36" s="4" t="str">
        <f t="shared" si="1"/>
        <v>Let op: Ingredient Finding NEGATIEF schaadt ingredient-prestatie</v>
      </c>
    </row>
    <row r="37" spans="1:22" ht="15" customHeight="1">
      <c r="A37" s="2" t="s">
        <v>116</v>
      </c>
      <c r="B37" s="2">
        <v>7</v>
      </c>
      <c r="C37" s="2" t="s">
        <v>64</v>
      </c>
      <c r="D37" s="4" t="str">
        <f>IF(C37="","",VLOOKUP(C37,Referentie!$A$2:$B$19,2,0))</f>
        <v>Oran</v>
      </c>
      <c r="E37" s="7" t="s">
        <v>66</v>
      </c>
      <c r="F37" s="4" t="s">
        <v>66</v>
      </c>
      <c r="G37" s="4" t="s">
        <v>55</v>
      </c>
      <c r="H37" s="4" t="s">
        <v>115</v>
      </c>
      <c r="I37" s="4" t="s">
        <v>67</v>
      </c>
      <c r="J37" s="4" t="s">
        <v>59</v>
      </c>
      <c r="K37" s="4" t="s">
        <v>82</v>
      </c>
      <c r="L37" s="4" t="s">
        <v>60</v>
      </c>
      <c r="M37" s="4" t="s">
        <v>75</v>
      </c>
      <c r="N37" s="4" t="str">
        <f>IF(M37="","",VLOOKUP(M37,Referentie!$G$2:$I$26,2,0))</f>
        <v>EXP Gains</v>
      </c>
      <c r="O37" s="4" t="str">
        <f>IF(M37="","",VLOOKUP(M37,Referentie!$G$2:$I$26,3,0))</f>
        <v>Main Skill Chance</v>
      </c>
      <c r="P37" s="4">
        <f t="shared" si="7"/>
        <v>3</v>
      </c>
      <c r="Q37" s="4">
        <f t="shared" si="8"/>
        <v>6.5</v>
      </c>
      <c r="R37" s="4">
        <f t="shared" si="9"/>
        <v>0.5</v>
      </c>
      <c r="S37" s="4" t="str">
        <f t="shared" si="10"/>
        <v>Ingredient</v>
      </c>
      <c r="T37" s="4">
        <f t="shared" si="0"/>
        <v>6.5</v>
      </c>
      <c r="U37" s="4" t="str">
        <f t="shared" si="11"/>
        <v>📈 Level Up</v>
      </c>
      <c r="V37" s="4" t="str">
        <f t="shared" si="1"/>
        <v/>
      </c>
    </row>
    <row r="38" spans="1:22" ht="15" customHeight="1">
      <c r="A38" s="2" t="s">
        <v>145</v>
      </c>
      <c r="B38" s="2">
        <v>15</v>
      </c>
      <c r="C38" s="2" t="s">
        <v>111</v>
      </c>
      <c r="D38" s="4" t="str">
        <f>IF(C38="","",VLOOKUP(C38,Referentie!$A$2:$B$19,2,0))</f>
        <v>Durin</v>
      </c>
      <c r="E38" s="7" t="s">
        <v>72</v>
      </c>
      <c r="F38" s="4" t="s">
        <v>144</v>
      </c>
      <c r="G38" s="4" t="s">
        <v>120</v>
      </c>
      <c r="H38" s="4" t="s">
        <v>86</v>
      </c>
      <c r="I38" s="4" t="s">
        <v>74</v>
      </c>
      <c r="J38" s="4" t="s">
        <v>98</v>
      </c>
      <c r="K38" s="4" t="s">
        <v>61</v>
      </c>
      <c r="L38" s="4" t="s">
        <v>59</v>
      </c>
      <c r="M38" s="4" t="s">
        <v>142</v>
      </c>
      <c r="N38" s="4" t="str">
        <f>IF(M38="","",VLOOKUP(M38,Referentie!$G$2:$I$26,2,0))</f>
        <v>Main Skill Chance</v>
      </c>
      <c r="O38" s="4" t="str">
        <f>IF(M38="","",VLOOKUP(M38,Referentie!$G$2:$I$26,3,0))</f>
        <v>EXP Gains</v>
      </c>
      <c r="P38" s="4">
        <f t="shared" si="7"/>
        <v>0</v>
      </c>
      <c r="Q38" s="4">
        <f t="shared" si="8"/>
        <v>0</v>
      </c>
      <c r="R38" s="4">
        <f t="shared" si="9"/>
        <v>4</v>
      </c>
      <c r="S38" s="4" t="str">
        <f t="shared" si="10"/>
        <v>Skill</v>
      </c>
      <c r="T38" s="4">
        <f t="shared" si="0"/>
        <v>5.5</v>
      </c>
      <c r="U38" s="4" t="str">
        <f t="shared" si="11"/>
        <v>📈 Level Up</v>
      </c>
      <c r="V38" s="4" t="str">
        <f t="shared" si="1"/>
        <v>Evolve → Venusaur = 2x ingrediënten specialist; Perfecte nature voor Skill team!</v>
      </c>
    </row>
    <row r="39" spans="1:22" ht="15" customHeight="1">
      <c r="A39" s="2" t="s">
        <v>146</v>
      </c>
      <c r="B39" s="2">
        <v>12</v>
      </c>
      <c r="C39" s="2" t="s">
        <v>81</v>
      </c>
      <c r="D39" s="4" t="str">
        <f>IF(C39="","",VLOOKUP(C39,Referentie!$A$2:$B$19,2,0))</f>
        <v>Figy</v>
      </c>
      <c r="E39" s="7" t="s">
        <v>128</v>
      </c>
      <c r="F39" s="4" t="s">
        <v>65</v>
      </c>
      <c r="G39" s="4" t="s">
        <v>65</v>
      </c>
      <c r="H39" s="4" t="s">
        <v>68</v>
      </c>
      <c r="I39" s="4" t="s">
        <v>58</v>
      </c>
      <c r="J39" s="4" t="s">
        <v>59</v>
      </c>
      <c r="K39" s="4" t="s">
        <v>104</v>
      </c>
      <c r="L39" s="4" t="s">
        <v>60</v>
      </c>
      <c r="M39" s="4" t="s">
        <v>84</v>
      </c>
      <c r="N39" s="4" t="str">
        <f>IF(M39="","",VLOOKUP(M39,Referentie!$G$2:$I$26,2,0))</f>
        <v>Speed of Help</v>
      </c>
      <c r="O39" s="4" t="str">
        <f>IF(M39="","",VLOOKUP(M39,Referentie!$G$2:$I$26,3,0))</f>
        <v>Main Skill Chance</v>
      </c>
      <c r="P39" s="4">
        <f t="shared" si="7"/>
        <v>2</v>
      </c>
      <c r="Q39" s="4">
        <f t="shared" si="8"/>
        <v>5</v>
      </c>
      <c r="R39" s="4">
        <f t="shared" si="9"/>
        <v>0</v>
      </c>
      <c r="S39" s="4" t="str">
        <f t="shared" si="10"/>
        <v>Ingredient</v>
      </c>
      <c r="T39" s="4">
        <f t="shared" si="0"/>
        <v>6.5</v>
      </c>
      <c r="U39" s="4" t="str">
        <f t="shared" si="11"/>
        <v>📈 Level Up</v>
      </c>
      <c r="V39" s="4" t="str">
        <f t="shared" si="1"/>
        <v>Perfecte nature voor Ingredient team!</v>
      </c>
    </row>
    <row r="40" spans="1:22" ht="15" customHeight="1">
      <c r="A40" s="2" t="s">
        <v>147</v>
      </c>
      <c r="B40" s="2">
        <v>13</v>
      </c>
      <c r="C40" s="2" t="s">
        <v>54</v>
      </c>
      <c r="D40" s="4" t="str">
        <f>IF(C40="","",VLOOKUP(C40,Referentie!$A$2:$B$19,2,0))</f>
        <v>Grepa</v>
      </c>
      <c r="E40" s="7" t="s">
        <v>73</v>
      </c>
      <c r="F40" s="4" t="s">
        <v>114</v>
      </c>
      <c r="G40" s="4" t="s">
        <v>73</v>
      </c>
      <c r="H40" s="4" t="s">
        <v>67</v>
      </c>
      <c r="I40" s="4" t="s">
        <v>83</v>
      </c>
      <c r="J40" s="4" t="s">
        <v>68</v>
      </c>
      <c r="K40" s="4" t="s">
        <v>60</v>
      </c>
      <c r="L40" s="4" t="s">
        <v>58</v>
      </c>
      <c r="M40" s="4" t="s">
        <v>69</v>
      </c>
      <c r="N40" s="4" t="str">
        <f>IF(M40="","",VLOOKUP(M40,Referentie!$G$2:$I$26,2,0))</f>
        <v>Neutral</v>
      </c>
      <c r="O40" s="4" t="str">
        <f>IF(M40="","",VLOOKUP(M40,Referentie!$G$2:$I$26,3,0))</f>
        <v>Neutral</v>
      </c>
      <c r="P40" s="4">
        <f t="shared" si="7"/>
        <v>0</v>
      </c>
      <c r="Q40" s="4">
        <f t="shared" si="8"/>
        <v>4.5</v>
      </c>
      <c r="R40" s="4">
        <f t="shared" si="9"/>
        <v>4</v>
      </c>
      <c r="S40" s="4" t="str">
        <f t="shared" si="10"/>
        <v>Ingredient</v>
      </c>
      <c r="T40" s="4">
        <f t="shared" si="0"/>
        <v>5</v>
      </c>
      <c r="U40" s="4" t="str">
        <f t="shared" si="11"/>
        <v>📈 Level Up</v>
      </c>
      <c r="V40" s="4" t="str">
        <f t="shared" si="1"/>
        <v>Evolve → Magnezone = sterke skill helper; Neutrale nature = ok maar niet ideaal</v>
      </c>
    </row>
    <row r="41" spans="1:22" ht="15" customHeight="1">
      <c r="A41" s="2" t="s">
        <v>116</v>
      </c>
      <c r="B41" s="2">
        <v>5</v>
      </c>
      <c r="C41" s="2" t="s">
        <v>64</v>
      </c>
      <c r="D41" s="4" t="str">
        <f>IF(C41="","",VLOOKUP(C41,Referentie!$A$2:$B$19,2,0))</f>
        <v>Oran</v>
      </c>
      <c r="E41" s="7" t="s">
        <v>66</v>
      </c>
      <c r="F41" s="4" t="s">
        <v>55</v>
      </c>
      <c r="G41" s="4" t="s">
        <v>77</v>
      </c>
      <c r="H41" s="4" t="s">
        <v>58</v>
      </c>
      <c r="I41" s="4" t="s">
        <v>82</v>
      </c>
      <c r="J41" s="4" t="s">
        <v>68</v>
      </c>
      <c r="K41" s="4" t="s">
        <v>86</v>
      </c>
      <c r="L41" s="4" t="s">
        <v>57</v>
      </c>
      <c r="M41" s="4" t="s">
        <v>84</v>
      </c>
      <c r="N41" s="4" t="str">
        <f>IF(M41="","",VLOOKUP(M41,Referentie!$G$2:$I$26,2,0))</f>
        <v>Speed of Help</v>
      </c>
      <c r="O41" s="4" t="str">
        <f>IF(M41="","",VLOOKUP(M41,Referentie!$G$2:$I$26,3,0))</f>
        <v>Main Skill Chance</v>
      </c>
      <c r="P41" s="4">
        <f t="shared" si="7"/>
        <v>4</v>
      </c>
      <c r="Q41" s="4">
        <f t="shared" si="8"/>
        <v>1.5</v>
      </c>
      <c r="R41" s="4">
        <f t="shared" si="9"/>
        <v>1</v>
      </c>
      <c r="S41" s="4" t="str">
        <f t="shared" si="10"/>
        <v>Berry</v>
      </c>
      <c r="T41" s="4">
        <f t="shared" si="0"/>
        <v>5</v>
      </c>
      <c r="U41" s="4" t="str">
        <f t="shared" si="11"/>
        <v>📈 Level Up</v>
      </c>
      <c r="V41" s="4" t="str">
        <f t="shared" si="1"/>
        <v>Perfecte nature voor Berry team!</v>
      </c>
    </row>
    <row r="42" spans="1:22" ht="15" customHeight="1">
      <c r="A42" s="2" t="s">
        <v>130</v>
      </c>
      <c r="B42" s="2">
        <v>5</v>
      </c>
      <c r="C42" s="2" t="s">
        <v>131</v>
      </c>
      <c r="D42" s="4" t="str">
        <f>IF(C42="","",VLOOKUP(C42,Referentie!$A$2:$B$19,2,0))</f>
        <v>Mago</v>
      </c>
      <c r="E42" s="7" t="s">
        <v>55</v>
      </c>
      <c r="F42" s="4" t="s">
        <v>103</v>
      </c>
      <c r="G42" s="4" t="s">
        <v>73</v>
      </c>
      <c r="H42" s="4" t="s">
        <v>57</v>
      </c>
      <c r="I42" s="4" t="s">
        <v>82</v>
      </c>
      <c r="J42" s="4" t="s">
        <v>58</v>
      </c>
      <c r="K42" s="4" t="s">
        <v>60</v>
      </c>
      <c r="L42" s="4" t="s">
        <v>61</v>
      </c>
      <c r="M42" s="4" t="s">
        <v>79</v>
      </c>
      <c r="N42" s="4" t="str">
        <f>IF(M42="","",VLOOKUP(M42,Referentie!$G$2:$I$26,2,0))</f>
        <v>Energy Recovery</v>
      </c>
      <c r="O42" s="4" t="str">
        <f>IF(M42="","",VLOOKUP(M42,Referentie!$G$2:$I$26,3,0))</f>
        <v>Speed of Help</v>
      </c>
      <c r="P42" s="4">
        <f t="shared" si="7"/>
        <v>0</v>
      </c>
      <c r="Q42" s="4">
        <f t="shared" si="8"/>
        <v>3.5</v>
      </c>
      <c r="R42" s="4">
        <f t="shared" si="9"/>
        <v>1</v>
      </c>
      <c r="S42" s="4" t="str">
        <f t="shared" si="10"/>
        <v>Ingredient</v>
      </c>
      <c r="T42" s="4">
        <f t="shared" si="0"/>
        <v>3.5</v>
      </c>
      <c r="U42" s="4" t="str">
        <f t="shared" si="11"/>
        <v>🤔 Bench</v>
      </c>
      <c r="V42" s="4" t="str">
        <f t="shared" si="1"/>
        <v/>
      </c>
    </row>
    <row r="43" spans="1:22" ht="15" customHeight="1">
      <c r="A43" s="2" t="s">
        <v>148</v>
      </c>
      <c r="B43" s="2">
        <v>7</v>
      </c>
      <c r="C43" s="2" t="s">
        <v>113</v>
      </c>
      <c r="D43" s="4" t="str">
        <f>IF(C43="","",VLOOKUP(C43,Referentie!$A$2:$B$19,2,0))</f>
        <v>Leppa</v>
      </c>
      <c r="E43" s="7" t="s">
        <v>77</v>
      </c>
      <c r="F43" s="4" t="s">
        <v>56</v>
      </c>
      <c r="G43" s="4" t="s">
        <v>56</v>
      </c>
      <c r="H43" s="4" t="s">
        <v>74</v>
      </c>
      <c r="I43" s="4" t="s">
        <v>61</v>
      </c>
      <c r="J43" s="4" t="s">
        <v>82</v>
      </c>
      <c r="K43" s="4" t="s">
        <v>58</v>
      </c>
      <c r="L43" s="4" t="s">
        <v>68</v>
      </c>
      <c r="M43" s="4" t="s">
        <v>125</v>
      </c>
      <c r="N43" s="4" t="str">
        <f>IF(M43="","",VLOOKUP(M43,Referentie!$G$2:$I$26,2,0))</f>
        <v>EXP Gains</v>
      </c>
      <c r="O43" s="4" t="str">
        <f>IF(M43="","",VLOOKUP(M43,Referentie!$G$2:$I$26,3,0))</f>
        <v>Speed of Help</v>
      </c>
      <c r="P43" s="4">
        <f t="shared" si="7"/>
        <v>2</v>
      </c>
      <c r="Q43" s="4">
        <f t="shared" si="8"/>
        <v>3</v>
      </c>
      <c r="R43" s="4">
        <f t="shared" si="9"/>
        <v>4</v>
      </c>
      <c r="S43" s="4" t="str">
        <f t="shared" si="10"/>
        <v>Skill</v>
      </c>
      <c r="T43" s="4">
        <f t="shared" si="0"/>
        <v>4</v>
      </c>
      <c r="U43" s="4" t="str">
        <f t="shared" si="11"/>
        <v>🤔 Bench</v>
      </c>
      <c r="V43" s="4" t="str">
        <f t="shared" si="1"/>
        <v>Evolve → Charizard = snelle berry+ingredient verzamelaar</v>
      </c>
    </row>
    <row r="44" spans="1:22" ht="15" customHeight="1">
      <c r="A44" s="2" t="s">
        <v>149</v>
      </c>
      <c r="B44" s="2">
        <v>8</v>
      </c>
      <c r="C44" s="2" t="s">
        <v>96</v>
      </c>
      <c r="D44" s="4" t="str">
        <f>IF(C44="","",VLOOKUP(C44,Referentie!$A$2:$B$19,2,0))</f>
        <v>Persim</v>
      </c>
      <c r="E44" s="7" t="s">
        <v>65</v>
      </c>
      <c r="F44" s="4" t="s">
        <v>66</v>
      </c>
      <c r="G44" s="4" t="s">
        <v>66</v>
      </c>
      <c r="H44" s="4" t="s">
        <v>58</v>
      </c>
      <c r="I44" s="4" t="s">
        <v>61</v>
      </c>
      <c r="J44" s="4" t="s">
        <v>78</v>
      </c>
      <c r="K44" s="4" t="s">
        <v>99</v>
      </c>
      <c r="L44" s="4" t="s">
        <v>74</v>
      </c>
      <c r="M44" s="4" t="s">
        <v>150</v>
      </c>
      <c r="N44" s="4" t="str">
        <f>IF(M44="","",VLOOKUP(M44,Referentie!$G$2:$I$26,2,0))</f>
        <v>Neutral</v>
      </c>
      <c r="O44" s="4" t="str">
        <f>IF(M44="","",VLOOKUP(M44,Referentie!$G$2:$I$26,3,0))</f>
        <v>Neutral</v>
      </c>
      <c r="P44" s="4">
        <f t="shared" si="7"/>
        <v>3</v>
      </c>
      <c r="Q44" s="4">
        <f t="shared" si="8"/>
        <v>2</v>
      </c>
      <c r="R44" s="4">
        <f t="shared" si="9"/>
        <v>2</v>
      </c>
      <c r="S44" s="4" t="str">
        <f t="shared" si="10"/>
        <v>Berry</v>
      </c>
      <c r="T44" s="4">
        <f t="shared" si="0"/>
        <v>3</v>
      </c>
      <c r="U44" s="4" t="str">
        <f t="shared" si="11"/>
        <v>🤔 Bench</v>
      </c>
      <c r="V44" s="4" t="str">
        <f t="shared" si="1"/>
        <v>Sylveon (skill) of Jolteon (berry) = top evoluties; Neutrale nature = ok maar niet ideaal</v>
      </c>
    </row>
    <row r="45" spans="1:22" ht="15" customHeight="1">
      <c r="A45" s="2" t="s">
        <v>70</v>
      </c>
      <c r="B45" s="2">
        <v>6</v>
      </c>
      <c r="C45" s="2" t="s">
        <v>71</v>
      </c>
      <c r="D45" s="4" t="str">
        <f>IF(C45="","",VLOOKUP(C45,Referentie!$A$2:$B$19,2,0))</f>
        <v>Pecha</v>
      </c>
      <c r="E45" s="7" t="s">
        <v>72</v>
      </c>
      <c r="F45" s="4" t="s">
        <v>73</v>
      </c>
      <c r="G45" s="4" t="s">
        <v>72</v>
      </c>
      <c r="H45" s="4" t="s">
        <v>59</v>
      </c>
      <c r="I45" s="4" t="s">
        <v>57</v>
      </c>
      <c r="J45" s="4" t="s">
        <v>58</v>
      </c>
      <c r="K45" s="4" t="s">
        <v>82</v>
      </c>
      <c r="L45" s="4" t="s">
        <v>67</v>
      </c>
      <c r="M45" s="4" t="s">
        <v>151</v>
      </c>
      <c r="N45" s="4" t="str">
        <f>IF(M45="","",VLOOKUP(M45,Referentie!$G$2:$I$26,2,0))</f>
        <v>Speed of Help</v>
      </c>
      <c r="O45" s="4" t="str">
        <f>IF(M45="","",VLOOKUP(M45,Referentie!$G$2:$I$26,3,0))</f>
        <v>EXP Gains</v>
      </c>
      <c r="P45" s="4">
        <f t="shared" si="7"/>
        <v>3</v>
      </c>
      <c r="Q45" s="4">
        <f t="shared" si="8"/>
        <v>3</v>
      </c>
      <c r="R45" s="4">
        <f t="shared" si="9"/>
        <v>-1</v>
      </c>
      <c r="S45" s="4" t="str">
        <f t="shared" si="10"/>
        <v>Berry</v>
      </c>
      <c r="T45" s="4">
        <f t="shared" si="0"/>
        <v>4</v>
      </c>
      <c r="U45" s="4" t="str">
        <f t="shared" si="11"/>
        <v>🤔 Bench</v>
      </c>
      <c r="V45" s="4" t="str">
        <f t="shared" si="1"/>
        <v>Evolve → Wigglytuff = Energy for Everyone S (top skill!); Perfecte nature voor Berry team!</v>
      </c>
    </row>
    <row r="46" spans="1:22" ht="15" customHeight="1">
      <c r="A46" s="2" t="s">
        <v>152</v>
      </c>
      <c r="B46" s="2">
        <v>7</v>
      </c>
      <c r="C46" s="2" t="s">
        <v>133</v>
      </c>
      <c r="D46" s="4" t="str">
        <f>IF(C46="","",VLOOKUP(C46,Referentie!$A$2:$B$19,2,0))</f>
        <v>Sitrus</v>
      </c>
      <c r="E46" s="7" t="s">
        <v>144</v>
      </c>
      <c r="F46" s="4" t="s">
        <v>97</v>
      </c>
      <c r="G46" s="4" t="s">
        <v>97</v>
      </c>
      <c r="H46" s="4" t="s">
        <v>74</v>
      </c>
      <c r="I46" s="4" t="s">
        <v>58</v>
      </c>
      <c r="J46" s="4" t="s">
        <v>59</v>
      </c>
      <c r="K46" s="4" t="s">
        <v>68</v>
      </c>
      <c r="L46" s="4" t="s">
        <v>83</v>
      </c>
      <c r="M46" s="4" t="s">
        <v>122</v>
      </c>
      <c r="N46" s="4" t="str">
        <f>IF(M46="","",VLOOKUP(M46,Referentie!$G$2:$I$26,2,0))</f>
        <v>Speed of Help</v>
      </c>
      <c r="O46" s="4" t="str">
        <f>IF(M46="","",VLOOKUP(M46,Referentie!$G$2:$I$26,3,0))</f>
        <v>Ingredient Finding</v>
      </c>
      <c r="P46" s="4">
        <f t="shared" si="7"/>
        <v>3</v>
      </c>
      <c r="Q46" s="4">
        <f t="shared" si="8"/>
        <v>1</v>
      </c>
      <c r="R46" s="4">
        <f t="shared" si="9"/>
        <v>4</v>
      </c>
      <c r="S46" s="4" t="str">
        <f t="shared" si="10"/>
        <v>Skill</v>
      </c>
      <c r="T46" s="4">
        <f t="shared" si="0"/>
        <v>5</v>
      </c>
      <c r="U46" s="4" t="str">
        <f t="shared" si="11"/>
        <v>📈 Level Up</v>
      </c>
      <c r="V46" s="4" t="str">
        <f t="shared" si="1"/>
        <v/>
      </c>
    </row>
    <row r="47" spans="1:22" ht="15" customHeight="1">
      <c r="A47" s="2" t="s">
        <v>129</v>
      </c>
      <c r="B47" s="2">
        <v>6</v>
      </c>
      <c r="C47" s="2" t="s">
        <v>54</v>
      </c>
      <c r="D47" s="4" t="str">
        <f>IF(C47="","",VLOOKUP(C47,Referentie!$A$2:$B$19,2,0))</f>
        <v>Grepa</v>
      </c>
      <c r="E47" s="7" t="s">
        <v>114</v>
      </c>
      <c r="F47" s="4" t="s">
        <v>108</v>
      </c>
      <c r="G47" s="4" t="s">
        <v>108</v>
      </c>
      <c r="H47" s="4" t="s">
        <v>68</v>
      </c>
      <c r="I47" s="4" t="s">
        <v>57</v>
      </c>
      <c r="J47" s="4" t="s">
        <v>61</v>
      </c>
      <c r="K47" s="4" t="s">
        <v>59</v>
      </c>
      <c r="L47" s="4" t="s">
        <v>74</v>
      </c>
      <c r="M47" s="4" t="s">
        <v>153</v>
      </c>
      <c r="N47" s="4" t="str">
        <f>IF(M47="","",VLOOKUP(M47,Referentie!$G$2:$I$26,2,0))</f>
        <v>Speed of Help</v>
      </c>
      <c r="O47" s="4" t="str">
        <f>IF(M47="","",VLOOKUP(M47,Referentie!$G$2:$I$26,3,0))</f>
        <v>Energy Recovery</v>
      </c>
      <c r="P47" s="4">
        <f t="shared" si="7"/>
        <v>3</v>
      </c>
      <c r="Q47" s="4">
        <f t="shared" si="8"/>
        <v>2.5</v>
      </c>
      <c r="R47" s="4">
        <f t="shared" si="9"/>
        <v>3</v>
      </c>
      <c r="S47" s="4" t="str">
        <f t="shared" si="10"/>
        <v>Berry</v>
      </c>
      <c r="T47" s="4">
        <f t="shared" si="0"/>
        <v>4</v>
      </c>
      <c r="U47" s="4" t="str">
        <f t="shared" si="11"/>
        <v>🤔 Bench</v>
      </c>
      <c r="V47" s="4" t="str">
        <f t="shared" si="1"/>
        <v>Evolve → Ampharos = hoge frequentie + waardevolle ingrediënten; Perfecte nature voor Berry team!</v>
      </c>
    </row>
    <row r="48" spans="1:22" ht="15" customHeight="1">
      <c r="A48" s="2" t="s">
        <v>154</v>
      </c>
      <c r="B48" s="2">
        <v>18</v>
      </c>
      <c r="C48" s="2" t="s">
        <v>92</v>
      </c>
      <c r="D48" s="4" t="str">
        <f>IF(C48="","",VLOOKUP(C48,Referentie!$A$2:$B$19,2,0))</f>
        <v>Yache</v>
      </c>
      <c r="E48" s="7" t="s">
        <v>144</v>
      </c>
      <c r="F48" s="4" t="s">
        <v>155</v>
      </c>
      <c r="G48" s="4" t="s">
        <v>155</v>
      </c>
      <c r="H48" s="4" t="s">
        <v>99</v>
      </c>
      <c r="I48" s="4" t="s">
        <v>86</v>
      </c>
      <c r="J48" s="4" t="s">
        <v>67</v>
      </c>
      <c r="K48" s="4" t="s">
        <v>74</v>
      </c>
      <c r="L48" s="4" t="s">
        <v>61</v>
      </c>
      <c r="M48" s="4" t="s">
        <v>156</v>
      </c>
      <c r="N48" s="4" t="str">
        <f>IF(M48="","",VLOOKUP(M48,Referentie!$G$2:$I$26,2,0))</f>
        <v>Neutral</v>
      </c>
      <c r="O48" s="4" t="str">
        <f>IF(M48="","",VLOOKUP(M48,Referentie!$G$2:$I$26,3,0))</f>
        <v>Neutral</v>
      </c>
      <c r="P48" s="4">
        <f t="shared" si="7"/>
        <v>1</v>
      </c>
      <c r="Q48" s="4">
        <f t="shared" si="8"/>
        <v>2.5</v>
      </c>
      <c r="R48" s="4">
        <f t="shared" si="9"/>
        <v>3</v>
      </c>
      <c r="S48" s="4" t="str">
        <f t="shared" si="10"/>
        <v>Skill</v>
      </c>
      <c r="T48" s="4">
        <f t="shared" si="0"/>
        <v>3.5</v>
      </c>
      <c r="U48" s="4" t="str">
        <f t="shared" si="11"/>
        <v>🤔 Bench</v>
      </c>
      <c r="V48" s="4" t="str">
        <f t="shared" si="1"/>
        <v>Neutrale nature = ok maar niet ideaal</v>
      </c>
    </row>
    <row r="49" spans="1:22" ht="15" customHeight="1">
      <c r="A49" s="2" t="s">
        <v>88</v>
      </c>
      <c r="B49" s="2">
        <v>6</v>
      </c>
      <c r="C49" s="2" t="s">
        <v>64</v>
      </c>
      <c r="D49" s="4" t="str">
        <f>IF(C49="","",VLOOKUP(C49,Referentie!$A$2:$B$19,2,0))</f>
        <v>Oran</v>
      </c>
      <c r="E49" s="7" t="s">
        <v>66</v>
      </c>
      <c r="F49" s="4" t="s">
        <v>89</v>
      </c>
      <c r="G49" s="4" t="s">
        <v>144</v>
      </c>
      <c r="H49" s="4" t="s">
        <v>61</v>
      </c>
      <c r="I49" s="4" t="s">
        <v>58</v>
      </c>
      <c r="J49" s="4" t="s">
        <v>57</v>
      </c>
      <c r="K49" s="4" t="s">
        <v>59</v>
      </c>
      <c r="L49" s="4" t="s">
        <v>74</v>
      </c>
      <c r="M49" s="4" t="s">
        <v>69</v>
      </c>
      <c r="N49" s="4" t="str">
        <f>IF(M49="","",VLOOKUP(M49,Referentie!$G$2:$I$26,2,0))</f>
        <v>Neutral</v>
      </c>
      <c r="O49" s="4" t="str">
        <f>IF(M49="","",VLOOKUP(M49,Referentie!$G$2:$I$26,3,0))</f>
        <v>Neutral</v>
      </c>
      <c r="P49" s="4">
        <f t="shared" si="7"/>
        <v>1</v>
      </c>
      <c r="Q49" s="4">
        <f t="shared" si="8"/>
        <v>2.5</v>
      </c>
      <c r="R49" s="4">
        <f t="shared" si="9"/>
        <v>1</v>
      </c>
      <c r="S49" s="4" t="str">
        <f t="shared" si="10"/>
        <v>Ingredient</v>
      </c>
      <c r="T49" s="4">
        <f t="shared" si="0"/>
        <v>2.5</v>
      </c>
      <c r="U49" s="4" t="str">
        <f t="shared" si="11"/>
        <v>❌ Transfer</v>
      </c>
      <c r="V49" s="4" t="str">
        <f t="shared" si="1"/>
        <v>Neutrale nature = ok maar niet ideaal</v>
      </c>
    </row>
    <row r="50" spans="1:22" ht="15" customHeight="1">
      <c r="A50" s="2" t="s">
        <v>154</v>
      </c>
      <c r="B50" s="2">
        <v>26</v>
      </c>
      <c r="C50" s="2" t="s">
        <v>92</v>
      </c>
      <c r="D50" s="4" t="str">
        <f>IF(C50="","",VLOOKUP(C50,Referentie!$A$2:$B$19,2,0))</f>
        <v>Yache</v>
      </c>
      <c r="E50" s="7" t="s">
        <v>144</v>
      </c>
      <c r="F50" s="4" t="s">
        <v>155</v>
      </c>
      <c r="G50" s="4" t="s">
        <v>155</v>
      </c>
      <c r="H50" s="4" t="s">
        <v>99</v>
      </c>
      <c r="I50" s="4" t="s">
        <v>60</v>
      </c>
      <c r="J50" s="4" t="s">
        <v>98</v>
      </c>
      <c r="K50" s="4" t="s">
        <v>58</v>
      </c>
      <c r="L50" s="4" t="s">
        <v>115</v>
      </c>
      <c r="M50" s="4" t="s">
        <v>84</v>
      </c>
      <c r="N50" s="4" t="str">
        <f>IF(M50="","",VLOOKUP(M50,Referentie!$G$2:$I$26,2,0))</f>
        <v>Speed of Help</v>
      </c>
      <c r="O50" s="4" t="str">
        <f>IF(M50="","",VLOOKUP(M50,Referentie!$G$2:$I$26,3,0))</f>
        <v>Main Skill Chance</v>
      </c>
      <c r="P50" s="4">
        <f t="shared" si="7"/>
        <v>2</v>
      </c>
      <c r="Q50" s="4">
        <f t="shared" si="8"/>
        <v>4</v>
      </c>
      <c r="R50" s="4">
        <f t="shared" si="9"/>
        <v>1.5</v>
      </c>
      <c r="S50" s="4" t="str">
        <f t="shared" si="10"/>
        <v>Ingredient</v>
      </c>
      <c r="T50" s="4">
        <f t="shared" si="0"/>
        <v>5.5</v>
      </c>
      <c r="U50" s="4" t="str">
        <f t="shared" si="11"/>
        <v>📈 Level Up</v>
      </c>
      <c r="V50" s="4" t="str">
        <f t="shared" si="1"/>
        <v>Perfecte nature voor Ingredient team!</v>
      </c>
    </row>
    <row r="51" spans="1:22" ht="15" customHeight="1">
      <c r="A51" s="2" t="s">
        <v>145</v>
      </c>
      <c r="B51" s="2">
        <v>24</v>
      </c>
      <c r="C51" s="2" t="s">
        <v>111</v>
      </c>
      <c r="D51" s="4" t="str">
        <f>IF(C51="","",VLOOKUP(C51,Referentie!$A$2:$B$19,2,0))</f>
        <v>Durin</v>
      </c>
      <c r="E51" s="7" t="s">
        <v>72</v>
      </c>
      <c r="F51" s="4" t="s">
        <v>72</v>
      </c>
      <c r="G51" s="4" t="s">
        <v>144</v>
      </c>
      <c r="H51" s="4" t="s">
        <v>74</v>
      </c>
      <c r="I51" s="4" t="s">
        <v>82</v>
      </c>
      <c r="J51" s="4" t="s">
        <v>104</v>
      </c>
      <c r="K51" s="4" t="s">
        <v>67</v>
      </c>
      <c r="L51" s="4" t="s">
        <v>57</v>
      </c>
      <c r="M51" s="4" t="s">
        <v>100</v>
      </c>
      <c r="N51" s="4" t="str">
        <f>IF(M51="","",VLOOKUP(M51,Referentie!$G$2:$I$26,2,0))</f>
        <v>Ingredient Finding</v>
      </c>
      <c r="O51" s="4" t="str">
        <f>IF(M51="","",VLOOKUP(M51,Referentie!$G$2:$I$26,3,0))</f>
        <v>Energy Recovery</v>
      </c>
      <c r="P51" s="4">
        <f t="shared" si="7"/>
        <v>3</v>
      </c>
      <c r="Q51" s="4">
        <f t="shared" si="8"/>
        <v>5</v>
      </c>
      <c r="R51" s="4">
        <f t="shared" si="9"/>
        <v>0</v>
      </c>
      <c r="S51" s="4" t="str">
        <f t="shared" si="10"/>
        <v>Ingredient</v>
      </c>
      <c r="T51" s="4">
        <f t="shared" si="0"/>
        <v>6.5</v>
      </c>
      <c r="U51" s="4" t="str">
        <f t="shared" si="11"/>
        <v>📈 Level Up</v>
      </c>
      <c r="V51" s="4" t="str">
        <f t="shared" si="1"/>
        <v>Evolve → Venusaur = 2x ingrediënten specialist; Perfecte nature voor Ingredient team!</v>
      </c>
    </row>
    <row r="52" spans="1:22" ht="15" customHeight="1">
      <c r="A52" s="2" t="s">
        <v>273</v>
      </c>
      <c r="B52" s="2">
        <v>10</v>
      </c>
      <c r="C52" s="2" t="s">
        <v>131</v>
      </c>
      <c r="D52" s="4" t="str">
        <f>IF(C52="","",VLOOKUP(C52,Referentie!$A$2:$B$19,2,0))</f>
        <v>Mago</v>
      </c>
      <c r="E52" s="7" t="s">
        <v>55</v>
      </c>
      <c r="F52" s="4" t="s">
        <v>55</v>
      </c>
      <c r="G52" s="4" t="s">
        <v>73</v>
      </c>
      <c r="H52" s="4" t="s">
        <v>61</v>
      </c>
      <c r="I52" s="4" t="s">
        <v>74</v>
      </c>
      <c r="J52" s="4" t="s">
        <v>58</v>
      </c>
      <c r="K52" s="4" t="s">
        <v>57</v>
      </c>
      <c r="L52" s="4" t="s">
        <v>83</v>
      </c>
      <c r="M52" s="4" t="s">
        <v>134</v>
      </c>
      <c r="N52" s="4" t="str">
        <f>IF(M52="","",VLOOKUP(M52,Referentie!$G$2:$I$26,2,0))</f>
        <v>Neutral</v>
      </c>
      <c r="O52" s="4" t="str">
        <f>IF(M52="","",VLOOKUP(M52,Referentie!$G$2:$I$26,3,0))</f>
        <v>Neutral</v>
      </c>
      <c r="P52" s="4">
        <f t="shared" si="7"/>
        <v>1</v>
      </c>
      <c r="Q52" s="4">
        <f t="shared" si="8"/>
        <v>2.5</v>
      </c>
      <c r="R52" s="4">
        <f t="shared" si="9"/>
        <v>3</v>
      </c>
      <c r="S52" s="4" t="str">
        <f t="shared" si="10"/>
        <v>Skill</v>
      </c>
      <c r="T52" s="4">
        <f t="shared" si="0"/>
        <v>3.5</v>
      </c>
      <c r="U52" s="4" t="str">
        <f t="shared" si="11"/>
        <v>🤔 Bench</v>
      </c>
      <c r="V52" s="4" t="str">
        <f t="shared" si="1"/>
        <v>Neutrale nature = ok maar niet ideaal</v>
      </c>
    </row>
    <row r="53" spans="1:22" ht="15" customHeight="1">
      <c r="A53" s="68" t="s">
        <v>95</v>
      </c>
      <c r="B53" s="2">
        <v>8</v>
      </c>
      <c r="C53" s="2" t="s">
        <v>96</v>
      </c>
      <c r="D53" s="4" t="str">
        <f>IF(C53="","",VLOOKUP(C53,Referentie!$A$2:$B$19,2,0))</f>
        <v>Persim</v>
      </c>
      <c r="E53" s="7" t="s">
        <v>55</v>
      </c>
      <c r="F53" s="4" t="s">
        <v>55</v>
      </c>
      <c r="G53" s="4" t="s">
        <v>55</v>
      </c>
      <c r="H53" s="4" t="s">
        <v>82</v>
      </c>
      <c r="I53" s="4" t="s">
        <v>74</v>
      </c>
      <c r="J53" s="4" t="s">
        <v>60</v>
      </c>
      <c r="K53" s="4" t="s">
        <v>67</v>
      </c>
      <c r="L53" s="4" t="s">
        <v>59</v>
      </c>
      <c r="M53" s="4" t="s">
        <v>75</v>
      </c>
      <c r="N53" s="4" t="str">
        <f>IF(M53="","",VLOOKUP(M53,Referentie!$G$2:$I$26,2,0))</f>
        <v>EXP Gains</v>
      </c>
      <c r="O53" s="4" t="str">
        <f>IF(M53="","",VLOOKUP(M53,Referentie!$G$2:$I$26,3,0))</f>
        <v>Main Skill Chance</v>
      </c>
      <c r="P53" s="4">
        <f t="shared" si="7"/>
        <v>4</v>
      </c>
      <c r="Q53" s="4">
        <f t="shared" si="8"/>
        <v>7.5</v>
      </c>
      <c r="R53" s="4">
        <f t="shared" si="9"/>
        <v>-1</v>
      </c>
      <c r="S53" s="4" t="str">
        <f t="shared" si="10"/>
        <v>Ingredient</v>
      </c>
      <c r="T53" s="4">
        <f t="shared" si="0"/>
        <v>7.5</v>
      </c>
      <c r="U53" s="4" t="str">
        <f t="shared" si="11"/>
        <v>⭐ Keep</v>
      </c>
      <c r="V53" s="4" t="str">
        <f t="shared" si="1"/>
        <v/>
      </c>
    </row>
    <row r="54" spans="1:22" ht="15" customHeight="1">
      <c r="A54" s="2" t="s">
        <v>110</v>
      </c>
      <c r="B54" s="2">
        <v>9</v>
      </c>
      <c r="C54" s="2" t="s">
        <v>111</v>
      </c>
      <c r="D54" s="4" t="str">
        <f>IF(C54="","",VLOOKUP(C54,Referentie!$A$2:$B$19,2,0))</f>
        <v>Durin</v>
      </c>
      <c r="E54" s="7" t="s">
        <v>108</v>
      </c>
      <c r="F54" s="4" t="s">
        <v>123</v>
      </c>
      <c r="G54" s="4" t="s">
        <v>93</v>
      </c>
      <c r="H54" s="4" t="s">
        <v>61</v>
      </c>
      <c r="I54" s="4" t="s">
        <v>98</v>
      </c>
      <c r="J54" s="4" t="s">
        <v>57</v>
      </c>
      <c r="K54" s="4" t="s">
        <v>68</v>
      </c>
      <c r="L54" s="4" t="s">
        <v>58</v>
      </c>
      <c r="M54" s="4" t="s">
        <v>109</v>
      </c>
      <c r="N54" s="4" t="str">
        <f>IF(M54="","",VLOOKUP(M54,Referentie!$G$2:$I$26,2,0))</f>
        <v>Ingredient Finding</v>
      </c>
      <c r="O54" s="4" t="str">
        <f>IF(M54="","",VLOOKUP(M54,Referentie!$G$2:$I$26,3,0))</f>
        <v>Main Skill Chance</v>
      </c>
      <c r="P54" s="4">
        <f t="shared" si="7"/>
        <v>0</v>
      </c>
      <c r="Q54" s="4">
        <f t="shared" si="8"/>
        <v>3.5</v>
      </c>
      <c r="R54" s="4">
        <f t="shared" si="9"/>
        <v>2</v>
      </c>
      <c r="S54" s="4" t="str">
        <f t="shared" si="10"/>
        <v>Ingredient</v>
      </c>
      <c r="T54" s="4">
        <f t="shared" si="0"/>
        <v>4.5</v>
      </c>
      <c r="U54" s="4" t="str">
        <f t="shared" si="11"/>
        <v>🤔 Bench</v>
      </c>
      <c r="V54" s="4" t="str">
        <f t="shared" si="1"/>
        <v>Perfecte nature voor Ingredient team!</v>
      </c>
    </row>
    <row r="55" spans="1:22" ht="15" customHeight="1">
      <c r="A55" s="2" t="s">
        <v>130</v>
      </c>
      <c r="B55" s="2">
        <v>8</v>
      </c>
      <c r="C55" s="2" t="s">
        <v>131</v>
      </c>
      <c r="D55" s="4" t="str">
        <f>IF(C55="","",VLOOKUP(C55,Referentie!$A$2:$B$19,2,0))</f>
        <v>Mago</v>
      </c>
      <c r="E55" s="7" t="s">
        <v>55</v>
      </c>
      <c r="F55" s="4" t="s">
        <v>103</v>
      </c>
      <c r="G55" s="4" t="s">
        <v>73</v>
      </c>
      <c r="H55" s="4" t="s">
        <v>67</v>
      </c>
      <c r="I55" s="4" t="s">
        <v>78</v>
      </c>
      <c r="J55" s="4" t="s">
        <v>57</v>
      </c>
      <c r="K55" s="4" t="s">
        <v>58</v>
      </c>
      <c r="L55" s="4" t="s">
        <v>61</v>
      </c>
      <c r="M55" s="4" t="s">
        <v>142</v>
      </c>
      <c r="N55" s="4" t="str">
        <f>IF(M55="","",VLOOKUP(M55,Referentie!$G$2:$I$26,2,0))</f>
        <v>Main Skill Chance</v>
      </c>
      <c r="O55" s="4" t="str">
        <f>IF(M55="","",VLOOKUP(M55,Referentie!$G$2:$I$26,3,0))</f>
        <v>EXP Gains</v>
      </c>
      <c r="P55" s="4">
        <f t="shared" si="7"/>
        <v>1</v>
      </c>
      <c r="Q55" s="4">
        <f t="shared" si="8"/>
        <v>2</v>
      </c>
      <c r="R55" s="4">
        <f t="shared" si="9"/>
        <v>2</v>
      </c>
      <c r="S55" s="4" t="str">
        <f t="shared" si="10"/>
        <v>Ingredient</v>
      </c>
      <c r="T55" s="4">
        <f t="shared" si="0"/>
        <v>3</v>
      </c>
      <c r="U55" s="4" t="str">
        <f t="shared" si="11"/>
        <v>🤔 Bench</v>
      </c>
      <c r="V55" s="4" t="str">
        <f t="shared" si="1"/>
        <v/>
      </c>
    </row>
    <row r="56" spans="1:22" ht="15" customHeight="1">
      <c r="A56" s="2"/>
      <c r="B56" s="2"/>
      <c r="C56" s="2"/>
      <c r="D56" s="4" t="str">
        <f>IF(C56="","",VLOOKUP(C56,Referentie!$A$2:$B$19,2,0))</f>
        <v/>
      </c>
      <c r="E56" s="7"/>
      <c r="F56" s="4"/>
      <c r="G56" s="4"/>
      <c r="H56" s="4"/>
      <c r="I56" s="4"/>
      <c r="J56" s="4"/>
      <c r="K56" s="4"/>
      <c r="L56" s="4"/>
      <c r="M56" s="4"/>
      <c r="N56" s="4" t="str">
        <f>IF(M56="","",VLOOKUP(M56,Referentie!$G$2:$I$26,2,0))</f>
        <v/>
      </c>
      <c r="O56" s="4" t="str">
        <f>IF(M56="","",VLOOKUP(M56,Referentie!$G$2:$I$26,3,0))</f>
        <v/>
      </c>
      <c r="P56" s="4" t="str">
        <f t="shared" si="7"/>
        <v/>
      </c>
      <c r="Q56" s="4" t="str">
        <f t="shared" si="8"/>
        <v/>
      </c>
      <c r="R56" s="4" t="str">
        <f t="shared" si="9"/>
        <v/>
      </c>
      <c r="S56" s="4" t="str">
        <f t="shared" si="10"/>
        <v/>
      </c>
      <c r="T56" s="4" t="str">
        <f t="shared" si="0"/>
        <v/>
      </c>
      <c r="U56" s="4" t="str">
        <f t="shared" si="11"/>
        <v/>
      </c>
      <c r="V56" s="4" t="str">
        <f t="shared" si="1"/>
        <v/>
      </c>
    </row>
    <row r="57" spans="1:22" ht="15" customHeight="1">
      <c r="A57" s="2"/>
      <c r="B57" s="2"/>
      <c r="C57" s="2"/>
      <c r="D57" s="4" t="str">
        <f>IF(C57="","",VLOOKUP(C57,Referentie!$A$2:$B$19,2,0))</f>
        <v/>
      </c>
      <c r="E57" s="7"/>
      <c r="F57" s="4"/>
      <c r="G57" s="4"/>
      <c r="H57" s="4"/>
      <c r="I57" s="4"/>
      <c r="J57" s="4"/>
      <c r="K57" s="4"/>
      <c r="L57" s="4"/>
      <c r="M57" s="4"/>
      <c r="N57" s="4" t="str">
        <f>IF(M57="","",VLOOKUP(M57,Referentie!$G$2:$I$26,2,0))</f>
        <v/>
      </c>
      <c r="O57" s="4" t="str">
        <f>IF(M57="","",VLOOKUP(M57,Referentie!$G$2:$I$26,3,0))</f>
        <v/>
      </c>
      <c r="P57" s="4" t="str">
        <f t="shared" si="7"/>
        <v/>
      </c>
      <c r="Q57" s="4" t="str">
        <f t="shared" si="8"/>
        <v/>
      </c>
      <c r="R57" s="4" t="str">
        <f t="shared" si="9"/>
        <v/>
      </c>
      <c r="S57" s="4" t="str">
        <f t="shared" si="10"/>
        <v/>
      </c>
      <c r="T57" s="4" t="str">
        <f t="shared" si="0"/>
        <v/>
      </c>
      <c r="U57" s="4" t="str">
        <f t="shared" si="11"/>
        <v/>
      </c>
      <c r="V57" s="4" t="str">
        <f t="shared" si="1"/>
        <v/>
      </c>
    </row>
    <row r="58" spans="1:22" ht="15" customHeight="1">
      <c r="A58" s="2"/>
      <c r="B58" s="2"/>
      <c r="C58" s="2"/>
      <c r="D58" s="4" t="str">
        <f>IF(C58="","",VLOOKUP(C58,Referentie!$A$2:$B$19,2,0))</f>
        <v/>
      </c>
      <c r="E58" s="7"/>
      <c r="F58" s="4"/>
      <c r="G58" s="4"/>
      <c r="H58" s="4"/>
      <c r="I58" s="4"/>
      <c r="J58" s="4"/>
      <c r="K58" s="4"/>
      <c r="L58" s="4"/>
      <c r="M58" s="4"/>
      <c r="N58" s="4" t="str">
        <f>IF(M58="","",VLOOKUP(M58,Referentie!$G$2:$I$26,2,0))</f>
        <v/>
      </c>
      <c r="O58" s="4" t="str">
        <f>IF(M58="","",VLOOKUP(M58,Referentie!$G$2:$I$26,3,0))</f>
        <v/>
      </c>
      <c r="P58" s="4" t="str">
        <f t="shared" si="7"/>
        <v/>
      </c>
      <c r="Q58" s="4" t="str">
        <f t="shared" si="8"/>
        <v/>
      </c>
      <c r="R58" s="4" t="str">
        <f t="shared" si="9"/>
        <v/>
      </c>
      <c r="S58" s="4" t="str">
        <f t="shared" si="10"/>
        <v/>
      </c>
      <c r="T58" s="4" t="str">
        <f t="shared" si="0"/>
        <v/>
      </c>
      <c r="U58" s="4" t="str">
        <f t="shared" si="11"/>
        <v/>
      </c>
      <c r="V58" s="4" t="str">
        <f t="shared" si="1"/>
        <v/>
      </c>
    </row>
    <row r="59" spans="1:22" ht="15" customHeight="1">
      <c r="A59" s="2"/>
      <c r="B59" s="2"/>
      <c r="C59" s="2"/>
      <c r="D59" s="4" t="str">
        <f>IF(C59="","",VLOOKUP(C59,Referentie!$A$2:$B$19,2,0))</f>
        <v/>
      </c>
      <c r="E59" s="7"/>
      <c r="F59" s="4"/>
      <c r="G59" s="4"/>
      <c r="H59" s="4"/>
      <c r="I59" s="4"/>
      <c r="J59" s="4"/>
      <c r="K59" s="4"/>
      <c r="L59" s="4"/>
      <c r="M59" s="4"/>
      <c r="N59" s="4" t="str">
        <f>IF(M59="","",VLOOKUP(M59,Referentie!$G$2:$I$26,2,0))</f>
        <v/>
      </c>
      <c r="O59" s="4" t="str">
        <f>IF(M59="","",VLOOKUP(M59,Referentie!$G$2:$I$26,3,0))</f>
        <v/>
      </c>
      <c r="P59" s="4" t="str">
        <f t="shared" si="7"/>
        <v/>
      </c>
      <c r="Q59" s="4" t="str">
        <f t="shared" si="8"/>
        <v/>
      </c>
      <c r="R59" s="4" t="str">
        <f t="shared" si="9"/>
        <v/>
      </c>
      <c r="S59" s="4" t="str">
        <f t="shared" si="10"/>
        <v/>
      </c>
      <c r="T59" s="4" t="str">
        <f t="shared" si="0"/>
        <v/>
      </c>
      <c r="U59" s="4" t="str">
        <f t="shared" si="11"/>
        <v/>
      </c>
      <c r="V59" s="4" t="str">
        <f t="shared" si="1"/>
        <v/>
      </c>
    </row>
    <row r="60" spans="1:22" ht="15" customHeight="1">
      <c r="A60" s="2"/>
      <c r="B60" s="2"/>
      <c r="C60" s="2"/>
      <c r="D60" s="4" t="str">
        <f>IF(C60="","",VLOOKUP(C60,Referentie!$A$2:$B$19,2,0))</f>
        <v/>
      </c>
      <c r="E60" s="7"/>
      <c r="F60" s="4"/>
      <c r="G60" s="4"/>
      <c r="H60" s="4"/>
      <c r="I60" s="4"/>
      <c r="J60" s="4"/>
      <c r="K60" s="4"/>
      <c r="L60" s="4"/>
      <c r="M60" s="4"/>
      <c r="N60" s="4" t="str">
        <f>IF(M60="","",VLOOKUP(M60,Referentie!$G$2:$I$26,2,0))</f>
        <v/>
      </c>
      <c r="O60" s="4" t="str">
        <f>IF(M60="","",VLOOKUP(M60,Referentie!$G$2:$I$26,3,0))</f>
        <v/>
      </c>
      <c r="P60" s="4" t="str">
        <f t="shared" si="7"/>
        <v/>
      </c>
      <c r="Q60" s="4" t="str">
        <f t="shared" si="8"/>
        <v/>
      </c>
      <c r="R60" s="4" t="str">
        <f t="shared" si="9"/>
        <v/>
      </c>
      <c r="S60" s="4" t="str">
        <f t="shared" si="10"/>
        <v/>
      </c>
      <c r="T60" s="4" t="str">
        <f t="shared" si="0"/>
        <v/>
      </c>
      <c r="U60" s="4" t="str">
        <f t="shared" si="11"/>
        <v/>
      </c>
      <c r="V60" s="4" t="str">
        <f t="shared" si="1"/>
        <v/>
      </c>
    </row>
    <row r="61" spans="1:22" ht="15" customHeight="1">
      <c r="A61" s="2"/>
      <c r="B61" s="2"/>
      <c r="C61" s="2"/>
      <c r="D61" s="4" t="str">
        <f>IF(C61="","",VLOOKUP(C61,Referentie!$A$2:$B$19,2,0))</f>
        <v/>
      </c>
      <c r="E61" s="7"/>
      <c r="F61" s="4"/>
      <c r="G61" s="4"/>
      <c r="H61" s="4"/>
      <c r="I61" s="4"/>
      <c r="J61" s="4"/>
      <c r="K61" s="4"/>
      <c r="L61" s="4"/>
      <c r="M61" s="4"/>
      <c r="N61" s="4" t="str">
        <f>IF(M61="","",VLOOKUP(M61,Referentie!$G$2:$I$26,2,0))</f>
        <v/>
      </c>
      <c r="O61" s="4" t="str">
        <f>IF(M61="","",VLOOKUP(M61,Referentie!$G$2:$I$26,3,0))</f>
        <v/>
      </c>
      <c r="P61" s="4" t="str">
        <f t="shared" si="7"/>
        <v/>
      </c>
      <c r="Q61" s="4" t="str">
        <f t="shared" si="8"/>
        <v/>
      </c>
      <c r="R61" s="4" t="str">
        <f t="shared" si="9"/>
        <v/>
      </c>
      <c r="S61" s="4" t="str">
        <f t="shared" si="10"/>
        <v/>
      </c>
      <c r="T61" s="4" t="str">
        <f t="shared" si="0"/>
        <v/>
      </c>
      <c r="U61" s="4" t="str">
        <f t="shared" si="11"/>
        <v/>
      </c>
      <c r="V61" s="4" t="str">
        <f t="shared" si="1"/>
        <v/>
      </c>
    </row>
    <row r="62" spans="1:22" ht="15" customHeight="1">
      <c r="A62" s="2"/>
      <c r="B62" s="2"/>
      <c r="C62" s="2"/>
      <c r="D62" s="4" t="str">
        <f>IF(C62="","",VLOOKUP(C62,Referentie!$A$2:$B$19,2,0))</f>
        <v/>
      </c>
      <c r="E62" s="7"/>
      <c r="F62" s="4"/>
      <c r="G62" s="4"/>
      <c r="H62" s="4"/>
      <c r="I62" s="4"/>
      <c r="J62" s="4"/>
      <c r="K62" s="4"/>
      <c r="L62" s="4"/>
      <c r="M62" s="4"/>
      <c r="N62" s="4" t="str">
        <f>IF(M62="","",VLOOKUP(M62,Referentie!$G$2:$I$26,2,0))</f>
        <v/>
      </c>
      <c r="O62" s="4" t="str">
        <f>IF(M62="","",VLOOKUP(M62,Referentie!$G$2:$I$26,3,0))</f>
        <v/>
      </c>
      <c r="P62" s="4" t="str">
        <f t="shared" si="7"/>
        <v/>
      </c>
      <c r="Q62" s="4" t="str">
        <f t="shared" si="8"/>
        <v/>
      </c>
      <c r="R62" s="4" t="str">
        <f t="shared" si="9"/>
        <v/>
      </c>
      <c r="S62" s="4" t="str">
        <f t="shared" si="10"/>
        <v/>
      </c>
      <c r="T62" s="4" t="str">
        <f t="shared" si="0"/>
        <v/>
      </c>
      <c r="U62" s="4" t="str">
        <f t="shared" si="11"/>
        <v/>
      </c>
      <c r="V62" s="4" t="str">
        <f t="shared" si="1"/>
        <v/>
      </c>
    </row>
    <row r="63" spans="1:22" ht="15" customHeight="1">
      <c r="A63" s="2"/>
      <c r="B63" s="2"/>
      <c r="C63" s="2"/>
      <c r="D63" s="4" t="str">
        <f>IF(C63="","",VLOOKUP(C63,Referentie!$A$2:$B$19,2,0))</f>
        <v/>
      </c>
      <c r="E63" s="7"/>
      <c r="F63" s="4"/>
      <c r="G63" s="4"/>
      <c r="H63" s="4"/>
      <c r="I63" s="4"/>
      <c r="J63" s="4"/>
      <c r="K63" s="4"/>
      <c r="L63" s="4"/>
      <c r="M63" s="4"/>
      <c r="N63" s="4" t="str">
        <f>IF(M63="","",VLOOKUP(M63,Referentie!$G$2:$I$26,2,0))</f>
        <v/>
      </c>
      <c r="O63" s="4" t="str">
        <f>IF(M63="","",VLOOKUP(M63,Referentie!$G$2:$I$26,3,0))</f>
        <v/>
      </c>
      <c r="P63" s="4" t="str">
        <f t="shared" si="7"/>
        <v/>
      </c>
      <c r="Q63" s="4" t="str">
        <f t="shared" si="8"/>
        <v/>
      </c>
      <c r="R63" s="4" t="str">
        <f t="shared" si="9"/>
        <v/>
      </c>
      <c r="S63" s="4" t="str">
        <f t="shared" si="10"/>
        <v/>
      </c>
      <c r="T63" s="4" t="str">
        <f t="shared" si="0"/>
        <v/>
      </c>
      <c r="U63" s="4" t="str">
        <f t="shared" si="11"/>
        <v/>
      </c>
      <c r="V63" s="4" t="str">
        <f t="shared" si="1"/>
        <v/>
      </c>
    </row>
    <row r="64" spans="1:22" ht="15" customHeight="1">
      <c r="A64" s="2"/>
      <c r="B64" s="2"/>
      <c r="C64" s="2"/>
      <c r="D64" s="4" t="str">
        <f>IF(C64="","",VLOOKUP(C64,Referentie!$A$2:$B$19,2,0))</f>
        <v/>
      </c>
      <c r="E64" s="7"/>
      <c r="F64" s="4"/>
      <c r="G64" s="4"/>
      <c r="H64" s="4"/>
      <c r="I64" s="4"/>
      <c r="J64" s="4"/>
      <c r="K64" s="4"/>
      <c r="L64" s="4"/>
      <c r="M64" s="4"/>
      <c r="N64" s="4" t="str">
        <f>IF(M64="","",VLOOKUP(M64,Referentie!$G$2:$I$26,2,0))</f>
        <v/>
      </c>
      <c r="O64" s="4" t="str">
        <f>IF(M64="","",VLOOKUP(M64,Referentie!$G$2:$I$26,3,0))</f>
        <v/>
      </c>
      <c r="P64" s="4" t="str">
        <f t="shared" si="7"/>
        <v/>
      </c>
      <c r="Q64" s="4" t="str">
        <f t="shared" si="8"/>
        <v/>
      </c>
      <c r="R64" s="4" t="str">
        <f t="shared" si="9"/>
        <v/>
      </c>
      <c r="S64" s="4" t="str">
        <f t="shared" si="10"/>
        <v/>
      </c>
      <c r="T64" s="4" t="str">
        <f t="shared" si="0"/>
        <v/>
      </c>
      <c r="U64" s="4" t="str">
        <f t="shared" si="11"/>
        <v/>
      </c>
      <c r="V64" s="4" t="str">
        <f t="shared" si="1"/>
        <v/>
      </c>
    </row>
    <row r="65" spans="1:22" ht="15" customHeight="1">
      <c r="A65" s="2"/>
      <c r="B65" s="2"/>
      <c r="C65" s="2"/>
      <c r="D65" s="4" t="str">
        <f>IF(C65="","",VLOOKUP(C65,Referentie!$A$2:$B$19,2,0))</f>
        <v/>
      </c>
      <c r="E65" s="7"/>
      <c r="F65" s="4"/>
      <c r="G65" s="4"/>
      <c r="H65" s="4"/>
      <c r="I65" s="4"/>
      <c r="J65" s="4"/>
      <c r="K65" s="4"/>
      <c r="L65" s="4"/>
      <c r="M65" s="4"/>
      <c r="N65" s="4" t="str">
        <f>IF(M65="","",VLOOKUP(M65,Referentie!$G$2:$I$26,2,0))</f>
        <v/>
      </c>
      <c r="O65" s="4" t="str">
        <f>IF(M65="","",VLOOKUP(M65,Referentie!$G$2:$I$26,3,0))</f>
        <v/>
      </c>
      <c r="P65" s="4" t="str">
        <f t="shared" si="7"/>
        <v/>
      </c>
      <c r="Q65" s="4" t="str">
        <f t="shared" si="8"/>
        <v/>
      </c>
      <c r="R65" s="4" t="str">
        <f t="shared" si="9"/>
        <v/>
      </c>
      <c r="S65" s="4" t="str">
        <f t="shared" si="10"/>
        <v/>
      </c>
      <c r="T65" s="4" t="str">
        <f t="shared" si="0"/>
        <v/>
      </c>
      <c r="U65" s="4" t="str">
        <f t="shared" si="11"/>
        <v/>
      </c>
      <c r="V65" s="4" t="str">
        <f t="shared" si="1"/>
        <v/>
      </c>
    </row>
    <row r="66" spans="1:22" ht="15" customHeight="1">
      <c r="A66" s="2"/>
      <c r="B66" s="2"/>
      <c r="C66" s="2"/>
      <c r="D66" s="4" t="str">
        <f>IF(C66="","",VLOOKUP(C66,Referentie!$A$2:$B$19,2,0))</f>
        <v/>
      </c>
      <c r="E66" s="7"/>
      <c r="F66" s="4"/>
      <c r="G66" s="4"/>
      <c r="H66" s="4"/>
      <c r="I66" s="4"/>
      <c r="J66" s="4"/>
      <c r="K66" s="4"/>
      <c r="L66" s="4"/>
      <c r="M66" s="4"/>
      <c r="N66" s="4" t="str">
        <f>IF(M66="","",VLOOKUP(M66,Referentie!$G$2:$I$26,2,0))</f>
        <v/>
      </c>
      <c r="O66" s="4" t="str">
        <f>IF(M66="","",VLOOKUP(M66,Referentie!$G$2:$I$26,3,0))</f>
        <v/>
      </c>
      <c r="P66" s="4" t="str">
        <f>IF(A66="","",  (IF(N66="Speed of Help",2,0)) + (IF(O66="Speed of Help",-2,0)) + (IF(N66="EXP Gains",1,0)) + (IF(O66="EXP Gains",-1,0)) +  (COUNTIF(H66:L66,"Helping Speed S")*1) + (COUNTIF(H66:L66,"Helping Speed M")*2) + (COUNTIF(H66:L66,"Berry Finding S")*2) + (COUNTIF(H66:L66,"Helping Bonus")*1) +  (IF(O66="Ingredient Finding",0,0)) + (IF(O66="Main Skill Chance",0,0))  )</f>
        <v/>
      </c>
      <c r="Q66" s="4" t="str">
        <f>IF(A66="","",  (IF(N66="Ingredient Finding",2,0)) + (IF(O66="Ingredient Finding",-2,0)) + (IF(N66="EXP Gains",1,0)) + (IF(O66="EXP Gains",-1,0)) +  (COUNTIF(H66:L66,"Ingredient Finder S")*1) + (COUNTIF(H66:L66,"Ingredient Finder M")*2) + (COUNTIF(H66:L66,"Inventory Up S")*0.5) + (COUNTIF(H66:L66,"Inventory Up M")*1) + (COUNTIF(H66:L66,"Inventory Up L")*1.5) +  (IF(E66=F66,1,0)) + (IF(F66=G66,1,0))  )</f>
        <v/>
      </c>
      <c r="R66" s="4" t="str">
        <f>IF(A66="","",  (IF(N66="Main Skill Chance",2,0)) + (IF(O66="Main Skill Chance",-2,0)) + (IF(N66="EXP Gains",1,0)) + (IF(O66="EXP Gains",-1,0)) +  (COUNTIF(H66:L66,"Skill Trigger S")*1) + (COUNTIF(H66:L66,"Skill Trigger M")*2) + (COUNTIF(H66:L66,"Skill Level Up S")*1) + (COUNTIF(H66:L66,"Skill Level Up M")*2) + (COUNTIF(H66:L66,"Energy Recovery Bonus")*1.5) + (COUNTIF(H66:L66,"Sleep EXP Bonus")*1) + (COUNTIF(H66:L66,"Research EXP Bonus")*1)  )</f>
        <v/>
      </c>
      <c r="S66" s="4" t="str">
        <f>IF(A66="","",  IF(AND(P66&lt;=1, Q66&lt;=1, R66&lt;=1), "Bench",  IF(AND(P66&gt;=Q66, P66&gt;=R66), "Berry",  IF(AND(Q66&gt;=P66, Q66&gt;=R66), "Ingredient",  "Skill")))  )</f>
        <v/>
      </c>
      <c r="T66" s="4" t="str">
        <f t="shared" ref="T66:T129" si="12">IF(A66="","", MAX(P66,Q66,R66) + IF(OR(N66="Speed of Help",N66="Ingredient Finding",N66="Main Skill Chance"),1,0) + IF(N66="Neutral",0, IF(O66="Neutral",0.5,0)) + IF(B66&gt;=10,0.5,0) )</f>
        <v/>
      </c>
      <c r="U66" s="4" t="str">
        <f>IF(A66="","", IF(T66&gt;=7, "⭐ Keep", IF(T66&gt;=5, "📈 Level Up", IF(T66&gt;=3, "🤔 Bench", "❌ Transfer")))  )</f>
        <v/>
      </c>
      <c r="V66" s="4" t="str">
        <f t="shared" ref="V66:V129" si="13">IF(A66="","", _xlfn.TEXTJOIN("; ",TRUE, IF(A66="Pikachu","Evolve naar Raichu = snelste berry helper!",""), IF(A66="Pichu","Evolve → Pikachu → Raichu (top berry)",""), IF(A66="Eevee","Sylveon (skill) of Jolteon (berry) = top evoluties",""), IF(A66="Igglybuff","Evolve → Wigglytuff = Energy for Everyone S (top skill!)",""), IF(A66="Squirtle","Kanto starter: 2x ingrediënten + Ingredient Magnet S",""), IF(A66="Charmander","Evolve → Charizard = snelle berry+ingredient verzamelaar",""), IF(A66="Bulbasaur","Kanto starter: 2x ingrediënten + Ingredient Magnet S",""), IF(A66="Growlithe","Evolve → Arcanine = sterke all-rounder",""), IF(A66="Mareep","Evolve → Ampharos = hoge frequentie + waardevolle ingrediënten",""), IF(A66="Spheal","Evolve → Walrein = key voor Snowdrop Tundra (berry+ingr)",""), IF(A66="Riolu","Evolve → Lucario = sterke fighter",""), IF(A66="Togepi","Let op: Togekiss Metronome is onbetrouwbaar",""), IF(A66="Totodile","Evolve → Feraligatr = top berry voor Cyan Beach",""), IF(A66="Magnemite","Evolve → Magnezone = sterke skill helper",""), IF(A66="Ivysaur","Evolve → Venusaur = 2x ingrediënten specialist",""), IF(OR(N66="Neutral",O66="Neutral"),"Neutrale nature = ok maar niet ideaal",""), IF(AND(N66="Speed of Help",OR(S66="Berry",S66="Ingredient")),"Perfecte nature voor "&amp;S66&amp;" team!",""), IF(AND(N66="Ingredient Finding",S66="Ingredient"),"Perfecte nature voor Ingredient team!",""), IF(AND(N66="Main Skill Chance",S66="Skill"),"Perfecte nature voor Skill team!",""), IF(AND(O66="Speed of Help",S66="Berry"),"Let op: Speed of Help NEGATIEF schaadt berry-prestatie",""), IF(AND(O66="Ingredient Finding",S66="Ingredient"),"Let op: Ingredient Finding NEGATIEF schaadt ingredient-prestatie","") ))</f>
        <v/>
      </c>
    </row>
    <row r="67" spans="1:22" ht="15" customHeight="1">
      <c r="A67" s="2"/>
      <c r="B67" s="2"/>
      <c r="C67" s="2"/>
      <c r="D67" s="4" t="str">
        <f>IF(C67="","",VLOOKUP(C67,Referentie!$A$2:$B$19,2,0))</f>
        <v/>
      </c>
      <c r="E67" s="7"/>
      <c r="F67" s="4"/>
      <c r="G67" s="4"/>
      <c r="H67" s="4"/>
      <c r="I67" s="4"/>
      <c r="J67" s="4"/>
      <c r="K67" s="4"/>
      <c r="L67" s="4"/>
      <c r="M67" s="4"/>
      <c r="N67" s="4" t="str">
        <f>IF(M67="","",VLOOKUP(M67,Referentie!$G$2:$I$26,2,0))</f>
        <v/>
      </c>
      <c r="O67" s="4" t="str">
        <f>IF(M67="","",VLOOKUP(M67,Referentie!$G$2:$I$26,3,0))</f>
        <v/>
      </c>
      <c r="P67" s="4" t="str">
        <f t="shared" ref="P67:P98" si="14">IF(A67="","", (IF(N67="Speed of Help",2,0)) + (IF(O67="Speed of Help",-2,0)) + (IF(N67="EXP Gains",1,0)) + (IF(O67="EXP Gains",-1,0)) + (COUNTIF(H67:L67,"Helping Speed S")*1) + (COUNTIF(H67:L67,"Helping Speed M")*2) + (COUNTIF(H67:L67,"Berry Finding S")*2) + (COUNTIF(H67:L67,"Helping Bonus")*1) + (IF(O67="Ingredient Finding",0,0)) + (IF(O67="Main Skill Chance",0,0)) )</f>
        <v/>
      </c>
      <c r="Q67" s="4" t="str">
        <f t="shared" ref="Q67:Q98" si="15">IF(A67="","", (IF(N67="Ingredient Finding",2,0)) + (IF(O67="Ingredient Finding",-2,0)) + (IF(N67="EXP Gains",1,0)) + (IF(O67="EXP Gains",-1,0)) + (COUNTIF(H67:L67,"Ingredient Finder S")*1) + (COUNTIF(H67:L67,"Ingredient Finder M")*2) + (COUNTIF(H67:L67,"Inventory Up S")*0.5) + (COUNTIF(H67:L67,"Inventory Up M")*1) + (COUNTIF(H67:L67,"Inventory Up L")*1.5) + (IF(E67=F67,1,0)) + (IF(F67=G67,1,0)) )</f>
        <v/>
      </c>
      <c r="R67" s="4" t="str">
        <f t="shared" ref="R67:R98" si="16">IF(A67="","", (IF(N67="Main Skill Chance",2,0)) + (IF(O67="Main Skill Chance",-2,0)) + (IF(N67="EXP Gains",1,0)) + (IF(O67="EXP Gains",-1,0)) + (COUNTIF(H67:L67,"Skill Trigger S")*1) + (COUNTIF(H67:L67,"Skill Trigger M")*2) + (COUNTIF(H67:L67,"Skill Level Up S")*1) + (COUNTIF(H67:L67,"Skill Level Up M")*2) + (COUNTIF(H67:L67,"Energy Recovery Bonus")*1.5) + (COUNTIF(H67:L67,"Sleep EXP Bonus")*1) + (COUNTIF(H67:L67,"Research EXP Bonus")*1) )</f>
        <v/>
      </c>
      <c r="S67" s="4" t="str">
        <f t="shared" ref="S67:S98" si="17">IF(A67="","", IF(AND(P67&lt;=1, Q67&lt;=1, R67&lt;=1), "Bench", IF(AND(P67&gt;=Q67, P67&gt;=R67), "Berry", IF(AND(Q67&gt;=P67, Q67&gt;=R67), "Ingredient", "Skill"))) )</f>
        <v/>
      </c>
      <c r="T67" s="4" t="str">
        <f t="shared" si="12"/>
        <v/>
      </c>
      <c r="U67" s="4" t="str">
        <f t="shared" ref="U67:U98" si="18">IF(A67="","", IF(T67&gt;=7, "⭐ Keep", IF(T67&gt;=5, "📈 Level Up", IF(T67&gt;=3, "🤔 Bench", "❌ Transfer"))) )</f>
        <v/>
      </c>
      <c r="V67" s="4" t="str">
        <f t="shared" si="13"/>
        <v/>
      </c>
    </row>
    <row r="68" spans="1:22" ht="15" customHeight="1">
      <c r="A68" s="2"/>
      <c r="B68" s="2"/>
      <c r="C68" s="2"/>
      <c r="D68" s="4" t="str">
        <f>IF(C68="","",VLOOKUP(C68,Referentie!$A$2:$B$19,2,0))</f>
        <v/>
      </c>
      <c r="E68" s="7"/>
      <c r="F68" s="4"/>
      <c r="G68" s="4"/>
      <c r="H68" s="4"/>
      <c r="I68" s="4"/>
      <c r="J68" s="4"/>
      <c r="K68" s="4"/>
      <c r="L68" s="4"/>
      <c r="M68" s="4"/>
      <c r="N68" s="4" t="str">
        <f>IF(M68="","",VLOOKUP(M68,Referentie!$G$2:$I$26,2,0))</f>
        <v/>
      </c>
      <c r="O68" s="4" t="str">
        <f>IF(M68="","",VLOOKUP(M68,Referentie!$G$2:$I$26,3,0))</f>
        <v/>
      </c>
      <c r="P68" s="4" t="str">
        <f t="shared" si="14"/>
        <v/>
      </c>
      <c r="Q68" s="4" t="str">
        <f t="shared" si="15"/>
        <v/>
      </c>
      <c r="R68" s="4" t="str">
        <f t="shared" si="16"/>
        <v/>
      </c>
      <c r="S68" s="4" t="str">
        <f t="shared" si="17"/>
        <v/>
      </c>
      <c r="T68" s="4" t="str">
        <f t="shared" si="12"/>
        <v/>
      </c>
      <c r="U68" s="4" t="str">
        <f t="shared" si="18"/>
        <v/>
      </c>
      <c r="V68" s="4" t="str">
        <f t="shared" si="13"/>
        <v/>
      </c>
    </row>
    <row r="69" spans="1:22" ht="15" customHeight="1">
      <c r="A69" s="2"/>
      <c r="B69" s="2"/>
      <c r="C69" s="2"/>
      <c r="D69" s="4" t="str">
        <f>IF(C69="","",VLOOKUP(C69,Referentie!$A$2:$B$19,2,0))</f>
        <v/>
      </c>
      <c r="E69" s="7"/>
      <c r="F69" s="4"/>
      <c r="G69" s="4"/>
      <c r="H69" s="4"/>
      <c r="I69" s="4"/>
      <c r="J69" s="4"/>
      <c r="K69" s="4"/>
      <c r="L69" s="4"/>
      <c r="M69" s="4"/>
      <c r="N69" s="4" t="str">
        <f>IF(M69="","",VLOOKUP(M69,Referentie!$G$2:$I$26,2,0))</f>
        <v/>
      </c>
      <c r="O69" s="4" t="str">
        <f>IF(M69="","",VLOOKUP(M69,Referentie!$G$2:$I$26,3,0))</f>
        <v/>
      </c>
      <c r="P69" s="4" t="str">
        <f t="shared" si="14"/>
        <v/>
      </c>
      <c r="Q69" s="4" t="str">
        <f t="shared" si="15"/>
        <v/>
      </c>
      <c r="R69" s="4" t="str">
        <f t="shared" si="16"/>
        <v/>
      </c>
      <c r="S69" s="4" t="str">
        <f t="shared" si="17"/>
        <v/>
      </c>
      <c r="T69" s="4" t="str">
        <f t="shared" si="12"/>
        <v/>
      </c>
      <c r="U69" s="4" t="str">
        <f t="shared" si="18"/>
        <v/>
      </c>
      <c r="V69" s="4" t="str">
        <f t="shared" si="13"/>
        <v/>
      </c>
    </row>
    <row r="70" spans="1:22" ht="15" customHeight="1">
      <c r="A70" s="2"/>
      <c r="B70" s="2"/>
      <c r="C70" s="2"/>
      <c r="D70" s="4" t="str">
        <f>IF(C70="","",VLOOKUP(C70,Referentie!$A$2:$B$19,2,0))</f>
        <v/>
      </c>
      <c r="E70" s="7"/>
      <c r="F70" s="4"/>
      <c r="G70" s="4"/>
      <c r="H70" s="4"/>
      <c r="I70" s="4"/>
      <c r="J70" s="4"/>
      <c r="K70" s="4"/>
      <c r="L70" s="4"/>
      <c r="M70" s="4"/>
      <c r="N70" s="4" t="str">
        <f>IF(M70="","",VLOOKUP(M70,Referentie!$G$2:$I$26,2,0))</f>
        <v/>
      </c>
      <c r="O70" s="4" t="str">
        <f>IF(M70="","",VLOOKUP(M70,Referentie!$G$2:$I$26,3,0))</f>
        <v/>
      </c>
      <c r="P70" s="4" t="str">
        <f t="shared" si="14"/>
        <v/>
      </c>
      <c r="Q70" s="4" t="str">
        <f t="shared" si="15"/>
        <v/>
      </c>
      <c r="R70" s="4" t="str">
        <f t="shared" si="16"/>
        <v/>
      </c>
      <c r="S70" s="4" t="str">
        <f t="shared" si="17"/>
        <v/>
      </c>
      <c r="T70" s="4" t="str">
        <f t="shared" si="12"/>
        <v/>
      </c>
      <c r="U70" s="4" t="str">
        <f t="shared" si="18"/>
        <v/>
      </c>
      <c r="V70" s="4" t="str">
        <f t="shared" si="13"/>
        <v/>
      </c>
    </row>
    <row r="71" spans="1:22" ht="15" customHeight="1">
      <c r="A71" s="2"/>
      <c r="B71" s="2"/>
      <c r="C71" s="2"/>
      <c r="D71" s="4" t="str">
        <f>IF(C71="","",VLOOKUP(C71,Referentie!$A$2:$B$19,2,0))</f>
        <v/>
      </c>
      <c r="E71" s="7"/>
      <c r="F71" s="4"/>
      <c r="G71" s="4"/>
      <c r="H71" s="4"/>
      <c r="I71" s="4"/>
      <c r="J71" s="4"/>
      <c r="K71" s="4"/>
      <c r="L71" s="4"/>
      <c r="M71" s="4"/>
      <c r="N71" s="4" t="str">
        <f>IF(M71="","",VLOOKUP(M71,Referentie!$G$2:$I$26,2,0))</f>
        <v/>
      </c>
      <c r="O71" s="4" t="str">
        <f>IF(M71="","",VLOOKUP(M71,Referentie!$G$2:$I$26,3,0))</f>
        <v/>
      </c>
      <c r="P71" s="4" t="str">
        <f t="shared" si="14"/>
        <v/>
      </c>
      <c r="Q71" s="4" t="str">
        <f t="shared" si="15"/>
        <v/>
      </c>
      <c r="R71" s="4" t="str">
        <f t="shared" si="16"/>
        <v/>
      </c>
      <c r="S71" s="4" t="str">
        <f t="shared" si="17"/>
        <v/>
      </c>
      <c r="T71" s="4" t="str">
        <f t="shared" si="12"/>
        <v/>
      </c>
      <c r="U71" s="4" t="str">
        <f t="shared" si="18"/>
        <v/>
      </c>
      <c r="V71" s="4" t="str">
        <f t="shared" si="13"/>
        <v/>
      </c>
    </row>
    <row r="72" spans="1:22" ht="15" customHeight="1">
      <c r="A72" s="2"/>
      <c r="B72" s="2"/>
      <c r="C72" s="2"/>
      <c r="D72" s="4" t="str">
        <f>IF(C72="","",VLOOKUP(C72,Referentie!$A$2:$B$19,2,0))</f>
        <v/>
      </c>
      <c r="E72" s="7"/>
      <c r="F72" s="4"/>
      <c r="G72" s="4"/>
      <c r="H72" s="4"/>
      <c r="I72" s="4"/>
      <c r="J72" s="4"/>
      <c r="K72" s="4"/>
      <c r="L72" s="4"/>
      <c r="M72" s="4"/>
      <c r="N72" s="4" t="str">
        <f>IF(M72="","",VLOOKUP(M72,Referentie!$G$2:$I$26,2,0))</f>
        <v/>
      </c>
      <c r="O72" s="4" t="str">
        <f>IF(M72="","",VLOOKUP(M72,Referentie!$G$2:$I$26,3,0))</f>
        <v/>
      </c>
      <c r="P72" s="4" t="str">
        <f t="shared" si="14"/>
        <v/>
      </c>
      <c r="Q72" s="4" t="str">
        <f t="shared" si="15"/>
        <v/>
      </c>
      <c r="R72" s="4" t="str">
        <f t="shared" si="16"/>
        <v/>
      </c>
      <c r="S72" s="4" t="str">
        <f t="shared" si="17"/>
        <v/>
      </c>
      <c r="T72" s="4" t="str">
        <f t="shared" si="12"/>
        <v/>
      </c>
      <c r="U72" s="4" t="str">
        <f t="shared" si="18"/>
        <v/>
      </c>
      <c r="V72" s="4" t="str">
        <f t="shared" si="13"/>
        <v/>
      </c>
    </row>
    <row r="73" spans="1:22" ht="15" customHeight="1">
      <c r="A73" s="2"/>
      <c r="B73" s="2"/>
      <c r="C73" s="2"/>
      <c r="D73" s="4" t="str">
        <f>IF(C73="","",VLOOKUP(C73,Referentie!$A$2:$B$19,2,0))</f>
        <v/>
      </c>
      <c r="E73" s="7"/>
      <c r="F73" s="4"/>
      <c r="G73" s="4"/>
      <c r="H73" s="4"/>
      <c r="I73" s="4"/>
      <c r="J73" s="4"/>
      <c r="K73" s="4"/>
      <c r="L73" s="4"/>
      <c r="M73" s="4"/>
      <c r="N73" s="4" t="str">
        <f>IF(M73="","",VLOOKUP(M73,Referentie!$G$2:$I$26,2,0))</f>
        <v/>
      </c>
      <c r="O73" s="4" t="str">
        <f>IF(M73="","",VLOOKUP(M73,Referentie!$G$2:$I$26,3,0))</f>
        <v/>
      </c>
      <c r="P73" s="4" t="str">
        <f t="shared" si="14"/>
        <v/>
      </c>
      <c r="Q73" s="4" t="str">
        <f t="shared" si="15"/>
        <v/>
      </c>
      <c r="R73" s="4" t="str">
        <f t="shared" si="16"/>
        <v/>
      </c>
      <c r="S73" s="4" t="str">
        <f t="shared" si="17"/>
        <v/>
      </c>
      <c r="T73" s="4" t="str">
        <f t="shared" si="12"/>
        <v/>
      </c>
      <c r="U73" s="4" t="str">
        <f t="shared" si="18"/>
        <v/>
      </c>
      <c r="V73" s="4" t="str">
        <f t="shared" si="13"/>
        <v/>
      </c>
    </row>
    <row r="74" spans="1:22" ht="15" customHeight="1">
      <c r="A74" s="2"/>
      <c r="B74" s="2"/>
      <c r="C74" s="2"/>
      <c r="D74" s="4" t="str">
        <f>IF(C74="","",VLOOKUP(C74,Referentie!$A$2:$B$19,2,0))</f>
        <v/>
      </c>
      <c r="E74" s="7"/>
      <c r="F74" s="4"/>
      <c r="G74" s="4"/>
      <c r="H74" s="4"/>
      <c r="I74" s="4"/>
      <c r="J74" s="4"/>
      <c r="K74" s="4"/>
      <c r="L74" s="4"/>
      <c r="M74" s="4"/>
      <c r="N74" s="4" t="str">
        <f>IF(M74="","",VLOOKUP(M74,Referentie!$G$2:$I$26,2,0))</f>
        <v/>
      </c>
      <c r="O74" s="4" t="str">
        <f>IF(M74="","",VLOOKUP(M74,Referentie!$G$2:$I$26,3,0))</f>
        <v/>
      </c>
      <c r="P74" s="4" t="str">
        <f t="shared" si="14"/>
        <v/>
      </c>
      <c r="Q74" s="4" t="str">
        <f t="shared" si="15"/>
        <v/>
      </c>
      <c r="R74" s="4" t="str">
        <f t="shared" si="16"/>
        <v/>
      </c>
      <c r="S74" s="4" t="str">
        <f t="shared" si="17"/>
        <v/>
      </c>
      <c r="T74" s="4" t="str">
        <f t="shared" si="12"/>
        <v/>
      </c>
      <c r="U74" s="4" t="str">
        <f t="shared" si="18"/>
        <v/>
      </c>
      <c r="V74" s="4" t="str">
        <f t="shared" si="13"/>
        <v/>
      </c>
    </row>
    <row r="75" spans="1:22" ht="15" customHeight="1">
      <c r="A75" s="2"/>
      <c r="B75" s="2"/>
      <c r="C75" s="2"/>
      <c r="D75" s="4" t="str">
        <f>IF(C75="","",VLOOKUP(C75,Referentie!$A$2:$B$19,2,0))</f>
        <v/>
      </c>
      <c r="E75" s="7"/>
      <c r="F75" s="4"/>
      <c r="G75" s="4"/>
      <c r="H75" s="4"/>
      <c r="I75" s="4"/>
      <c r="J75" s="4"/>
      <c r="K75" s="4"/>
      <c r="L75" s="4"/>
      <c r="M75" s="4"/>
      <c r="N75" s="4" t="str">
        <f>IF(M75="","",VLOOKUP(M75,Referentie!$G$2:$I$26,2,0))</f>
        <v/>
      </c>
      <c r="O75" s="4" t="str">
        <f>IF(M75="","",VLOOKUP(M75,Referentie!$G$2:$I$26,3,0))</f>
        <v/>
      </c>
      <c r="P75" s="4" t="str">
        <f t="shared" si="14"/>
        <v/>
      </c>
      <c r="Q75" s="4" t="str">
        <f t="shared" si="15"/>
        <v/>
      </c>
      <c r="R75" s="4" t="str">
        <f t="shared" si="16"/>
        <v/>
      </c>
      <c r="S75" s="4" t="str">
        <f t="shared" si="17"/>
        <v/>
      </c>
      <c r="T75" s="4" t="str">
        <f t="shared" si="12"/>
        <v/>
      </c>
      <c r="U75" s="4" t="str">
        <f t="shared" si="18"/>
        <v/>
      </c>
      <c r="V75" s="4" t="str">
        <f t="shared" si="13"/>
        <v/>
      </c>
    </row>
    <row r="76" spans="1:22" ht="15" customHeight="1">
      <c r="A76" s="2"/>
      <c r="B76" s="2"/>
      <c r="C76" s="2"/>
      <c r="D76" s="4" t="str">
        <f>IF(C76="","",VLOOKUP(C76,Referentie!$A$2:$B$19,2,0))</f>
        <v/>
      </c>
      <c r="E76" s="7"/>
      <c r="F76" s="4"/>
      <c r="G76" s="4"/>
      <c r="H76" s="4"/>
      <c r="I76" s="4"/>
      <c r="J76" s="4"/>
      <c r="K76" s="4"/>
      <c r="L76" s="4"/>
      <c r="M76" s="4"/>
      <c r="N76" s="4" t="str">
        <f>IF(M76="","",VLOOKUP(M76,Referentie!$G$2:$I$26,2,0))</f>
        <v/>
      </c>
      <c r="O76" s="4" t="str">
        <f>IF(M76="","",VLOOKUP(M76,Referentie!$G$2:$I$26,3,0))</f>
        <v/>
      </c>
      <c r="P76" s="4" t="str">
        <f t="shared" si="14"/>
        <v/>
      </c>
      <c r="Q76" s="4" t="str">
        <f t="shared" si="15"/>
        <v/>
      </c>
      <c r="R76" s="4" t="str">
        <f t="shared" si="16"/>
        <v/>
      </c>
      <c r="S76" s="4" t="str">
        <f t="shared" si="17"/>
        <v/>
      </c>
      <c r="T76" s="4" t="str">
        <f t="shared" si="12"/>
        <v/>
      </c>
      <c r="U76" s="4" t="str">
        <f t="shared" si="18"/>
        <v/>
      </c>
      <c r="V76" s="4" t="str">
        <f t="shared" si="13"/>
        <v/>
      </c>
    </row>
    <row r="77" spans="1:22" ht="15" customHeight="1">
      <c r="A77" s="2"/>
      <c r="B77" s="2"/>
      <c r="C77" s="2"/>
      <c r="D77" s="4" t="str">
        <f>IF(C77="","",VLOOKUP(C77,Referentie!$A$2:$B$19,2,0))</f>
        <v/>
      </c>
      <c r="E77" s="7"/>
      <c r="F77" s="4"/>
      <c r="G77" s="4"/>
      <c r="H77" s="4"/>
      <c r="I77" s="4"/>
      <c r="J77" s="4"/>
      <c r="K77" s="4"/>
      <c r="L77" s="4"/>
      <c r="M77" s="4"/>
      <c r="N77" s="4" t="str">
        <f>IF(M77="","",VLOOKUP(M77,Referentie!$G$2:$I$26,2,0))</f>
        <v/>
      </c>
      <c r="O77" s="4" t="str">
        <f>IF(M77="","",VLOOKUP(M77,Referentie!$G$2:$I$26,3,0))</f>
        <v/>
      </c>
      <c r="P77" s="4" t="str">
        <f t="shared" si="14"/>
        <v/>
      </c>
      <c r="Q77" s="4" t="str">
        <f t="shared" si="15"/>
        <v/>
      </c>
      <c r="R77" s="4" t="str">
        <f t="shared" si="16"/>
        <v/>
      </c>
      <c r="S77" s="4" t="str">
        <f t="shared" si="17"/>
        <v/>
      </c>
      <c r="T77" s="4" t="str">
        <f t="shared" si="12"/>
        <v/>
      </c>
      <c r="U77" s="4" t="str">
        <f t="shared" si="18"/>
        <v/>
      </c>
      <c r="V77" s="4" t="str">
        <f t="shared" si="13"/>
        <v/>
      </c>
    </row>
    <row r="78" spans="1:22" ht="15" customHeight="1">
      <c r="A78" s="2"/>
      <c r="B78" s="2"/>
      <c r="C78" s="2"/>
      <c r="D78" s="4" t="str">
        <f>IF(C78="","",VLOOKUP(C78,Referentie!$A$2:$B$19,2,0))</f>
        <v/>
      </c>
      <c r="E78" s="7"/>
      <c r="F78" s="4"/>
      <c r="G78" s="4"/>
      <c r="H78" s="4"/>
      <c r="I78" s="4"/>
      <c r="J78" s="4"/>
      <c r="K78" s="4"/>
      <c r="L78" s="4"/>
      <c r="M78" s="4"/>
      <c r="N78" s="4" t="str">
        <f>IF(M78="","",VLOOKUP(M78,Referentie!$G$2:$I$26,2,0))</f>
        <v/>
      </c>
      <c r="O78" s="4" t="str">
        <f>IF(M78="","",VLOOKUP(M78,Referentie!$G$2:$I$26,3,0))</f>
        <v/>
      </c>
      <c r="P78" s="4" t="str">
        <f t="shared" si="14"/>
        <v/>
      </c>
      <c r="Q78" s="4" t="str">
        <f t="shared" si="15"/>
        <v/>
      </c>
      <c r="R78" s="4" t="str">
        <f t="shared" si="16"/>
        <v/>
      </c>
      <c r="S78" s="4" t="str">
        <f t="shared" si="17"/>
        <v/>
      </c>
      <c r="T78" s="4" t="str">
        <f t="shared" si="12"/>
        <v/>
      </c>
      <c r="U78" s="4" t="str">
        <f t="shared" si="18"/>
        <v/>
      </c>
      <c r="V78" s="4" t="str">
        <f t="shared" si="13"/>
        <v/>
      </c>
    </row>
    <row r="79" spans="1:22" ht="15" customHeight="1">
      <c r="A79" s="2"/>
      <c r="B79" s="2"/>
      <c r="C79" s="2"/>
      <c r="D79" s="4" t="str">
        <f>IF(C79="","",VLOOKUP(C79,Referentie!$A$2:$B$19,2,0))</f>
        <v/>
      </c>
      <c r="E79" s="7"/>
      <c r="F79" s="4"/>
      <c r="G79" s="4"/>
      <c r="H79" s="4"/>
      <c r="I79" s="4"/>
      <c r="J79" s="4"/>
      <c r="K79" s="4"/>
      <c r="L79" s="4"/>
      <c r="M79" s="4"/>
      <c r="N79" s="4" t="str">
        <f>IF(M79="","",VLOOKUP(M79,Referentie!$G$2:$I$26,2,0))</f>
        <v/>
      </c>
      <c r="O79" s="4" t="str">
        <f>IF(M79="","",VLOOKUP(M79,Referentie!$G$2:$I$26,3,0))</f>
        <v/>
      </c>
      <c r="P79" s="4" t="str">
        <f t="shared" si="14"/>
        <v/>
      </c>
      <c r="Q79" s="4" t="str">
        <f t="shared" si="15"/>
        <v/>
      </c>
      <c r="R79" s="4" t="str">
        <f t="shared" si="16"/>
        <v/>
      </c>
      <c r="S79" s="4" t="str">
        <f t="shared" si="17"/>
        <v/>
      </c>
      <c r="T79" s="4" t="str">
        <f t="shared" si="12"/>
        <v/>
      </c>
      <c r="U79" s="4" t="str">
        <f t="shared" si="18"/>
        <v/>
      </c>
      <c r="V79" s="4" t="str">
        <f t="shared" si="13"/>
        <v/>
      </c>
    </row>
    <row r="80" spans="1:22" ht="15" customHeight="1">
      <c r="A80" s="2"/>
      <c r="B80" s="2"/>
      <c r="C80" s="2"/>
      <c r="D80" s="4" t="str">
        <f>IF(C80="","",VLOOKUP(C80,Referentie!$A$2:$B$19,2,0))</f>
        <v/>
      </c>
      <c r="E80" s="7"/>
      <c r="F80" s="4"/>
      <c r="G80" s="4"/>
      <c r="H80" s="4"/>
      <c r="I80" s="4"/>
      <c r="J80" s="4"/>
      <c r="K80" s="4"/>
      <c r="L80" s="4"/>
      <c r="M80" s="4"/>
      <c r="N80" s="4" t="str">
        <f>IF(M80="","",VLOOKUP(M80,Referentie!$G$2:$I$26,2,0))</f>
        <v/>
      </c>
      <c r="O80" s="4" t="str">
        <f>IF(M80="","",VLOOKUP(M80,Referentie!$G$2:$I$26,3,0))</f>
        <v/>
      </c>
      <c r="P80" s="4" t="str">
        <f t="shared" si="14"/>
        <v/>
      </c>
      <c r="Q80" s="4" t="str">
        <f t="shared" si="15"/>
        <v/>
      </c>
      <c r="R80" s="4" t="str">
        <f t="shared" si="16"/>
        <v/>
      </c>
      <c r="S80" s="4" t="str">
        <f t="shared" si="17"/>
        <v/>
      </c>
      <c r="T80" s="4" t="str">
        <f t="shared" si="12"/>
        <v/>
      </c>
      <c r="U80" s="4" t="str">
        <f t="shared" si="18"/>
        <v/>
      </c>
      <c r="V80" s="4" t="str">
        <f t="shared" si="13"/>
        <v/>
      </c>
    </row>
    <row r="81" spans="1:22" ht="15" customHeight="1">
      <c r="A81" s="2"/>
      <c r="B81" s="2"/>
      <c r="C81" s="2"/>
      <c r="D81" s="4" t="str">
        <f>IF(C81="","",VLOOKUP(C81,Referentie!$A$2:$B$19,2,0))</f>
        <v/>
      </c>
      <c r="E81" s="7"/>
      <c r="F81" s="4"/>
      <c r="G81" s="4"/>
      <c r="H81" s="4"/>
      <c r="I81" s="4"/>
      <c r="J81" s="4"/>
      <c r="K81" s="4"/>
      <c r="L81" s="4"/>
      <c r="M81" s="4"/>
      <c r="N81" s="4" t="str">
        <f>IF(M81="","",VLOOKUP(M81,Referentie!$G$2:$I$26,2,0))</f>
        <v/>
      </c>
      <c r="O81" s="4" t="str">
        <f>IF(M81="","",VLOOKUP(M81,Referentie!$G$2:$I$26,3,0))</f>
        <v/>
      </c>
      <c r="P81" s="4" t="str">
        <f t="shared" si="14"/>
        <v/>
      </c>
      <c r="Q81" s="4" t="str">
        <f t="shared" si="15"/>
        <v/>
      </c>
      <c r="R81" s="4" t="str">
        <f t="shared" si="16"/>
        <v/>
      </c>
      <c r="S81" s="4" t="str">
        <f t="shared" si="17"/>
        <v/>
      </c>
      <c r="T81" s="4" t="str">
        <f t="shared" si="12"/>
        <v/>
      </c>
      <c r="U81" s="4" t="str">
        <f t="shared" si="18"/>
        <v/>
      </c>
      <c r="V81" s="4" t="str">
        <f t="shared" si="13"/>
        <v/>
      </c>
    </row>
    <row r="82" spans="1:22" ht="15" customHeight="1">
      <c r="A82" s="2"/>
      <c r="B82" s="2"/>
      <c r="C82" s="2"/>
      <c r="D82" s="4" t="str">
        <f>IF(C82="","",VLOOKUP(C82,Referentie!$A$2:$B$19,2,0))</f>
        <v/>
      </c>
      <c r="E82" s="7"/>
      <c r="F82" s="4"/>
      <c r="G82" s="4"/>
      <c r="H82" s="4"/>
      <c r="I82" s="4"/>
      <c r="J82" s="4"/>
      <c r="K82" s="4"/>
      <c r="L82" s="4"/>
      <c r="M82" s="4"/>
      <c r="N82" s="4" t="str">
        <f>IF(M82="","",VLOOKUP(M82,Referentie!$G$2:$I$26,2,0))</f>
        <v/>
      </c>
      <c r="O82" s="4" t="str">
        <f>IF(M82="","",VLOOKUP(M82,Referentie!$G$2:$I$26,3,0))</f>
        <v/>
      </c>
      <c r="P82" s="4" t="str">
        <f t="shared" si="14"/>
        <v/>
      </c>
      <c r="Q82" s="4" t="str">
        <f t="shared" si="15"/>
        <v/>
      </c>
      <c r="R82" s="4" t="str">
        <f t="shared" si="16"/>
        <v/>
      </c>
      <c r="S82" s="4" t="str">
        <f t="shared" si="17"/>
        <v/>
      </c>
      <c r="T82" s="4" t="str">
        <f t="shared" si="12"/>
        <v/>
      </c>
      <c r="U82" s="4" t="str">
        <f t="shared" si="18"/>
        <v/>
      </c>
      <c r="V82" s="4" t="str">
        <f t="shared" si="13"/>
        <v/>
      </c>
    </row>
    <row r="83" spans="1:22" ht="15" customHeight="1">
      <c r="A83" s="2"/>
      <c r="B83" s="2"/>
      <c r="C83" s="2"/>
      <c r="D83" s="4" t="str">
        <f>IF(C83="","",VLOOKUP(C83,Referentie!$A$2:$B$19,2,0))</f>
        <v/>
      </c>
      <c r="E83" s="7"/>
      <c r="F83" s="4"/>
      <c r="G83" s="4"/>
      <c r="H83" s="4"/>
      <c r="I83" s="4"/>
      <c r="J83" s="4"/>
      <c r="K83" s="4"/>
      <c r="L83" s="4"/>
      <c r="M83" s="4"/>
      <c r="N83" s="4" t="str">
        <f>IF(M83="","",VLOOKUP(M83,Referentie!$G$2:$I$26,2,0))</f>
        <v/>
      </c>
      <c r="O83" s="4" t="str">
        <f>IF(M83="","",VLOOKUP(M83,Referentie!$G$2:$I$26,3,0))</f>
        <v/>
      </c>
      <c r="P83" s="4" t="str">
        <f t="shared" si="14"/>
        <v/>
      </c>
      <c r="Q83" s="4" t="str">
        <f t="shared" si="15"/>
        <v/>
      </c>
      <c r="R83" s="4" t="str">
        <f t="shared" si="16"/>
        <v/>
      </c>
      <c r="S83" s="4" t="str">
        <f t="shared" si="17"/>
        <v/>
      </c>
      <c r="T83" s="4" t="str">
        <f t="shared" si="12"/>
        <v/>
      </c>
      <c r="U83" s="4" t="str">
        <f t="shared" si="18"/>
        <v/>
      </c>
      <c r="V83" s="4" t="str">
        <f t="shared" si="13"/>
        <v/>
      </c>
    </row>
    <row r="84" spans="1:22" ht="15" customHeight="1">
      <c r="A84" s="2"/>
      <c r="B84" s="2"/>
      <c r="C84" s="2"/>
      <c r="D84" s="4" t="str">
        <f>IF(C84="","",VLOOKUP(C84,Referentie!$A$2:$B$19,2,0))</f>
        <v/>
      </c>
      <c r="E84" s="7"/>
      <c r="F84" s="4"/>
      <c r="G84" s="4"/>
      <c r="H84" s="4"/>
      <c r="I84" s="4"/>
      <c r="J84" s="4"/>
      <c r="K84" s="4"/>
      <c r="L84" s="4"/>
      <c r="M84" s="4"/>
      <c r="N84" s="4" t="str">
        <f>IF(M84="","",VLOOKUP(M84,Referentie!$G$2:$I$26,2,0))</f>
        <v/>
      </c>
      <c r="O84" s="4" t="str">
        <f>IF(M84="","",VLOOKUP(M84,Referentie!$G$2:$I$26,3,0))</f>
        <v/>
      </c>
      <c r="P84" s="4" t="str">
        <f t="shared" si="14"/>
        <v/>
      </c>
      <c r="Q84" s="4" t="str">
        <f t="shared" si="15"/>
        <v/>
      </c>
      <c r="R84" s="4" t="str">
        <f t="shared" si="16"/>
        <v/>
      </c>
      <c r="S84" s="4" t="str">
        <f t="shared" si="17"/>
        <v/>
      </c>
      <c r="T84" s="4" t="str">
        <f t="shared" si="12"/>
        <v/>
      </c>
      <c r="U84" s="4" t="str">
        <f t="shared" si="18"/>
        <v/>
      </c>
      <c r="V84" s="4" t="str">
        <f t="shared" si="13"/>
        <v/>
      </c>
    </row>
    <row r="85" spans="1:22" ht="15" customHeight="1">
      <c r="A85" s="2"/>
      <c r="B85" s="2"/>
      <c r="C85" s="2"/>
      <c r="D85" s="4" t="str">
        <f>IF(C85="","",VLOOKUP(C85,Referentie!$A$2:$B$19,2,0))</f>
        <v/>
      </c>
      <c r="E85" s="7"/>
      <c r="F85" s="4"/>
      <c r="G85" s="4"/>
      <c r="H85" s="4"/>
      <c r="I85" s="4"/>
      <c r="J85" s="4"/>
      <c r="K85" s="4"/>
      <c r="L85" s="4"/>
      <c r="M85" s="4"/>
      <c r="N85" s="4" t="str">
        <f>IF(M85="","",VLOOKUP(M85,Referentie!$G$2:$I$26,2,0))</f>
        <v/>
      </c>
      <c r="O85" s="4" t="str">
        <f>IF(M85="","",VLOOKUP(M85,Referentie!$G$2:$I$26,3,0))</f>
        <v/>
      </c>
      <c r="P85" s="4" t="str">
        <f t="shared" si="14"/>
        <v/>
      </c>
      <c r="Q85" s="4" t="str">
        <f t="shared" si="15"/>
        <v/>
      </c>
      <c r="R85" s="4" t="str">
        <f t="shared" si="16"/>
        <v/>
      </c>
      <c r="S85" s="4" t="str">
        <f t="shared" si="17"/>
        <v/>
      </c>
      <c r="T85" s="4" t="str">
        <f t="shared" si="12"/>
        <v/>
      </c>
      <c r="U85" s="4" t="str">
        <f t="shared" si="18"/>
        <v/>
      </c>
      <c r="V85" s="4" t="str">
        <f t="shared" si="13"/>
        <v/>
      </c>
    </row>
    <row r="86" spans="1:22" ht="15" customHeight="1">
      <c r="A86" s="2"/>
      <c r="B86" s="2"/>
      <c r="C86" s="2"/>
      <c r="D86" s="4" t="str">
        <f>IF(C86="","",VLOOKUP(C86,Referentie!$A$2:$B$19,2,0))</f>
        <v/>
      </c>
      <c r="E86" s="7"/>
      <c r="F86" s="4"/>
      <c r="G86" s="4"/>
      <c r="H86" s="4"/>
      <c r="I86" s="4"/>
      <c r="J86" s="4"/>
      <c r="K86" s="4"/>
      <c r="L86" s="4"/>
      <c r="M86" s="4"/>
      <c r="N86" s="4" t="str">
        <f>IF(M86="","",VLOOKUP(M86,Referentie!$G$2:$I$26,2,0))</f>
        <v/>
      </c>
      <c r="O86" s="4" t="str">
        <f>IF(M86="","",VLOOKUP(M86,Referentie!$G$2:$I$26,3,0))</f>
        <v/>
      </c>
      <c r="P86" s="4" t="str">
        <f t="shared" si="14"/>
        <v/>
      </c>
      <c r="Q86" s="4" t="str">
        <f t="shared" si="15"/>
        <v/>
      </c>
      <c r="R86" s="4" t="str">
        <f t="shared" si="16"/>
        <v/>
      </c>
      <c r="S86" s="4" t="str">
        <f t="shared" si="17"/>
        <v/>
      </c>
      <c r="T86" s="4" t="str">
        <f t="shared" si="12"/>
        <v/>
      </c>
      <c r="U86" s="4" t="str">
        <f t="shared" si="18"/>
        <v/>
      </c>
      <c r="V86" s="4" t="str">
        <f t="shared" si="13"/>
        <v/>
      </c>
    </row>
    <row r="87" spans="1:22" ht="15" customHeight="1">
      <c r="A87" s="2"/>
      <c r="B87" s="2"/>
      <c r="C87" s="2"/>
      <c r="D87" s="4" t="str">
        <f>IF(C87="","",VLOOKUP(C87,Referentie!$A$2:$B$19,2,0))</f>
        <v/>
      </c>
      <c r="E87" s="7"/>
      <c r="F87" s="4"/>
      <c r="G87" s="4"/>
      <c r="H87" s="4"/>
      <c r="I87" s="4"/>
      <c r="J87" s="4"/>
      <c r="K87" s="4"/>
      <c r="L87" s="4"/>
      <c r="M87" s="4"/>
      <c r="N87" s="4" t="str">
        <f>IF(M87="","",VLOOKUP(M87,Referentie!$G$2:$I$26,2,0))</f>
        <v/>
      </c>
      <c r="O87" s="4" t="str">
        <f>IF(M87="","",VLOOKUP(M87,Referentie!$G$2:$I$26,3,0))</f>
        <v/>
      </c>
      <c r="P87" s="4" t="str">
        <f t="shared" si="14"/>
        <v/>
      </c>
      <c r="Q87" s="4" t="str">
        <f t="shared" si="15"/>
        <v/>
      </c>
      <c r="R87" s="4" t="str">
        <f t="shared" si="16"/>
        <v/>
      </c>
      <c r="S87" s="4" t="str">
        <f t="shared" si="17"/>
        <v/>
      </c>
      <c r="T87" s="4" t="str">
        <f t="shared" si="12"/>
        <v/>
      </c>
      <c r="U87" s="4" t="str">
        <f t="shared" si="18"/>
        <v/>
      </c>
      <c r="V87" s="4" t="str">
        <f t="shared" si="13"/>
        <v/>
      </c>
    </row>
    <row r="88" spans="1:22" ht="15" customHeight="1">
      <c r="A88" s="2"/>
      <c r="B88" s="2"/>
      <c r="C88" s="2"/>
      <c r="D88" s="4" t="str">
        <f>IF(C88="","",VLOOKUP(C88,Referentie!$A$2:$B$19,2,0))</f>
        <v/>
      </c>
      <c r="E88" s="7"/>
      <c r="F88" s="4"/>
      <c r="G88" s="4"/>
      <c r="H88" s="4"/>
      <c r="I88" s="4"/>
      <c r="J88" s="4"/>
      <c r="K88" s="4"/>
      <c r="L88" s="4"/>
      <c r="M88" s="4"/>
      <c r="N88" s="4" t="str">
        <f>IF(M88="","",VLOOKUP(M88,Referentie!$G$2:$I$26,2,0))</f>
        <v/>
      </c>
      <c r="O88" s="4" t="str">
        <f>IF(M88="","",VLOOKUP(M88,Referentie!$G$2:$I$26,3,0))</f>
        <v/>
      </c>
      <c r="P88" s="4" t="str">
        <f t="shared" si="14"/>
        <v/>
      </c>
      <c r="Q88" s="4" t="str">
        <f t="shared" si="15"/>
        <v/>
      </c>
      <c r="R88" s="4" t="str">
        <f t="shared" si="16"/>
        <v/>
      </c>
      <c r="S88" s="4" t="str">
        <f t="shared" si="17"/>
        <v/>
      </c>
      <c r="T88" s="4" t="str">
        <f t="shared" si="12"/>
        <v/>
      </c>
      <c r="U88" s="4" t="str">
        <f t="shared" si="18"/>
        <v/>
      </c>
      <c r="V88" s="4" t="str">
        <f t="shared" si="13"/>
        <v/>
      </c>
    </row>
    <row r="89" spans="1:22" ht="15" customHeight="1">
      <c r="A89" s="2"/>
      <c r="B89" s="2"/>
      <c r="C89" s="2"/>
      <c r="D89" s="4" t="str">
        <f>IF(C89="","",VLOOKUP(C89,Referentie!$A$2:$B$19,2,0))</f>
        <v/>
      </c>
      <c r="E89" s="7"/>
      <c r="F89" s="4"/>
      <c r="G89" s="4"/>
      <c r="H89" s="4"/>
      <c r="I89" s="4"/>
      <c r="J89" s="4"/>
      <c r="K89" s="4"/>
      <c r="L89" s="4"/>
      <c r="M89" s="4"/>
      <c r="N89" s="4" t="str">
        <f>IF(M89="","",VLOOKUP(M89,Referentie!$G$2:$I$26,2,0))</f>
        <v/>
      </c>
      <c r="O89" s="4" t="str">
        <f>IF(M89="","",VLOOKUP(M89,Referentie!$G$2:$I$26,3,0))</f>
        <v/>
      </c>
      <c r="P89" s="4" t="str">
        <f t="shared" si="14"/>
        <v/>
      </c>
      <c r="Q89" s="4" t="str">
        <f t="shared" si="15"/>
        <v/>
      </c>
      <c r="R89" s="4" t="str">
        <f t="shared" si="16"/>
        <v/>
      </c>
      <c r="S89" s="4" t="str">
        <f t="shared" si="17"/>
        <v/>
      </c>
      <c r="T89" s="4" t="str">
        <f t="shared" si="12"/>
        <v/>
      </c>
      <c r="U89" s="4" t="str">
        <f t="shared" si="18"/>
        <v/>
      </c>
      <c r="V89" s="4" t="str">
        <f t="shared" si="13"/>
        <v/>
      </c>
    </row>
    <row r="90" spans="1:22" ht="15" customHeight="1">
      <c r="A90" s="2"/>
      <c r="B90" s="2"/>
      <c r="C90" s="2"/>
      <c r="D90" s="4" t="str">
        <f>IF(C90="","",VLOOKUP(C90,Referentie!$A$2:$B$19,2,0))</f>
        <v/>
      </c>
      <c r="E90" s="7"/>
      <c r="F90" s="4"/>
      <c r="G90" s="4"/>
      <c r="H90" s="4"/>
      <c r="I90" s="4"/>
      <c r="J90" s="4"/>
      <c r="K90" s="4"/>
      <c r="L90" s="4"/>
      <c r="M90" s="4"/>
      <c r="N90" s="4" t="str">
        <f>IF(M90="","",VLOOKUP(M90,Referentie!$G$2:$I$26,2,0))</f>
        <v/>
      </c>
      <c r="O90" s="4" t="str">
        <f>IF(M90="","",VLOOKUP(M90,Referentie!$G$2:$I$26,3,0))</f>
        <v/>
      </c>
      <c r="P90" s="4" t="str">
        <f t="shared" si="14"/>
        <v/>
      </c>
      <c r="Q90" s="4" t="str">
        <f t="shared" si="15"/>
        <v/>
      </c>
      <c r="R90" s="4" t="str">
        <f t="shared" si="16"/>
        <v/>
      </c>
      <c r="S90" s="4" t="str">
        <f t="shared" si="17"/>
        <v/>
      </c>
      <c r="T90" s="4" t="str">
        <f t="shared" si="12"/>
        <v/>
      </c>
      <c r="U90" s="4" t="str">
        <f t="shared" si="18"/>
        <v/>
      </c>
      <c r="V90" s="4" t="str">
        <f t="shared" si="13"/>
        <v/>
      </c>
    </row>
    <row r="91" spans="1:22" ht="15" customHeight="1">
      <c r="A91" s="2"/>
      <c r="B91" s="2"/>
      <c r="C91" s="2"/>
      <c r="D91" s="4" t="str">
        <f>IF(C91="","",VLOOKUP(C91,Referentie!$A$2:$B$19,2,0))</f>
        <v/>
      </c>
      <c r="E91" s="7"/>
      <c r="F91" s="4"/>
      <c r="G91" s="4"/>
      <c r="H91" s="4"/>
      <c r="I91" s="4"/>
      <c r="J91" s="4"/>
      <c r="K91" s="4"/>
      <c r="L91" s="4"/>
      <c r="M91" s="4"/>
      <c r="N91" s="4" t="str">
        <f>IF(M91="","",VLOOKUP(M91,Referentie!$G$2:$I$26,2,0))</f>
        <v/>
      </c>
      <c r="O91" s="4" t="str">
        <f>IF(M91="","",VLOOKUP(M91,Referentie!$G$2:$I$26,3,0))</f>
        <v/>
      </c>
      <c r="P91" s="4" t="str">
        <f t="shared" si="14"/>
        <v/>
      </c>
      <c r="Q91" s="4" t="str">
        <f t="shared" si="15"/>
        <v/>
      </c>
      <c r="R91" s="4" t="str">
        <f t="shared" si="16"/>
        <v/>
      </c>
      <c r="S91" s="4" t="str">
        <f t="shared" si="17"/>
        <v/>
      </c>
      <c r="T91" s="4" t="str">
        <f t="shared" si="12"/>
        <v/>
      </c>
      <c r="U91" s="4" t="str">
        <f t="shared" si="18"/>
        <v/>
      </c>
      <c r="V91" s="4" t="str">
        <f t="shared" si="13"/>
        <v/>
      </c>
    </row>
    <row r="92" spans="1:22" ht="15" customHeight="1">
      <c r="A92" s="2"/>
      <c r="B92" s="2"/>
      <c r="C92" s="2"/>
      <c r="D92" s="4" t="str">
        <f>IF(C92="","",VLOOKUP(C92,Referentie!$A$2:$B$19,2,0))</f>
        <v/>
      </c>
      <c r="E92" s="7"/>
      <c r="F92" s="4"/>
      <c r="G92" s="4"/>
      <c r="H92" s="4"/>
      <c r="I92" s="4"/>
      <c r="J92" s="4"/>
      <c r="K92" s="4"/>
      <c r="L92" s="4"/>
      <c r="M92" s="4"/>
      <c r="N92" s="4" t="str">
        <f>IF(M92="","",VLOOKUP(M92,Referentie!$G$2:$I$26,2,0))</f>
        <v/>
      </c>
      <c r="O92" s="4" t="str">
        <f>IF(M92="","",VLOOKUP(M92,Referentie!$G$2:$I$26,3,0))</f>
        <v/>
      </c>
      <c r="P92" s="4" t="str">
        <f t="shared" si="14"/>
        <v/>
      </c>
      <c r="Q92" s="4" t="str">
        <f t="shared" si="15"/>
        <v/>
      </c>
      <c r="R92" s="4" t="str">
        <f t="shared" si="16"/>
        <v/>
      </c>
      <c r="S92" s="4" t="str">
        <f t="shared" si="17"/>
        <v/>
      </c>
      <c r="T92" s="4" t="str">
        <f t="shared" si="12"/>
        <v/>
      </c>
      <c r="U92" s="4" t="str">
        <f t="shared" si="18"/>
        <v/>
      </c>
      <c r="V92" s="4" t="str">
        <f t="shared" si="13"/>
        <v/>
      </c>
    </row>
    <row r="93" spans="1:22" ht="15" customHeight="1">
      <c r="A93" s="2"/>
      <c r="B93" s="2"/>
      <c r="C93" s="2"/>
      <c r="D93" s="4" t="str">
        <f>IF(C93="","",VLOOKUP(C93,Referentie!$A$2:$B$19,2,0))</f>
        <v/>
      </c>
      <c r="E93" s="7"/>
      <c r="F93" s="4"/>
      <c r="G93" s="4"/>
      <c r="H93" s="4"/>
      <c r="I93" s="4"/>
      <c r="J93" s="4"/>
      <c r="K93" s="4"/>
      <c r="L93" s="4"/>
      <c r="M93" s="4"/>
      <c r="N93" s="4" t="str">
        <f>IF(M93="","",VLOOKUP(M93,Referentie!$G$2:$I$26,2,0))</f>
        <v/>
      </c>
      <c r="O93" s="4" t="str">
        <f>IF(M93="","",VLOOKUP(M93,Referentie!$G$2:$I$26,3,0))</f>
        <v/>
      </c>
      <c r="P93" s="4" t="str">
        <f t="shared" si="14"/>
        <v/>
      </c>
      <c r="Q93" s="4" t="str">
        <f t="shared" si="15"/>
        <v/>
      </c>
      <c r="R93" s="4" t="str">
        <f t="shared" si="16"/>
        <v/>
      </c>
      <c r="S93" s="4" t="str">
        <f t="shared" si="17"/>
        <v/>
      </c>
      <c r="T93" s="4" t="str">
        <f t="shared" si="12"/>
        <v/>
      </c>
      <c r="U93" s="4" t="str">
        <f t="shared" si="18"/>
        <v/>
      </c>
      <c r="V93" s="4" t="str">
        <f t="shared" si="13"/>
        <v/>
      </c>
    </row>
    <row r="94" spans="1:22" ht="15" customHeight="1">
      <c r="A94" s="2"/>
      <c r="B94" s="2"/>
      <c r="C94" s="2"/>
      <c r="D94" s="4" t="str">
        <f>IF(C94="","",VLOOKUP(C94,Referentie!$A$2:$B$19,2,0))</f>
        <v/>
      </c>
      <c r="E94" s="7"/>
      <c r="F94" s="4"/>
      <c r="G94" s="4"/>
      <c r="H94" s="4"/>
      <c r="I94" s="4"/>
      <c r="J94" s="4"/>
      <c r="K94" s="4"/>
      <c r="L94" s="4"/>
      <c r="M94" s="4"/>
      <c r="N94" s="4" t="str">
        <f>IF(M94="","",VLOOKUP(M94,Referentie!$G$2:$I$26,2,0))</f>
        <v/>
      </c>
      <c r="O94" s="4" t="str">
        <f>IF(M94="","",VLOOKUP(M94,Referentie!$G$2:$I$26,3,0))</f>
        <v/>
      </c>
      <c r="P94" s="4" t="str">
        <f t="shared" si="14"/>
        <v/>
      </c>
      <c r="Q94" s="4" t="str">
        <f t="shared" si="15"/>
        <v/>
      </c>
      <c r="R94" s="4" t="str">
        <f t="shared" si="16"/>
        <v/>
      </c>
      <c r="S94" s="4" t="str">
        <f t="shared" si="17"/>
        <v/>
      </c>
      <c r="T94" s="4" t="str">
        <f t="shared" si="12"/>
        <v/>
      </c>
      <c r="U94" s="4" t="str">
        <f t="shared" si="18"/>
        <v/>
      </c>
      <c r="V94" s="4" t="str">
        <f t="shared" si="13"/>
        <v/>
      </c>
    </row>
    <row r="95" spans="1:22" ht="15" customHeight="1">
      <c r="A95" s="2"/>
      <c r="B95" s="2"/>
      <c r="C95" s="2"/>
      <c r="D95" s="4" t="str">
        <f>IF(C95="","",VLOOKUP(C95,Referentie!$A$2:$B$19,2,0))</f>
        <v/>
      </c>
      <c r="E95" s="7"/>
      <c r="F95" s="4"/>
      <c r="G95" s="4"/>
      <c r="H95" s="4"/>
      <c r="I95" s="4"/>
      <c r="J95" s="4"/>
      <c r="K95" s="4"/>
      <c r="L95" s="4"/>
      <c r="M95" s="4"/>
      <c r="N95" s="4" t="str">
        <f>IF(M95="","",VLOOKUP(M95,Referentie!$G$2:$I$26,2,0))</f>
        <v/>
      </c>
      <c r="O95" s="4" t="str">
        <f>IF(M95="","",VLOOKUP(M95,Referentie!$G$2:$I$26,3,0))</f>
        <v/>
      </c>
      <c r="P95" s="4" t="str">
        <f t="shared" si="14"/>
        <v/>
      </c>
      <c r="Q95" s="4" t="str">
        <f t="shared" si="15"/>
        <v/>
      </c>
      <c r="R95" s="4" t="str">
        <f t="shared" si="16"/>
        <v/>
      </c>
      <c r="S95" s="4" t="str">
        <f t="shared" si="17"/>
        <v/>
      </c>
      <c r="T95" s="4" t="str">
        <f t="shared" si="12"/>
        <v/>
      </c>
      <c r="U95" s="4" t="str">
        <f t="shared" si="18"/>
        <v/>
      </c>
      <c r="V95" s="4" t="str">
        <f t="shared" si="13"/>
        <v/>
      </c>
    </row>
    <row r="96" spans="1:22" ht="15" customHeight="1">
      <c r="A96" s="2"/>
      <c r="B96" s="2"/>
      <c r="C96" s="2"/>
      <c r="D96" s="4" t="str">
        <f>IF(C96="","",VLOOKUP(C96,Referentie!$A$2:$B$19,2,0))</f>
        <v/>
      </c>
      <c r="E96" s="7"/>
      <c r="F96" s="4"/>
      <c r="G96" s="4"/>
      <c r="H96" s="4"/>
      <c r="I96" s="4"/>
      <c r="J96" s="4"/>
      <c r="K96" s="4"/>
      <c r="L96" s="4"/>
      <c r="M96" s="4"/>
      <c r="N96" s="4" t="str">
        <f>IF(M96="","",VLOOKUP(M96,Referentie!$G$2:$I$26,2,0))</f>
        <v/>
      </c>
      <c r="O96" s="4" t="str">
        <f>IF(M96="","",VLOOKUP(M96,Referentie!$G$2:$I$26,3,0))</f>
        <v/>
      </c>
      <c r="P96" s="4" t="str">
        <f t="shared" si="14"/>
        <v/>
      </c>
      <c r="Q96" s="4" t="str">
        <f t="shared" si="15"/>
        <v/>
      </c>
      <c r="R96" s="4" t="str">
        <f t="shared" si="16"/>
        <v/>
      </c>
      <c r="S96" s="4" t="str">
        <f t="shared" si="17"/>
        <v/>
      </c>
      <c r="T96" s="4" t="str">
        <f t="shared" si="12"/>
        <v/>
      </c>
      <c r="U96" s="4" t="str">
        <f t="shared" si="18"/>
        <v/>
      </c>
      <c r="V96" s="4" t="str">
        <f t="shared" si="13"/>
        <v/>
      </c>
    </row>
    <row r="97" spans="1:22" ht="15" customHeight="1">
      <c r="A97" s="2"/>
      <c r="B97" s="2"/>
      <c r="C97" s="2"/>
      <c r="D97" s="4" t="str">
        <f>IF(C97="","",VLOOKUP(C97,Referentie!$A$2:$B$19,2,0))</f>
        <v/>
      </c>
      <c r="E97" s="7"/>
      <c r="F97" s="4"/>
      <c r="G97" s="4"/>
      <c r="H97" s="4"/>
      <c r="I97" s="4"/>
      <c r="J97" s="4"/>
      <c r="K97" s="4"/>
      <c r="L97" s="4"/>
      <c r="M97" s="4"/>
      <c r="N97" s="4" t="str">
        <f>IF(M97="","",VLOOKUP(M97,Referentie!$G$2:$I$26,2,0))</f>
        <v/>
      </c>
      <c r="O97" s="4" t="str">
        <f>IF(M97="","",VLOOKUP(M97,Referentie!$G$2:$I$26,3,0))</f>
        <v/>
      </c>
      <c r="P97" s="4" t="str">
        <f t="shared" si="14"/>
        <v/>
      </c>
      <c r="Q97" s="4" t="str">
        <f t="shared" si="15"/>
        <v/>
      </c>
      <c r="R97" s="4" t="str">
        <f t="shared" si="16"/>
        <v/>
      </c>
      <c r="S97" s="4" t="str">
        <f t="shared" si="17"/>
        <v/>
      </c>
      <c r="T97" s="4" t="str">
        <f t="shared" si="12"/>
        <v/>
      </c>
      <c r="U97" s="4" t="str">
        <f t="shared" si="18"/>
        <v/>
      </c>
      <c r="V97" s="4" t="str">
        <f t="shared" si="13"/>
        <v/>
      </c>
    </row>
    <row r="98" spans="1:22" ht="15" customHeight="1">
      <c r="A98" s="2"/>
      <c r="B98" s="2"/>
      <c r="C98" s="2"/>
      <c r="D98" s="4" t="str">
        <f>IF(C98="","",VLOOKUP(C98,Referentie!$A$2:$B$19,2,0))</f>
        <v/>
      </c>
      <c r="E98" s="7"/>
      <c r="F98" s="4"/>
      <c r="G98" s="4"/>
      <c r="H98" s="4"/>
      <c r="I98" s="4"/>
      <c r="J98" s="4"/>
      <c r="K98" s="4"/>
      <c r="L98" s="4"/>
      <c r="M98" s="4"/>
      <c r="N98" s="4" t="str">
        <f>IF(M98="","",VLOOKUP(M98,Referentie!$G$2:$I$26,2,0))</f>
        <v/>
      </c>
      <c r="O98" s="4" t="str">
        <f>IF(M98="","",VLOOKUP(M98,Referentie!$G$2:$I$26,3,0))</f>
        <v/>
      </c>
      <c r="P98" s="4" t="str">
        <f t="shared" si="14"/>
        <v/>
      </c>
      <c r="Q98" s="4" t="str">
        <f t="shared" si="15"/>
        <v/>
      </c>
      <c r="R98" s="4" t="str">
        <f t="shared" si="16"/>
        <v/>
      </c>
      <c r="S98" s="4" t="str">
        <f t="shared" si="17"/>
        <v/>
      </c>
      <c r="T98" s="4" t="str">
        <f t="shared" si="12"/>
        <v/>
      </c>
      <c r="U98" s="4" t="str">
        <f t="shared" si="18"/>
        <v/>
      </c>
      <c r="V98" s="4" t="str">
        <f t="shared" si="13"/>
        <v/>
      </c>
    </row>
    <row r="99" spans="1:22" ht="15" customHeight="1">
      <c r="A99" s="2"/>
      <c r="B99" s="2"/>
      <c r="C99" s="2"/>
      <c r="D99" s="4" t="str">
        <f>IF(C99="","",VLOOKUP(C99,Referentie!$A$2:$B$19,2,0))</f>
        <v/>
      </c>
      <c r="E99" s="7"/>
      <c r="F99" s="4"/>
      <c r="G99" s="4"/>
      <c r="H99" s="4"/>
      <c r="I99" s="4"/>
      <c r="J99" s="4"/>
      <c r="K99" s="4"/>
      <c r="L99" s="4"/>
      <c r="M99" s="4"/>
      <c r="N99" s="4" t="str">
        <f>IF(M99="","",VLOOKUP(M99,Referentie!$G$2:$I$26,2,0))</f>
        <v/>
      </c>
      <c r="O99" s="4" t="str">
        <f>IF(M99="","",VLOOKUP(M99,Referentie!$G$2:$I$26,3,0))</f>
        <v/>
      </c>
      <c r="P99" s="4" t="str">
        <f t="shared" ref="P99:P129" si="19">IF(A99="","", (IF(N99="Speed of Help",2,0)) + (IF(O99="Speed of Help",-2,0)) + (IF(N99="EXP Gains",1,0)) + (IF(O99="EXP Gains",-1,0)) + (COUNTIF(H99:L99,"Helping Speed S")*1) + (COUNTIF(H99:L99,"Helping Speed M")*2) + (COUNTIF(H99:L99,"Berry Finding S")*2) + (COUNTIF(H99:L99,"Helping Bonus")*1) + (IF(O99="Ingredient Finding",0,0)) + (IF(O99="Main Skill Chance",0,0)) )</f>
        <v/>
      </c>
      <c r="Q99" s="4" t="str">
        <f t="shared" ref="Q99:Q129" si="20">IF(A99="","", (IF(N99="Ingredient Finding",2,0)) + (IF(O99="Ingredient Finding",-2,0)) + (IF(N99="EXP Gains",1,0)) + (IF(O99="EXP Gains",-1,0)) + (COUNTIF(H99:L99,"Ingredient Finder S")*1) + (COUNTIF(H99:L99,"Ingredient Finder M")*2) + (COUNTIF(H99:L99,"Inventory Up S")*0.5) + (COUNTIF(H99:L99,"Inventory Up M")*1) + (COUNTIF(H99:L99,"Inventory Up L")*1.5) + (IF(E99=F99,1,0)) + (IF(F99=G99,1,0)) )</f>
        <v/>
      </c>
      <c r="R99" s="4" t="str">
        <f t="shared" ref="R99:R129" si="21">IF(A99="","", (IF(N99="Main Skill Chance",2,0)) + (IF(O99="Main Skill Chance",-2,0)) + (IF(N99="EXP Gains",1,0)) + (IF(O99="EXP Gains",-1,0)) + (COUNTIF(H99:L99,"Skill Trigger S")*1) + (COUNTIF(H99:L99,"Skill Trigger M")*2) + (COUNTIF(H99:L99,"Skill Level Up S")*1) + (COUNTIF(H99:L99,"Skill Level Up M")*2) + (COUNTIF(H99:L99,"Energy Recovery Bonus")*1.5) + (COUNTIF(H99:L99,"Sleep EXP Bonus")*1) + (COUNTIF(H99:L99,"Research EXP Bonus")*1) )</f>
        <v/>
      </c>
      <c r="S99" s="4" t="str">
        <f t="shared" ref="S99:S129" si="22">IF(A99="","", IF(AND(P99&lt;=1, Q99&lt;=1, R99&lt;=1), "Bench", IF(AND(P99&gt;=Q99, P99&gt;=R99), "Berry", IF(AND(Q99&gt;=P99, Q99&gt;=R99), "Ingredient", "Skill"))) )</f>
        <v/>
      </c>
      <c r="T99" s="4" t="str">
        <f t="shared" si="12"/>
        <v/>
      </c>
      <c r="U99" s="4" t="str">
        <f t="shared" ref="U99:U129" si="23">IF(A99="","", IF(T99&gt;=7, "⭐ Keep", IF(T99&gt;=5, "📈 Level Up", IF(T99&gt;=3, "🤔 Bench", "❌ Transfer"))) )</f>
        <v/>
      </c>
      <c r="V99" s="4" t="str">
        <f t="shared" si="13"/>
        <v/>
      </c>
    </row>
    <row r="100" spans="1:22" ht="15" customHeight="1">
      <c r="A100" s="2"/>
      <c r="B100" s="2"/>
      <c r="C100" s="2"/>
      <c r="D100" s="4" t="str">
        <f>IF(C100="","",VLOOKUP(C100,Referentie!$A$2:$B$19,2,0))</f>
        <v/>
      </c>
      <c r="E100" s="7"/>
      <c r="F100" s="4"/>
      <c r="G100" s="4"/>
      <c r="H100" s="4"/>
      <c r="I100" s="4"/>
      <c r="J100" s="4"/>
      <c r="K100" s="4"/>
      <c r="L100" s="4"/>
      <c r="M100" s="4"/>
      <c r="N100" s="4" t="str">
        <f>IF(M100="","",VLOOKUP(M100,Referentie!$G$2:$I$26,2,0))</f>
        <v/>
      </c>
      <c r="O100" s="4" t="str">
        <f>IF(M100="","",VLOOKUP(M100,Referentie!$G$2:$I$26,3,0))</f>
        <v/>
      </c>
      <c r="P100" s="4" t="str">
        <f t="shared" si="19"/>
        <v/>
      </c>
      <c r="Q100" s="4" t="str">
        <f t="shared" si="20"/>
        <v/>
      </c>
      <c r="R100" s="4" t="str">
        <f t="shared" si="21"/>
        <v/>
      </c>
      <c r="S100" s="4" t="str">
        <f t="shared" si="22"/>
        <v/>
      </c>
      <c r="T100" s="4" t="str">
        <f t="shared" si="12"/>
        <v/>
      </c>
      <c r="U100" s="4" t="str">
        <f t="shared" si="23"/>
        <v/>
      </c>
      <c r="V100" s="4" t="str">
        <f t="shared" si="13"/>
        <v/>
      </c>
    </row>
    <row r="101" spans="1:22" ht="15" customHeight="1">
      <c r="A101" s="2"/>
      <c r="B101" s="2"/>
      <c r="C101" s="2"/>
      <c r="D101" s="4" t="str">
        <f>IF(C101="","",VLOOKUP(C101,Referentie!$A$2:$B$19,2,0))</f>
        <v/>
      </c>
      <c r="E101" s="7"/>
      <c r="F101" s="4"/>
      <c r="G101" s="4"/>
      <c r="H101" s="4"/>
      <c r="I101" s="4"/>
      <c r="J101" s="4"/>
      <c r="K101" s="4"/>
      <c r="L101" s="4"/>
      <c r="M101" s="4"/>
      <c r="N101" s="4" t="str">
        <f>IF(M101="","",VLOOKUP(M101,Referentie!$G$2:$I$26,2,0))</f>
        <v/>
      </c>
      <c r="O101" s="4" t="str">
        <f>IF(M101="","",VLOOKUP(M101,Referentie!$G$2:$I$26,3,0))</f>
        <v/>
      </c>
      <c r="P101" s="4" t="str">
        <f t="shared" si="19"/>
        <v/>
      </c>
      <c r="Q101" s="4" t="str">
        <f t="shared" si="20"/>
        <v/>
      </c>
      <c r="R101" s="4" t="str">
        <f t="shared" si="21"/>
        <v/>
      </c>
      <c r="S101" s="4" t="str">
        <f t="shared" si="22"/>
        <v/>
      </c>
      <c r="T101" s="4" t="str">
        <f t="shared" si="12"/>
        <v/>
      </c>
      <c r="U101" s="4" t="str">
        <f t="shared" si="23"/>
        <v/>
      </c>
      <c r="V101" s="4" t="str">
        <f t="shared" si="13"/>
        <v/>
      </c>
    </row>
    <row r="102" spans="1:22" ht="15" customHeight="1">
      <c r="A102" s="2"/>
      <c r="B102" s="2"/>
      <c r="C102" s="2"/>
      <c r="D102" s="4" t="str">
        <f>IF(C102="","",VLOOKUP(C102,Referentie!$A$2:$B$19,2,0))</f>
        <v/>
      </c>
      <c r="E102" s="7"/>
      <c r="F102" s="4"/>
      <c r="G102" s="4"/>
      <c r="H102" s="4"/>
      <c r="I102" s="4"/>
      <c r="J102" s="4"/>
      <c r="K102" s="4"/>
      <c r="L102" s="4"/>
      <c r="M102" s="4"/>
      <c r="N102" s="4" t="str">
        <f>IF(M102="","",VLOOKUP(M102,Referentie!$G$2:$I$26,2,0))</f>
        <v/>
      </c>
      <c r="O102" s="4" t="str">
        <f>IF(M102="","",VLOOKUP(M102,Referentie!$G$2:$I$26,3,0))</f>
        <v/>
      </c>
      <c r="P102" s="4" t="str">
        <f t="shared" si="19"/>
        <v/>
      </c>
      <c r="Q102" s="4" t="str">
        <f t="shared" si="20"/>
        <v/>
      </c>
      <c r="R102" s="4" t="str">
        <f t="shared" si="21"/>
        <v/>
      </c>
      <c r="S102" s="4" t="str">
        <f t="shared" si="22"/>
        <v/>
      </c>
      <c r="T102" s="4" t="str">
        <f t="shared" si="12"/>
        <v/>
      </c>
      <c r="U102" s="4" t="str">
        <f t="shared" si="23"/>
        <v/>
      </c>
      <c r="V102" s="4" t="str">
        <f t="shared" si="13"/>
        <v/>
      </c>
    </row>
    <row r="103" spans="1:22" ht="15" customHeight="1">
      <c r="A103" s="2"/>
      <c r="B103" s="2"/>
      <c r="C103" s="2"/>
      <c r="D103" s="4" t="str">
        <f>IF(C103="","",VLOOKUP(C103,Referentie!$A$2:$B$19,2,0))</f>
        <v/>
      </c>
      <c r="E103" s="7"/>
      <c r="F103" s="4"/>
      <c r="G103" s="4"/>
      <c r="H103" s="4"/>
      <c r="I103" s="4"/>
      <c r="J103" s="4"/>
      <c r="K103" s="4"/>
      <c r="L103" s="4"/>
      <c r="M103" s="4"/>
      <c r="N103" s="4" t="str">
        <f>IF(M103="","",VLOOKUP(M103,Referentie!$G$2:$I$26,2,0))</f>
        <v/>
      </c>
      <c r="O103" s="4" t="str">
        <f>IF(M103="","",VLOOKUP(M103,Referentie!$G$2:$I$26,3,0))</f>
        <v/>
      </c>
      <c r="P103" s="4" t="str">
        <f t="shared" si="19"/>
        <v/>
      </c>
      <c r="Q103" s="4" t="str">
        <f t="shared" si="20"/>
        <v/>
      </c>
      <c r="R103" s="4" t="str">
        <f t="shared" si="21"/>
        <v/>
      </c>
      <c r="S103" s="4" t="str">
        <f t="shared" si="22"/>
        <v/>
      </c>
      <c r="T103" s="4" t="str">
        <f t="shared" si="12"/>
        <v/>
      </c>
      <c r="U103" s="4" t="str">
        <f t="shared" si="23"/>
        <v/>
      </c>
      <c r="V103" s="4" t="str">
        <f t="shared" si="13"/>
        <v/>
      </c>
    </row>
    <row r="104" spans="1:22" ht="15" customHeight="1">
      <c r="A104" s="2"/>
      <c r="B104" s="2"/>
      <c r="C104" s="2"/>
      <c r="D104" s="4" t="str">
        <f>IF(C104="","",VLOOKUP(C104,Referentie!$A$2:$B$19,2,0))</f>
        <v/>
      </c>
      <c r="E104" s="7"/>
      <c r="F104" s="4"/>
      <c r="G104" s="4"/>
      <c r="H104" s="4"/>
      <c r="I104" s="4"/>
      <c r="J104" s="4"/>
      <c r="K104" s="4"/>
      <c r="L104" s="4"/>
      <c r="M104" s="4"/>
      <c r="N104" s="4" t="str">
        <f>IF(M104="","",VLOOKUP(M104,Referentie!$G$2:$I$26,2,0))</f>
        <v/>
      </c>
      <c r="O104" s="4" t="str">
        <f>IF(M104="","",VLOOKUP(M104,Referentie!$G$2:$I$26,3,0))</f>
        <v/>
      </c>
      <c r="P104" s="4" t="str">
        <f t="shared" si="19"/>
        <v/>
      </c>
      <c r="Q104" s="4" t="str">
        <f t="shared" si="20"/>
        <v/>
      </c>
      <c r="R104" s="4" t="str">
        <f t="shared" si="21"/>
        <v/>
      </c>
      <c r="S104" s="4" t="str">
        <f t="shared" si="22"/>
        <v/>
      </c>
      <c r="T104" s="4" t="str">
        <f t="shared" si="12"/>
        <v/>
      </c>
      <c r="U104" s="4" t="str">
        <f t="shared" si="23"/>
        <v/>
      </c>
      <c r="V104" s="4" t="str">
        <f t="shared" si="13"/>
        <v/>
      </c>
    </row>
    <row r="105" spans="1:22" ht="15" customHeight="1">
      <c r="A105" s="2"/>
      <c r="B105" s="2"/>
      <c r="C105" s="2"/>
      <c r="D105" s="4" t="str">
        <f>IF(C105="","",VLOOKUP(C105,Referentie!$A$2:$B$19,2,0))</f>
        <v/>
      </c>
      <c r="E105" s="7"/>
      <c r="F105" s="4"/>
      <c r="G105" s="4"/>
      <c r="H105" s="4"/>
      <c r="I105" s="4"/>
      <c r="J105" s="4"/>
      <c r="K105" s="4"/>
      <c r="L105" s="4"/>
      <c r="M105" s="4"/>
      <c r="N105" s="4" t="str">
        <f>IF(M105="","",VLOOKUP(M105,Referentie!$G$2:$I$26,2,0))</f>
        <v/>
      </c>
      <c r="O105" s="4" t="str">
        <f>IF(M105="","",VLOOKUP(M105,Referentie!$G$2:$I$26,3,0))</f>
        <v/>
      </c>
      <c r="P105" s="4" t="str">
        <f t="shared" si="19"/>
        <v/>
      </c>
      <c r="Q105" s="4" t="str">
        <f t="shared" si="20"/>
        <v/>
      </c>
      <c r="R105" s="4" t="str">
        <f t="shared" si="21"/>
        <v/>
      </c>
      <c r="S105" s="4" t="str">
        <f t="shared" si="22"/>
        <v/>
      </c>
      <c r="T105" s="4" t="str">
        <f t="shared" si="12"/>
        <v/>
      </c>
      <c r="U105" s="4" t="str">
        <f t="shared" si="23"/>
        <v/>
      </c>
      <c r="V105" s="4" t="str">
        <f t="shared" si="13"/>
        <v/>
      </c>
    </row>
    <row r="106" spans="1:22" ht="15" customHeight="1">
      <c r="A106" s="2"/>
      <c r="B106" s="2"/>
      <c r="C106" s="2"/>
      <c r="D106" s="4" t="str">
        <f>IF(C106="","",VLOOKUP(C106,Referentie!$A$2:$B$19,2,0))</f>
        <v/>
      </c>
      <c r="E106" s="7"/>
      <c r="F106" s="4"/>
      <c r="G106" s="4"/>
      <c r="H106" s="4"/>
      <c r="I106" s="4"/>
      <c r="J106" s="4"/>
      <c r="K106" s="4"/>
      <c r="L106" s="4"/>
      <c r="M106" s="4"/>
      <c r="N106" s="4" t="str">
        <f>IF(M106="","",VLOOKUP(M106,Referentie!$G$2:$I$26,2,0))</f>
        <v/>
      </c>
      <c r="O106" s="4" t="str">
        <f>IF(M106="","",VLOOKUP(M106,Referentie!$G$2:$I$26,3,0))</f>
        <v/>
      </c>
      <c r="P106" s="4" t="str">
        <f t="shared" si="19"/>
        <v/>
      </c>
      <c r="Q106" s="4" t="str">
        <f t="shared" si="20"/>
        <v/>
      </c>
      <c r="R106" s="4" t="str">
        <f t="shared" si="21"/>
        <v/>
      </c>
      <c r="S106" s="4" t="str">
        <f t="shared" si="22"/>
        <v/>
      </c>
      <c r="T106" s="4" t="str">
        <f t="shared" si="12"/>
        <v/>
      </c>
      <c r="U106" s="4" t="str">
        <f t="shared" si="23"/>
        <v/>
      </c>
      <c r="V106" s="4" t="str">
        <f t="shared" si="13"/>
        <v/>
      </c>
    </row>
    <row r="107" spans="1:22" ht="15" customHeight="1">
      <c r="A107" s="2"/>
      <c r="B107" s="2"/>
      <c r="C107" s="2"/>
      <c r="D107" s="4" t="str">
        <f>IF(C107="","",VLOOKUP(C107,Referentie!$A$2:$B$19,2,0))</f>
        <v/>
      </c>
      <c r="E107" s="7"/>
      <c r="F107" s="4"/>
      <c r="G107" s="4"/>
      <c r="H107" s="4"/>
      <c r="I107" s="4"/>
      <c r="J107" s="4"/>
      <c r="K107" s="4"/>
      <c r="L107" s="4"/>
      <c r="M107" s="4"/>
      <c r="N107" s="4" t="str">
        <f>IF(M107="","",VLOOKUP(M107,Referentie!$G$2:$I$26,2,0))</f>
        <v/>
      </c>
      <c r="O107" s="4" t="str">
        <f>IF(M107="","",VLOOKUP(M107,Referentie!$G$2:$I$26,3,0))</f>
        <v/>
      </c>
      <c r="P107" s="4" t="str">
        <f t="shared" si="19"/>
        <v/>
      </c>
      <c r="Q107" s="4" t="str">
        <f t="shared" si="20"/>
        <v/>
      </c>
      <c r="R107" s="4" t="str">
        <f t="shared" si="21"/>
        <v/>
      </c>
      <c r="S107" s="4" t="str">
        <f t="shared" si="22"/>
        <v/>
      </c>
      <c r="T107" s="4" t="str">
        <f t="shared" si="12"/>
        <v/>
      </c>
      <c r="U107" s="4" t="str">
        <f t="shared" si="23"/>
        <v/>
      </c>
      <c r="V107" s="4" t="str">
        <f t="shared" si="13"/>
        <v/>
      </c>
    </row>
    <row r="108" spans="1:22" ht="15" customHeight="1">
      <c r="A108" s="2"/>
      <c r="B108" s="2"/>
      <c r="C108" s="2"/>
      <c r="D108" s="4" t="str">
        <f>IF(C108="","",VLOOKUP(C108,Referentie!$A$2:$B$19,2,0))</f>
        <v/>
      </c>
      <c r="E108" s="7"/>
      <c r="F108" s="4"/>
      <c r="G108" s="4"/>
      <c r="H108" s="4"/>
      <c r="I108" s="4"/>
      <c r="J108" s="4"/>
      <c r="K108" s="4"/>
      <c r="L108" s="4"/>
      <c r="M108" s="4"/>
      <c r="N108" s="4" t="str">
        <f>IF(M108="","",VLOOKUP(M108,Referentie!$G$2:$I$26,2,0))</f>
        <v/>
      </c>
      <c r="O108" s="4" t="str">
        <f>IF(M108="","",VLOOKUP(M108,Referentie!$G$2:$I$26,3,0))</f>
        <v/>
      </c>
      <c r="P108" s="4" t="str">
        <f t="shared" si="19"/>
        <v/>
      </c>
      <c r="Q108" s="4" t="str">
        <f t="shared" si="20"/>
        <v/>
      </c>
      <c r="R108" s="4" t="str">
        <f t="shared" si="21"/>
        <v/>
      </c>
      <c r="S108" s="4" t="str">
        <f t="shared" si="22"/>
        <v/>
      </c>
      <c r="T108" s="4" t="str">
        <f t="shared" si="12"/>
        <v/>
      </c>
      <c r="U108" s="4" t="str">
        <f t="shared" si="23"/>
        <v/>
      </c>
      <c r="V108" s="4" t="str">
        <f t="shared" si="13"/>
        <v/>
      </c>
    </row>
    <row r="109" spans="1:22" ht="15" customHeight="1">
      <c r="A109" s="2"/>
      <c r="B109" s="2"/>
      <c r="C109" s="2"/>
      <c r="D109" s="4" t="str">
        <f>IF(C109="","",VLOOKUP(C109,Referentie!$A$2:$B$19,2,0))</f>
        <v/>
      </c>
      <c r="E109" s="7"/>
      <c r="F109" s="4"/>
      <c r="G109" s="4"/>
      <c r="H109" s="4"/>
      <c r="I109" s="4"/>
      <c r="J109" s="4"/>
      <c r="K109" s="4"/>
      <c r="L109" s="4"/>
      <c r="M109" s="4"/>
      <c r="N109" s="4" t="str">
        <f>IF(M109="","",VLOOKUP(M109,Referentie!$G$2:$I$26,2,0))</f>
        <v/>
      </c>
      <c r="O109" s="4" t="str">
        <f>IF(M109="","",VLOOKUP(M109,Referentie!$G$2:$I$26,3,0))</f>
        <v/>
      </c>
      <c r="P109" s="4" t="str">
        <f t="shared" si="19"/>
        <v/>
      </c>
      <c r="Q109" s="4" t="str">
        <f t="shared" si="20"/>
        <v/>
      </c>
      <c r="R109" s="4" t="str">
        <f t="shared" si="21"/>
        <v/>
      </c>
      <c r="S109" s="4" t="str">
        <f t="shared" si="22"/>
        <v/>
      </c>
      <c r="T109" s="4" t="str">
        <f t="shared" si="12"/>
        <v/>
      </c>
      <c r="U109" s="4" t="str">
        <f t="shared" si="23"/>
        <v/>
      </c>
      <c r="V109" s="4" t="str">
        <f t="shared" si="13"/>
        <v/>
      </c>
    </row>
    <row r="110" spans="1:22" ht="15" customHeight="1">
      <c r="A110" s="2"/>
      <c r="B110" s="2"/>
      <c r="C110" s="2"/>
      <c r="D110" s="4" t="str">
        <f>IF(C110="","",VLOOKUP(C110,Referentie!$A$2:$B$19,2,0))</f>
        <v/>
      </c>
      <c r="E110" s="7"/>
      <c r="F110" s="4"/>
      <c r="G110" s="4"/>
      <c r="H110" s="4"/>
      <c r="I110" s="4"/>
      <c r="J110" s="4"/>
      <c r="K110" s="4"/>
      <c r="L110" s="4"/>
      <c r="M110" s="4"/>
      <c r="N110" s="4" t="str">
        <f>IF(M110="","",VLOOKUP(M110,Referentie!$G$2:$I$26,2,0))</f>
        <v/>
      </c>
      <c r="O110" s="4" t="str">
        <f>IF(M110="","",VLOOKUP(M110,Referentie!$G$2:$I$26,3,0))</f>
        <v/>
      </c>
      <c r="P110" s="4" t="str">
        <f t="shared" si="19"/>
        <v/>
      </c>
      <c r="Q110" s="4" t="str">
        <f t="shared" si="20"/>
        <v/>
      </c>
      <c r="R110" s="4" t="str">
        <f t="shared" si="21"/>
        <v/>
      </c>
      <c r="S110" s="4" t="str">
        <f t="shared" si="22"/>
        <v/>
      </c>
      <c r="T110" s="4" t="str">
        <f t="shared" si="12"/>
        <v/>
      </c>
      <c r="U110" s="4" t="str">
        <f t="shared" si="23"/>
        <v/>
      </c>
      <c r="V110" s="4" t="str">
        <f t="shared" si="13"/>
        <v/>
      </c>
    </row>
    <row r="111" spans="1:22" ht="15" customHeight="1">
      <c r="A111" s="2"/>
      <c r="B111" s="2"/>
      <c r="C111" s="2"/>
      <c r="D111" s="4" t="str">
        <f>IF(C111="","",VLOOKUP(C111,Referentie!$A$2:$B$19,2,0))</f>
        <v/>
      </c>
      <c r="E111" s="7"/>
      <c r="F111" s="4"/>
      <c r="G111" s="4"/>
      <c r="H111" s="4"/>
      <c r="I111" s="4"/>
      <c r="J111" s="4"/>
      <c r="K111" s="4"/>
      <c r="L111" s="4"/>
      <c r="M111" s="4"/>
      <c r="N111" s="4" t="str">
        <f>IF(M111="","",VLOOKUP(M111,Referentie!$G$2:$I$26,2,0))</f>
        <v/>
      </c>
      <c r="O111" s="4" t="str">
        <f>IF(M111="","",VLOOKUP(M111,Referentie!$G$2:$I$26,3,0))</f>
        <v/>
      </c>
      <c r="P111" s="4" t="str">
        <f t="shared" si="19"/>
        <v/>
      </c>
      <c r="Q111" s="4" t="str">
        <f t="shared" si="20"/>
        <v/>
      </c>
      <c r="R111" s="4" t="str">
        <f t="shared" si="21"/>
        <v/>
      </c>
      <c r="S111" s="4" t="str">
        <f t="shared" si="22"/>
        <v/>
      </c>
      <c r="T111" s="4" t="str">
        <f t="shared" si="12"/>
        <v/>
      </c>
      <c r="U111" s="4" t="str">
        <f t="shared" si="23"/>
        <v/>
      </c>
      <c r="V111" s="4" t="str">
        <f t="shared" si="13"/>
        <v/>
      </c>
    </row>
    <row r="112" spans="1:22" ht="15" customHeight="1">
      <c r="A112" s="2"/>
      <c r="B112" s="2"/>
      <c r="C112" s="2"/>
      <c r="D112" s="4" t="str">
        <f>IF(C112="","",VLOOKUP(C112,Referentie!$A$2:$B$19,2,0))</f>
        <v/>
      </c>
      <c r="E112" s="7"/>
      <c r="F112" s="4"/>
      <c r="G112" s="4"/>
      <c r="H112" s="4"/>
      <c r="I112" s="4"/>
      <c r="J112" s="4"/>
      <c r="K112" s="4"/>
      <c r="L112" s="4"/>
      <c r="M112" s="4"/>
      <c r="N112" s="4" t="str">
        <f>IF(M112="","",VLOOKUP(M112,Referentie!$G$2:$I$26,2,0))</f>
        <v/>
      </c>
      <c r="O112" s="4" t="str">
        <f>IF(M112="","",VLOOKUP(M112,Referentie!$G$2:$I$26,3,0))</f>
        <v/>
      </c>
      <c r="P112" s="4" t="str">
        <f t="shared" si="19"/>
        <v/>
      </c>
      <c r="Q112" s="4" t="str">
        <f t="shared" si="20"/>
        <v/>
      </c>
      <c r="R112" s="4" t="str">
        <f t="shared" si="21"/>
        <v/>
      </c>
      <c r="S112" s="4" t="str">
        <f t="shared" si="22"/>
        <v/>
      </c>
      <c r="T112" s="4" t="str">
        <f t="shared" si="12"/>
        <v/>
      </c>
      <c r="U112" s="4" t="str">
        <f t="shared" si="23"/>
        <v/>
      </c>
      <c r="V112" s="4" t="str">
        <f t="shared" si="13"/>
        <v/>
      </c>
    </row>
    <row r="113" spans="1:22" ht="15" customHeight="1">
      <c r="A113" s="2"/>
      <c r="B113" s="2"/>
      <c r="C113" s="2"/>
      <c r="D113" s="4" t="str">
        <f>IF(C113="","",VLOOKUP(C113,Referentie!$A$2:$B$19,2,0))</f>
        <v/>
      </c>
      <c r="E113" s="7"/>
      <c r="F113" s="4"/>
      <c r="G113" s="4"/>
      <c r="H113" s="4"/>
      <c r="I113" s="4"/>
      <c r="J113" s="4"/>
      <c r="K113" s="4"/>
      <c r="L113" s="4"/>
      <c r="M113" s="4"/>
      <c r="N113" s="4" t="str">
        <f>IF(M113="","",VLOOKUP(M113,Referentie!$G$2:$I$26,2,0))</f>
        <v/>
      </c>
      <c r="O113" s="4" t="str">
        <f>IF(M113="","",VLOOKUP(M113,Referentie!$G$2:$I$26,3,0))</f>
        <v/>
      </c>
      <c r="P113" s="4" t="str">
        <f t="shared" si="19"/>
        <v/>
      </c>
      <c r="Q113" s="4" t="str">
        <f t="shared" si="20"/>
        <v/>
      </c>
      <c r="R113" s="4" t="str">
        <f t="shared" si="21"/>
        <v/>
      </c>
      <c r="S113" s="4" t="str">
        <f t="shared" si="22"/>
        <v/>
      </c>
      <c r="T113" s="4" t="str">
        <f t="shared" si="12"/>
        <v/>
      </c>
      <c r="U113" s="4" t="str">
        <f t="shared" si="23"/>
        <v/>
      </c>
      <c r="V113" s="4" t="str">
        <f t="shared" si="13"/>
        <v/>
      </c>
    </row>
    <row r="114" spans="1:22" ht="15" customHeight="1">
      <c r="A114" s="2"/>
      <c r="B114" s="2"/>
      <c r="C114" s="2"/>
      <c r="D114" s="4" t="str">
        <f>IF(C114="","",VLOOKUP(C114,Referentie!$A$2:$B$19,2,0))</f>
        <v/>
      </c>
      <c r="E114" s="7"/>
      <c r="F114" s="4"/>
      <c r="G114" s="4"/>
      <c r="H114" s="4"/>
      <c r="I114" s="4"/>
      <c r="J114" s="4"/>
      <c r="K114" s="4"/>
      <c r="L114" s="4"/>
      <c r="M114" s="4"/>
      <c r="N114" s="4" t="str">
        <f>IF(M114="","",VLOOKUP(M114,Referentie!$G$2:$I$26,2,0))</f>
        <v/>
      </c>
      <c r="O114" s="4" t="str">
        <f>IF(M114="","",VLOOKUP(M114,Referentie!$G$2:$I$26,3,0))</f>
        <v/>
      </c>
      <c r="P114" s="4" t="str">
        <f t="shared" si="19"/>
        <v/>
      </c>
      <c r="Q114" s="4" t="str">
        <f t="shared" si="20"/>
        <v/>
      </c>
      <c r="R114" s="4" t="str">
        <f t="shared" si="21"/>
        <v/>
      </c>
      <c r="S114" s="4" t="str">
        <f t="shared" si="22"/>
        <v/>
      </c>
      <c r="T114" s="4" t="str">
        <f t="shared" si="12"/>
        <v/>
      </c>
      <c r="U114" s="4" t="str">
        <f t="shared" si="23"/>
        <v/>
      </c>
      <c r="V114" s="4" t="str">
        <f t="shared" si="13"/>
        <v/>
      </c>
    </row>
    <row r="115" spans="1:22" ht="15" customHeight="1">
      <c r="A115" s="2"/>
      <c r="B115" s="2"/>
      <c r="C115" s="2"/>
      <c r="D115" s="4" t="str">
        <f>IF(C115="","",VLOOKUP(C115,Referentie!$A$2:$B$19,2,0))</f>
        <v/>
      </c>
      <c r="E115" s="7"/>
      <c r="F115" s="4"/>
      <c r="G115" s="4"/>
      <c r="H115" s="4"/>
      <c r="I115" s="4"/>
      <c r="J115" s="4"/>
      <c r="K115" s="4"/>
      <c r="L115" s="4"/>
      <c r="M115" s="4"/>
      <c r="N115" s="4" t="str">
        <f>IF(M115="","",VLOOKUP(M115,Referentie!$G$2:$I$26,2,0))</f>
        <v/>
      </c>
      <c r="O115" s="4" t="str">
        <f>IF(M115="","",VLOOKUP(M115,Referentie!$G$2:$I$26,3,0))</f>
        <v/>
      </c>
      <c r="P115" s="4" t="str">
        <f t="shared" si="19"/>
        <v/>
      </c>
      <c r="Q115" s="4" t="str">
        <f t="shared" si="20"/>
        <v/>
      </c>
      <c r="R115" s="4" t="str">
        <f t="shared" si="21"/>
        <v/>
      </c>
      <c r="S115" s="4" t="str">
        <f t="shared" si="22"/>
        <v/>
      </c>
      <c r="T115" s="4" t="str">
        <f t="shared" si="12"/>
        <v/>
      </c>
      <c r="U115" s="4" t="str">
        <f t="shared" si="23"/>
        <v/>
      </c>
      <c r="V115" s="4" t="str">
        <f t="shared" si="13"/>
        <v/>
      </c>
    </row>
    <row r="116" spans="1:22" ht="15" customHeight="1">
      <c r="A116" s="2"/>
      <c r="B116" s="2"/>
      <c r="C116" s="2"/>
      <c r="D116" s="4" t="str">
        <f>IF(C116="","",VLOOKUP(C116,Referentie!$A$2:$B$19,2,0))</f>
        <v/>
      </c>
      <c r="E116" s="7"/>
      <c r="F116" s="4"/>
      <c r="G116" s="4"/>
      <c r="H116" s="4"/>
      <c r="I116" s="4"/>
      <c r="J116" s="4"/>
      <c r="K116" s="4"/>
      <c r="L116" s="4"/>
      <c r="M116" s="4"/>
      <c r="N116" s="4" t="str">
        <f>IF(M116="","",VLOOKUP(M116,Referentie!$G$2:$I$26,2,0))</f>
        <v/>
      </c>
      <c r="O116" s="4" t="str">
        <f>IF(M116="","",VLOOKUP(M116,Referentie!$G$2:$I$26,3,0))</f>
        <v/>
      </c>
      <c r="P116" s="4" t="str">
        <f t="shared" si="19"/>
        <v/>
      </c>
      <c r="Q116" s="4" t="str">
        <f t="shared" si="20"/>
        <v/>
      </c>
      <c r="R116" s="4" t="str">
        <f t="shared" si="21"/>
        <v/>
      </c>
      <c r="S116" s="4" t="str">
        <f t="shared" si="22"/>
        <v/>
      </c>
      <c r="T116" s="4" t="str">
        <f t="shared" si="12"/>
        <v/>
      </c>
      <c r="U116" s="4" t="str">
        <f t="shared" si="23"/>
        <v/>
      </c>
      <c r="V116" s="4" t="str">
        <f t="shared" si="13"/>
        <v/>
      </c>
    </row>
    <row r="117" spans="1:22" ht="15" customHeight="1">
      <c r="A117" s="2"/>
      <c r="B117" s="2"/>
      <c r="C117" s="2"/>
      <c r="D117" s="4" t="str">
        <f>IF(C117="","",VLOOKUP(C117,Referentie!$A$2:$B$19,2,0))</f>
        <v/>
      </c>
      <c r="E117" s="7"/>
      <c r="F117" s="4"/>
      <c r="G117" s="4"/>
      <c r="H117" s="4"/>
      <c r="I117" s="4"/>
      <c r="J117" s="4"/>
      <c r="K117" s="4"/>
      <c r="L117" s="4"/>
      <c r="M117" s="4"/>
      <c r="N117" s="4" t="str">
        <f>IF(M117="","",VLOOKUP(M117,Referentie!$G$2:$I$26,2,0))</f>
        <v/>
      </c>
      <c r="O117" s="4" t="str">
        <f>IF(M117="","",VLOOKUP(M117,Referentie!$G$2:$I$26,3,0))</f>
        <v/>
      </c>
      <c r="P117" s="4" t="str">
        <f t="shared" si="19"/>
        <v/>
      </c>
      <c r="Q117" s="4" t="str">
        <f t="shared" si="20"/>
        <v/>
      </c>
      <c r="R117" s="4" t="str">
        <f t="shared" si="21"/>
        <v/>
      </c>
      <c r="S117" s="4" t="str">
        <f t="shared" si="22"/>
        <v/>
      </c>
      <c r="T117" s="4" t="str">
        <f t="shared" si="12"/>
        <v/>
      </c>
      <c r="U117" s="4" t="str">
        <f t="shared" si="23"/>
        <v/>
      </c>
      <c r="V117" s="4" t="str">
        <f t="shared" si="13"/>
        <v/>
      </c>
    </row>
    <row r="118" spans="1:22" ht="15" customHeight="1">
      <c r="A118" s="2"/>
      <c r="B118" s="2"/>
      <c r="C118" s="2"/>
      <c r="D118" s="4" t="str">
        <f>IF(C118="","",VLOOKUP(C118,Referentie!$A$2:$B$19,2,0))</f>
        <v/>
      </c>
      <c r="E118" s="7"/>
      <c r="F118" s="4"/>
      <c r="G118" s="4"/>
      <c r="H118" s="4"/>
      <c r="I118" s="4"/>
      <c r="J118" s="4"/>
      <c r="K118" s="4"/>
      <c r="L118" s="4"/>
      <c r="M118" s="4"/>
      <c r="N118" s="4" t="str">
        <f>IF(M118="","",VLOOKUP(M118,Referentie!$G$2:$I$26,2,0))</f>
        <v/>
      </c>
      <c r="O118" s="4" t="str">
        <f>IF(M118="","",VLOOKUP(M118,Referentie!$G$2:$I$26,3,0))</f>
        <v/>
      </c>
      <c r="P118" s="4" t="str">
        <f t="shared" si="19"/>
        <v/>
      </c>
      <c r="Q118" s="4" t="str">
        <f t="shared" si="20"/>
        <v/>
      </c>
      <c r="R118" s="4" t="str">
        <f t="shared" si="21"/>
        <v/>
      </c>
      <c r="S118" s="4" t="str">
        <f t="shared" si="22"/>
        <v/>
      </c>
      <c r="T118" s="4" t="str">
        <f t="shared" si="12"/>
        <v/>
      </c>
      <c r="U118" s="4" t="str">
        <f t="shared" si="23"/>
        <v/>
      </c>
      <c r="V118" s="4" t="str">
        <f t="shared" si="13"/>
        <v/>
      </c>
    </row>
    <row r="119" spans="1:22" ht="15" customHeight="1">
      <c r="A119" s="2"/>
      <c r="B119" s="2"/>
      <c r="C119" s="2"/>
      <c r="D119" s="4" t="str">
        <f>IF(C119="","",VLOOKUP(C119,Referentie!$A$2:$B$19,2,0))</f>
        <v/>
      </c>
      <c r="E119" s="7"/>
      <c r="F119" s="4"/>
      <c r="G119" s="4"/>
      <c r="H119" s="4"/>
      <c r="I119" s="4"/>
      <c r="J119" s="4"/>
      <c r="K119" s="4"/>
      <c r="L119" s="4"/>
      <c r="M119" s="4"/>
      <c r="N119" s="4" t="str">
        <f>IF(M119="","",VLOOKUP(M119,Referentie!$G$2:$I$26,2,0))</f>
        <v/>
      </c>
      <c r="O119" s="4" t="str">
        <f>IF(M119="","",VLOOKUP(M119,Referentie!$G$2:$I$26,3,0))</f>
        <v/>
      </c>
      <c r="P119" s="4" t="str">
        <f t="shared" si="19"/>
        <v/>
      </c>
      <c r="Q119" s="4" t="str">
        <f t="shared" si="20"/>
        <v/>
      </c>
      <c r="R119" s="4" t="str">
        <f t="shared" si="21"/>
        <v/>
      </c>
      <c r="S119" s="4" t="str">
        <f t="shared" si="22"/>
        <v/>
      </c>
      <c r="T119" s="4" t="str">
        <f t="shared" si="12"/>
        <v/>
      </c>
      <c r="U119" s="4" t="str">
        <f t="shared" si="23"/>
        <v/>
      </c>
      <c r="V119" s="4" t="str">
        <f t="shared" si="13"/>
        <v/>
      </c>
    </row>
    <row r="120" spans="1:22" ht="15" customHeight="1">
      <c r="A120" s="2"/>
      <c r="B120" s="2"/>
      <c r="C120" s="2"/>
      <c r="D120" s="4" t="str">
        <f>IF(C120="","",VLOOKUP(C120,Referentie!$A$2:$B$19,2,0))</f>
        <v/>
      </c>
      <c r="E120" s="7"/>
      <c r="F120" s="4"/>
      <c r="G120" s="4"/>
      <c r="H120" s="4"/>
      <c r="I120" s="4"/>
      <c r="J120" s="4"/>
      <c r="K120" s="4"/>
      <c r="L120" s="4"/>
      <c r="M120" s="4"/>
      <c r="N120" s="4" t="str">
        <f>IF(M120="","",VLOOKUP(M120,Referentie!$G$2:$I$26,2,0))</f>
        <v/>
      </c>
      <c r="O120" s="4" t="str">
        <f>IF(M120="","",VLOOKUP(M120,Referentie!$G$2:$I$26,3,0))</f>
        <v/>
      </c>
      <c r="P120" s="4" t="str">
        <f t="shared" si="19"/>
        <v/>
      </c>
      <c r="Q120" s="4" t="str">
        <f t="shared" si="20"/>
        <v/>
      </c>
      <c r="R120" s="4" t="str">
        <f t="shared" si="21"/>
        <v/>
      </c>
      <c r="S120" s="4" t="str">
        <f t="shared" si="22"/>
        <v/>
      </c>
      <c r="T120" s="4" t="str">
        <f t="shared" si="12"/>
        <v/>
      </c>
      <c r="U120" s="4" t="str">
        <f t="shared" si="23"/>
        <v/>
      </c>
      <c r="V120" s="4" t="str">
        <f t="shared" si="13"/>
        <v/>
      </c>
    </row>
    <row r="121" spans="1:22" ht="15" customHeight="1">
      <c r="A121" s="2"/>
      <c r="B121" s="2"/>
      <c r="C121" s="2"/>
      <c r="D121" s="4" t="str">
        <f>IF(C121="","",VLOOKUP(C121,Referentie!$A$2:$B$19,2,0))</f>
        <v/>
      </c>
      <c r="E121" s="7"/>
      <c r="F121" s="4"/>
      <c r="G121" s="4"/>
      <c r="H121" s="4"/>
      <c r="I121" s="4"/>
      <c r="J121" s="4"/>
      <c r="K121" s="4"/>
      <c r="L121" s="4"/>
      <c r="M121" s="4"/>
      <c r="N121" s="4" t="str">
        <f>IF(M121="","",VLOOKUP(M121,Referentie!$G$2:$I$26,2,0))</f>
        <v/>
      </c>
      <c r="O121" s="4" t="str">
        <f>IF(M121="","",VLOOKUP(M121,Referentie!$G$2:$I$26,3,0))</f>
        <v/>
      </c>
      <c r="P121" s="4" t="str">
        <f t="shared" si="19"/>
        <v/>
      </c>
      <c r="Q121" s="4" t="str">
        <f t="shared" si="20"/>
        <v/>
      </c>
      <c r="R121" s="4" t="str">
        <f t="shared" si="21"/>
        <v/>
      </c>
      <c r="S121" s="4" t="str">
        <f t="shared" si="22"/>
        <v/>
      </c>
      <c r="T121" s="4" t="str">
        <f t="shared" si="12"/>
        <v/>
      </c>
      <c r="U121" s="4" t="str">
        <f t="shared" si="23"/>
        <v/>
      </c>
      <c r="V121" s="4" t="str">
        <f t="shared" si="13"/>
        <v/>
      </c>
    </row>
    <row r="122" spans="1:22" ht="15" customHeight="1">
      <c r="A122" s="2"/>
      <c r="B122" s="2"/>
      <c r="C122" s="2"/>
      <c r="D122" s="4" t="str">
        <f>IF(C122="","",VLOOKUP(C122,Referentie!$A$2:$B$19,2,0))</f>
        <v/>
      </c>
      <c r="E122" s="7"/>
      <c r="F122" s="4"/>
      <c r="G122" s="4"/>
      <c r="H122" s="4"/>
      <c r="I122" s="4"/>
      <c r="J122" s="4"/>
      <c r="K122" s="4"/>
      <c r="L122" s="4"/>
      <c r="M122" s="4"/>
      <c r="N122" s="4" t="str">
        <f>IF(M122="","",VLOOKUP(M122,Referentie!$G$2:$I$26,2,0))</f>
        <v/>
      </c>
      <c r="O122" s="4" t="str">
        <f>IF(M122="","",VLOOKUP(M122,Referentie!$G$2:$I$26,3,0))</f>
        <v/>
      </c>
      <c r="P122" s="4" t="str">
        <f t="shared" si="19"/>
        <v/>
      </c>
      <c r="Q122" s="4" t="str">
        <f t="shared" si="20"/>
        <v/>
      </c>
      <c r="R122" s="4" t="str">
        <f t="shared" si="21"/>
        <v/>
      </c>
      <c r="S122" s="4" t="str">
        <f t="shared" si="22"/>
        <v/>
      </c>
      <c r="T122" s="4" t="str">
        <f t="shared" si="12"/>
        <v/>
      </c>
      <c r="U122" s="4" t="str">
        <f t="shared" si="23"/>
        <v/>
      </c>
      <c r="V122" s="4" t="str">
        <f t="shared" si="13"/>
        <v/>
      </c>
    </row>
    <row r="123" spans="1:22" ht="15" customHeight="1">
      <c r="A123" s="2"/>
      <c r="B123" s="2"/>
      <c r="C123" s="2"/>
      <c r="D123" s="4" t="str">
        <f>IF(C123="","",VLOOKUP(C123,Referentie!$A$2:$B$19,2,0))</f>
        <v/>
      </c>
      <c r="E123" s="7"/>
      <c r="F123" s="4"/>
      <c r="G123" s="4"/>
      <c r="H123" s="4"/>
      <c r="I123" s="4"/>
      <c r="J123" s="4"/>
      <c r="K123" s="4"/>
      <c r="L123" s="4"/>
      <c r="M123" s="4"/>
      <c r="N123" s="4" t="str">
        <f>IF(M123="","",VLOOKUP(M123,Referentie!$G$2:$I$26,2,0))</f>
        <v/>
      </c>
      <c r="O123" s="4" t="str">
        <f>IF(M123="","",VLOOKUP(M123,Referentie!$G$2:$I$26,3,0))</f>
        <v/>
      </c>
      <c r="P123" s="4" t="str">
        <f t="shared" si="19"/>
        <v/>
      </c>
      <c r="Q123" s="4" t="str">
        <f t="shared" si="20"/>
        <v/>
      </c>
      <c r="R123" s="4" t="str">
        <f t="shared" si="21"/>
        <v/>
      </c>
      <c r="S123" s="4" t="str">
        <f t="shared" si="22"/>
        <v/>
      </c>
      <c r="T123" s="4" t="str">
        <f t="shared" si="12"/>
        <v/>
      </c>
      <c r="U123" s="4" t="str">
        <f t="shared" si="23"/>
        <v/>
      </c>
      <c r="V123" s="4" t="str">
        <f t="shared" si="13"/>
        <v/>
      </c>
    </row>
    <row r="124" spans="1:22" ht="15" customHeight="1">
      <c r="A124" s="2"/>
      <c r="B124" s="2"/>
      <c r="C124" s="2"/>
      <c r="D124" s="4" t="str">
        <f>IF(C124="","",VLOOKUP(C124,Referentie!$A$2:$B$19,2,0))</f>
        <v/>
      </c>
      <c r="E124" s="7"/>
      <c r="F124" s="4"/>
      <c r="G124" s="4"/>
      <c r="H124" s="4"/>
      <c r="I124" s="4"/>
      <c r="J124" s="4"/>
      <c r="K124" s="4"/>
      <c r="L124" s="4"/>
      <c r="M124" s="4"/>
      <c r="N124" s="4" t="str">
        <f>IF(M124="","",VLOOKUP(M124,Referentie!$G$2:$I$26,2,0))</f>
        <v/>
      </c>
      <c r="O124" s="4" t="str">
        <f>IF(M124="","",VLOOKUP(M124,Referentie!$G$2:$I$26,3,0))</f>
        <v/>
      </c>
      <c r="P124" s="4" t="str">
        <f t="shared" si="19"/>
        <v/>
      </c>
      <c r="Q124" s="4" t="str">
        <f t="shared" si="20"/>
        <v/>
      </c>
      <c r="R124" s="4" t="str">
        <f t="shared" si="21"/>
        <v/>
      </c>
      <c r="S124" s="4" t="str">
        <f t="shared" si="22"/>
        <v/>
      </c>
      <c r="T124" s="4" t="str">
        <f t="shared" si="12"/>
        <v/>
      </c>
      <c r="U124" s="4" t="str">
        <f t="shared" si="23"/>
        <v/>
      </c>
      <c r="V124" s="4" t="str">
        <f t="shared" si="13"/>
        <v/>
      </c>
    </row>
    <row r="125" spans="1:22" ht="15" customHeight="1">
      <c r="A125" s="2"/>
      <c r="B125" s="2"/>
      <c r="C125" s="2"/>
      <c r="D125" s="4" t="str">
        <f>IF(C125="","",VLOOKUP(C125,Referentie!$A$2:$B$19,2,0))</f>
        <v/>
      </c>
      <c r="E125" s="7"/>
      <c r="F125" s="4"/>
      <c r="G125" s="4"/>
      <c r="H125" s="4"/>
      <c r="I125" s="4"/>
      <c r="J125" s="4"/>
      <c r="K125" s="4"/>
      <c r="L125" s="4"/>
      <c r="M125" s="4"/>
      <c r="N125" s="4" t="str">
        <f>IF(M125="","",VLOOKUP(M125,Referentie!$G$2:$I$26,2,0))</f>
        <v/>
      </c>
      <c r="O125" s="4" t="str">
        <f>IF(M125="","",VLOOKUP(M125,Referentie!$G$2:$I$26,3,0))</f>
        <v/>
      </c>
      <c r="P125" s="4" t="str">
        <f t="shared" si="19"/>
        <v/>
      </c>
      <c r="Q125" s="4" t="str">
        <f t="shared" si="20"/>
        <v/>
      </c>
      <c r="R125" s="4" t="str">
        <f t="shared" si="21"/>
        <v/>
      </c>
      <c r="S125" s="4" t="str">
        <f t="shared" si="22"/>
        <v/>
      </c>
      <c r="T125" s="4" t="str">
        <f t="shared" si="12"/>
        <v/>
      </c>
      <c r="U125" s="4" t="str">
        <f t="shared" si="23"/>
        <v/>
      </c>
      <c r="V125" s="4" t="str">
        <f t="shared" si="13"/>
        <v/>
      </c>
    </row>
    <row r="126" spans="1:22" ht="15" customHeight="1">
      <c r="A126" s="2"/>
      <c r="B126" s="2"/>
      <c r="C126" s="2"/>
      <c r="D126" s="4" t="str">
        <f>IF(C126="","",VLOOKUP(C126,Referentie!$A$2:$B$19,2,0))</f>
        <v/>
      </c>
      <c r="E126" s="7"/>
      <c r="F126" s="4"/>
      <c r="G126" s="4"/>
      <c r="H126" s="4"/>
      <c r="I126" s="4"/>
      <c r="J126" s="4"/>
      <c r="K126" s="4"/>
      <c r="L126" s="4"/>
      <c r="M126" s="4"/>
      <c r="N126" s="4" t="str">
        <f>IF(M126="","",VLOOKUP(M126,Referentie!$G$2:$I$26,2,0))</f>
        <v/>
      </c>
      <c r="O126" s="4" t="str">
        <f>IF(M126="","",VLOOKUP(M126,Referentie!$G$2:$I$26,3,0))</f>
        <v/>
      </c>
      <c r="P126" s="4" t="str">
        <f t="shared" si="19"/>
        <v/>
      </c>
      <c r="Q126" s="4" t="str">
        <f t="shared" si="20"/>
        <v/>
      </c>
      <c r="R126" s="4" t="str">
        <f t="shared" si="21"/>
        <v/>
      </c>
      <c r="S126" s="4" t="str">
        <f t="shared" si="22"/>
        <v/>
      </c>
      <c r="T126" s="4" t="str">
        <f t="shared" si="12"/>
        <v/>
      </c>
      <c r="U126" s="4" t="str">
        <f t="shared" si="23"/>
        <v/>
      </c>
      <c r="V126" s="4" t="str">
        <f t="shared" si="13"/>
        <v/>
      </c>
    </row>
    <row r="127" spans="1:22" ht="15" customHeight="1">
      <c r="A127" s="2"/>
      <c r="B127" s="2"/>
      <c r="C127" s="2"/>
      <c r="D127" s="4" t="str">
        <f>IF(C127="","",VLOOKUP(C127,Referentie!$A$2:$B$19,2,0))</f>
        <v/>
      </c>
      <c r="E127" s="7"/>
      <c r="F127" s="4"/>
      <c r="G127" s="4"/>
      <c r="H127" s="4"/>
      <c r="I127" s="4"/>
      <c r="J127" s="4"/>
      <c r="K127" s="4"/>
      <c r="L127" s="4"/>
      <c r="M127" s="4"/>
      <c r="N127" s="4" t="str">
        <f>IF(M127="","",VLOOKUP(M127,Referentie!$G$2:$I$26,2,0))</f>
        <v/>
      </c>
      <c r="O127" s="4" t="str">
        <f>IF(M127="","",VLOOKUP(M127,Referentie!$G$2:$I$26,3,0))</f>
        <v/>
      </c>
      <c r="P127" s="4" t="str">
        <f t="shared" si="19"/>
        <v/>
      </c>
      <c r="Q127" s="4" t="str">
        <f t="shared" si="20"/>
        <v/>
      </c>
      <c r="R127" s="4" t="str">
        <f t="shared" si="21"/>
        <v/>
      </c>
      <c r="S127" s="4" t="str">
        <f t="shared" si="22"/>
        <v/>
      </c>
      <c r="T127" s="4" t="str">
        <f t="shared" si="12"/>
        <v/>
      </c>
      <c r="U127" s="4" t="str">
        <f t="shared" si="23"/>
        <v/>
      </c>
      <c r="V127" s="4" t="str">
        <f t="shared" si="13"/>
        <v/>
      </c>
    </row>
    <row r="128" spans="1:22" ht="15" customHeight="1">
      <c r="A128" s="2"/>
      <c r="B128" s="2"/>
      <c r="C128" s="2"/>
      <c r="D128" s="4" t="str">
        <f>IF(C128="","",VLOOKUP(C128,Referentie!$A$2:$B$19,2,0))</f>
        <v/>
      </c>
      <c r="E128" s="7"/>
      <c r="F128" s="4"/>
      <c r="G128" s="4"/>
      <c r="H128" s="4"/>
      <c r="I128" s="4"/>
      <c r="J128" s="4"/>
      <c r="K128" s="4"/>
      <c r="L128" s="4"/>
      <c r="M128" s="4"/>
      <c r="N128" s="4" t="str">
        <f>IF(M128="","",VLOOKUP(M128,Referentie!$G$2:$I$26,2,0))</f>
        <v/>
      </c>
      <c r="O128" s="4" t="str">
        <f>IF(M128="","",VLOOKUP(M128,Referentie!$G$2:$I$26,3,0))</f>
        <v/>
      </c>
      <c r="P128" s="4" t="str">
        <f t="shared" si="19"/>
        <v/>
      </c>
      <c r="Q128" s="4" t="str">
        <f t="shared" si="20"/>
        <v/>
      </c>
      <c r="R128" s="4" t="str">
        <f t="shared" si="21"/>
        <v/>
      </c>
      <c r="S128" s="4" t="str">
        <f t="shared" si="22"/>
        <v/>
      </c>
      <c r="T128" s="4" t="str">
        <f t="shared" si="12"/>
        <v/>
      </c>
      <c r="U128" s="4" t="str">
        <f t="shared" si="23"/>
        <v/>
      </c>
      <c r="V128" s="4" t="str">
        <f t="shared" si="13"/>
        <v/>
      </c>
    </row>
    <row r="129" spans="1:22" ht="15" customHeight="1">
      <c r="A129" s="2"/>
      <c r="B129" s="2"/>
      <c r="C129" s="2"/>
      <c r="D129" s="4" t="str">
        <f>IF(C129="","",VLOOKUP(C129,Referentie!$A$2:$B$19,2,0))</f>
        <v/>
      </c>
      <c r="E129" s="7"/>
      <c r="F129" s="4"/>
      <c r="G129" s="4"/>
      <c r="H129" s="4"/>
      <c r="I129" s="4"/>
      <c r="J129" s="4"/>
      <c r="K129" s="4"/>
      <c r="L129" s="4"/>
      <c r="M129" s="4"/>
      <c r="N129" s="4" t="str">
        <f>IF(M129="","",VLOOKUP(M129,Referentie!$G$2:$I$26,2,0))</f>
        <v/>
      </c>
      <c r="O129" s="4" t="str">
        <f>IF(M129="","",VLOOKUP(M129,Referentie!$G$2:$I$26,3,0))</f>
        <v/>
      </c>
      <c r="P129" s="4" t="str">
        <f t="shared" si="19"/>
        <v/>
      </c>
      <c r="Q129" s="4" t="str">
        <f t="shared" si="20"/>
        <v/>
      </c>
      <c r="R129" s="4" t="str">
        <f t="shared" si="21"/>
        <v/>
      </c>
      <c r="S129" s="4" t="str">
        <f t="shared" si="22"/>
        <v/>
      </c>
      <c r="T129" s="4" t="str">
        <f t="shared" si="12"/>
        <v/>
      </c>
      <c r="U129" s="4" t="str">
        <f t="shared" si="23"/>
        <v/>
      </c>
      <c r="V129" s="4" t="str">
        <f t="shared" si="13"/>
        <v/>
      </c>
    </row>
    <row r="130" spans="1:22" ht="15" customHeight="1">
      <c r="A130" s="2"/>
      <c r="B130" s="2"/>
      <c r="C130" s="2"/>
      <c r="D130" s="4" t="str">
        <f>IF(C130="","",VLOOKUP(C130,Referentie!$A$2:$B$19,2,0))</f>
        <v/>
      </c>
      <c r="E130" s="7"/>
      <c r="F130" s="4"/>
      <c r="G130" s="4"/>
      <c r="H130" s="4"/>
      <c r="I130" s="4"/>
      <c r="J130" s="4"/>
      <c r="K130" s="4"/>
      <c r="L130" s="4"/>
      <c r="M130" s="4"/>
      <c r="N130" s="4" t="str">
        <f>IF(M130="","",VLOOKUP(M130,Referentie!$G$2:$I$26,2,0))</f>
        <v/>
      </c>
      <c r="O130" s="4" t="str">
        <f>IF(M130="","",VLOOKUP(M130,Referentie!$G$2:$I$26,3,0))</f>
        <v/>
      </c>
      <c r="P130" s="4" t="str">
        <f>IF(A130="","",  (IF(N130="Speed of Help",2,0)) + (IF(O130="Speed of Help",-2,0)) + (IF(N130="EXP Gains",1,0)) + (IF(O130="EXP Gains",-1,0)) +  (COUNTIF(H130:L130,"Helping Speed S")*1) + (COUNTIF(H130:L130,"Helping Speed M")*2) + (COUNTIF(H130:L130,"Berry Finding S")*2) + (COUNTIF(H130:L130,"Helping Bonus")*1) +  (IF(O130="Ingredient Finding",0,0)) + (IF(O130="Main Skill Chance",0,0))  )</f>
        <v/>
      </c>
      <c r="Q130" s="4" t="str">
        <f>IF(A130="","",  (IF(N130="Ingredient Finding",2,0)) + (IF(O130="Ingredient Finding",-2,0)) + (IF(N130="EXP Gains",1,0)) + (IF(O130="EXP Gains",-1,0)) +  (COUNTIF(H130:L130,"Ingredient Finder S")*1) + (COUNTIF(H130:L130,"Ingredient Finder M")*2) + (COUNTIF(H130:L130,"Inventory Up S")*0.5) + (COUNTIF(H130:L130,"Inventory Up M")*1) + (COUNTIF(H130:L130,"Inventory Up L")*1.5) +  (IF(E130=F130,1,0)) + (IF(F130=G130,1,0))  )</f>
        <v/>
      </c>
      <c r="R130" s="4" t="str">
        <f>IF(A130="","",  (IF(N130="Main Skill Chance",2,0)) + (IF(O130="Main Skill Chance",-2,0)) + (IF(N130="EXP Gains",1,0)) + (IF(O130="EXP Gains",-1,0)) +  (COUNTIF(H130:L130,"Skill Trigger S")*1) + (COUNTIF(H130:L130,"Skill Trigger M")*2) + (COUNTIF(H130:L130,"Skill Level Up S")*1) + (COUNTIF(H130:L130,"Skill Level Up M")*2) + (COUNTIF(H130:L130,"Energy Recovery Bonus")*1.5) + (COUNTIF(H130:L130,"Sleep EXP Bonus")*1) + (COUNTIF(H130:L130,"Research EXP Bonus")*1)  )</f>
        <v/>
      </c>
      <c r="S130" s="4" t="str">
        <f>IF(A130="","",  IF(AND(P130&lt;=1, Q130&lt;=1, R130&lt;=1), "Bench",  IF(AND(P130&gt;=Q130, P130&gt;=R130), "Berry",  IF(AND(Q130&gt;=P130, Q130&gt;=R130), "Ingredient",  "Skill")))  )</f>
        <v/>
      </c>
      <c r="T130" s="4" t="str">
        <f t="shared" ref="T130:T193" si="24">IF(A130="","", MAX(P130,Q130,R130) + IF(OR(N130="Speed of Help",N130="Ingredient Finding",N130="Main Skill Chance"),1,0) + IF(N130="Neutral",0, IF(O130="Neutral",0.5,0)) + IF(B130&gt;=10,0.5,0) )</f>
        <v/>
      </c>
      <c r="U130" s="4" t="str">
        <f>IF(A130="","", IF(T130&gt;=7, "⭐ Keep", IF(T130&gt;=5, "📈 Level Up", IF(T130&gt;=3, "🤔 Bench", "❌ Transfer")))  )</f>
        <v/>
      </c>
      <c r="V130" s="4" t="str">
        <f t="shared" ref="V130:V193" si="25">IF(A130="","", _xlfn.TEXTJOIN("; ",TRUE, IF(A130="Pikachu","Evolve naar Raichu = snelste berry helper!",""), IF(A130="Pichu","Evolve → Pikachu → Raichu (top berry)",""), IF(A130="Eevee","Sylveon (skill) of Jolteon (berry) = top evoluties",""), IF(A130="Igglybuff","Evolve → Wigglytuff = Energy for Everyone S (top skill!)",""), IF(A130="Squirtle","Kanto starter: 2x ingrediënten + Ingredient Magnet S",""), IF(A130="Charmander","Evolve → Charizard = snelle berry+ingredient verzamelaar",""), IF(A130="Bulbasaur","Kanto starter: 2x ingrediënten + Ingredient Magnet S",""), IF(A130="Growlithe","Evolve → Arcanine = sterke all-rounder",""), IF(A130="Mareep","Evolve → Ampharos = hoge frequentie + waardevolle ingrediënten",""), IF(A130="Spheal","Evolve → Walrein = key voor Snowdrop Tundra (berry+ingr)",""), IF(A130="Riolu","Evolve → Lucario = sterke fighter",""), IF(A130="Togepi","Let op: Togekiss Metronome is onbetrouwbaar",""), IF(A130="Totodile","Evolve → Feraligatr = top berry voor Cyan Beach",""), IF(A130="Magnemite","Evolve → Magnezone = sterke skill helper",""), IF(A130="Ivysaur","Evolve → Venusaur = 2x ingrediënten specialist",""), IF(OR(N130="Neutral",O130="Neutral"),"Neutrale nature = ok maar niet ideaal",""), IF(AND(N130="Speed of Help",OR(S130="Berry",S130="Ingredient")),"Perfecte nature voor "&amp;S130&amp;" team!",""), IF(AND(N130="Ingredient Finding",S130="Ingredient"),"Perfecte nature voor Ingredient team!",""), IF(AND(N130="Main Skill Chance",S130="Skill"),"Perfecte nature voor Skill team!",""), IF(AND(O130="Speed of Help",S130="Berry"),"Let op: Speed of Help NEGATIEF schaadt berry-prestatie",""), IF(AND(O130="Ingredient Finding",S130="Ingredient"),"Let op: Ingredient Finding NEGATIEF schaadt ingredient-prestatie","") ))</f>
        <v/>
      </c>
    </row>
    <row r="131" spans="1:22" ht="15" customHeight="1">
      <c r="A131" s="2"/>
      <c r="B131" s="2"/>
      <c r="C131" s="2"/>
      <c r="D131" s="4" t="str">
        <f>IF(C131="","",VLOOKUP(C131,Referentie!$A$2:$B$19,2,0))</f>
        <v/>
      </c>
      <c r="E131" s="7"/>
      <c r="F131" s="4"/>
      <c r="G131" s="4"/>
      <c r="H131" s="4"/>
      <c r="I131" s="4"/>
      <c r="J131" s="4"/>
      <c r="K131" s="4"/>
      <c r="L131" s="4"/>
      <c r="M131" s="4"/>
      <c r="N131" s="4" t="str">
        <f>IF(M131="","",VLOOKUP(M131,Referentie!$G$2:$I$26,2,0))</f>
        <v/>
      </c>
      <c r="O131" s="4" t="str">
        <f>IF(M131="","",VLOOKUP(M131,Referentie!$G$2:$I$26,3,0))</f>
        <v/>
      </c>
      <c r="P131" s="4" t="str">
        <f t="shared" ref="P131:P162" si="26">IF(A131="","", (IF(N131="Speed of Help",2,0)) + (IF(O131="Speed of Help",-2,0)) + (IF(N131="EXP Gains",1,0)) + (IF(O131="EXP Gains",-1,0)) + (COUNTIF(H131:L131,"Helping Speed S")*1) + (COUNTIF(H131:L131,"Helping Speed M")*2) + (COUNTIF(H131:L131,"Berry Finding S")*2) + (COUNTIF(H131:L131,"Helping Bonus")*1) + (IF(O131="Ingredient Finding",0,0)) + (IF(O131="Main Skill Chance",0,0)) )</f>
        <v/>
      </c>
      <c r="Q131" s="4" t="str">
        <f t="shared" ref="Q131:Q162" si="27">IF(A131="","", (IF(N131="Ingredient Finding",2,0)) + (IF(O131="Ingredient Finding",-2,0)) + (IF(N131="EXP Gains",1,0)) + (IF(O131="EXP Gains",-1,0)) + (COUNTIF(H131:L131,"Ingredient Finder S")*1) + (COUNTIF(H131:L131,"Ingredient Finder M")*2) + (COUNTIF(H131:L131,"Inventory Up S")*0.5) + (COUNTIF(H131:L131,"Inventory Up M")*1) + (COUNTIF(H131:L131,"Inventory Up L")*1.5) + (IF(E131=F131,1,0)) + (IF(F131=G131,1,0)) )</f>
        <v/>
      </c>
      <c r="R131" s="4" t="str">
        <f t="shared" ref="R131:R162" si="28">IF(A131="","", (IF(N131="Main Skill Chance",2,0)) + (IF(O131="Main Skill Chance",-2,0)) + (IF(N131="EXP Gains",1,0)) + (IF(O131="EXP Gains",-1,0)) + (COUNTIF(H131:L131,"Skill Trigger S")*1) + (COUNTIF(H131:L131,"Skill Trigger M")*2) + (COUNTIF(H131:L131,"Skill Level Up S")*1) + (COUNTIF(H131:L131,"Skill Level Up M")*2) + (COUNTIF(H131:L131,"Energy Recovery Bonus")*1.5) + (COUNTIF(H131:L131,"Sleep EXP Bonus")*1) + (COUNTIF(H131:L131,"Research EXP Bonus")*1) )</f>
        <v/>
      </c>
      <c r="S131" s="4" t="str">
        <f t="shared" ref="S131:S162" si="29">IF(A131="","", IF(AND(P131&lt;=1, Q131&lt;=1, R131&lt;=1), "Bench", IF(AND(P131&gt;=Q131, P131&gt;=R131), "Berry", IF(AND(Q131&gt;=P131, Q131&gt;=R131), "Ingredient", "Skill"))) )</f>
        <v/>
      </c>
      <c r="T131" s="4" t="str">
        <f t="shared" si="24"/>
        <v/>
      </c>
      <c r="U131" s="4" t="str">
        <f t="shared" ref="U131:U162" si="30">IF(A131="","", IF(T131&gt;=7, "⭐ Keep", IF(T131&gt;=5, "📈 Level Up", IF(T131&gt;=3, "🤔 Bench", "❌ Transfer"))) )</f>
        <v/>
      </c>
      <c r="V131" s="4" t="str">
        <f t="shared" si="25"/>
        <v/>
      </c>
    </row>
    <row r="132" spans="1:22" ht="15" customHeight="1">
      <c r="A132" s="2"/>
      <c r="B132" s="2"/>
      <c r="C132" s="2"/>
      <c r="D132" s="4" t="str">
        <f>IF(C132="","",VLOOKUP(C132,Referentie!$A$2:$B$19,2,0))</f>
        <v/>
      </c>
      <c r="E132" s="7"/>
      <c r="F132" s="4"/>
      <c r="G132" s="4"/>
      <c r="H132" s="4"/>
      <c r="I132" s="4"/>
      <c r="J132" s="4"/>
      <c r="K132" s="4"/>
      <c r="L132" s="4"/>
      <c r="M132" s="4"/>
      <c r="N132" s="4" t="str">
        <f>IF(M132="","",VLOOKUP(M132,Referentie!$G$2:$I$26,2,0))</f>
        <v/>
      </c>
      <c r="O132" s="4" t="str">
        <f>IF(M132="","",VLOOKUP(M132,Referentie!$G$2:$I$26,3,0))</f>
        <v/>
      </c>
      <c r="P132" s="4" t="str">
        <f t="shared" si="26"/>
        <v/>
      </c>
      <c r="Q132" s="4" t="str">
        <f t="shared" si="27"/>
        <v/>
      </c>
      <c r="R132" s="4" t="str">
        <f t="shared" si="28"/>
        <v/>
      </c>
      <c r="S132" s="4" t="str">
        <f t="shared" si="29"/>
        <v/>
      </c>
      <c r="T132" s="4" t="str">
        <f t="shared" si="24"/>
        <v/>
      </c>
      <c r="U132" s="4" t="str">
        <f t="shared" si="30"/>
        <v/>
      </c>
      <c r="V132" s="4" t="str">
        <f t="shared" si="25"/>
        <v/>
      </c>
    </row>
    <row r="133" spans="1:22" ht="15" customHeight="1">
      <c r="A133" s="2"/>
      <c r="B133" s="2"/>
      <c r="C133" s="2"/>
      <c r="D133" s="4" t="str">
        <f>IF(C133="","",VLOOKUP(C133,Referentie!$A$2:$B$19,2,0))</f>
        <v/>
      </c>
      <c r="E133" s="7"/>
      <c r="F133" s="4"/>
      <c r="G133" s="4"/>
      <c r="H133" s="4"/>
      <c r="I133" s="4"/>
      <c r="J133" s="4"/>
      <c r="K133" s="4"/>
      <c r="L133" s="4"/>
      <c r="M133" s="4"/>
      <c r="N133" s="4" t="str">
        <f>IF(M133="","",VLOOKUP(M133,Referentie!$G$2:$I$26,2,0))</f>
        <v/>
      </c>
      <c r="O133" s="4" t="str">
        <f>IF(M133="","",VLOOKUP(M133,Referentie!$G$2:$I$26,3,0))</f>
        <v/>
      </c>
      <c r="P133" s="4" t="str">
        <f t="shared" si="26"/>
        <v/>
      </c>
      <c r="Q133" s="4" t="str">
        <f t="shared" si="27"/>
        <v/>
      </c>
      <c r="R133" s="4" t="str">
        <f t="shared" si="28"/>
        <v/>
      </c>
      <c r="S133" s="4" t="str">
        <f t="shared" si="29"/>
        <v/>
      </c>
      <c r="T133" s="4" t="str">
        <f t="shared" si="24"/>
        <v/>
      </c>
      <c r="U133" s="4" t="str">
        <f t="shared" si="30"/>
        <v/>
      </c>
      <c r="V133" s="4" t="str">
        <f t="shared" si="25"/>
        <v/>
      </c>
    </row>
    <row r="134" spans="1:22" ht="15" customHeight="1">
      <c r="A134" s="2"/>
      <c r="B134" s="2"/>
      <c r="C134" s="2"/>
      <c r="D134" s="4" t="str">
        <f>IF(C134="","",VLOOKUP(C134,Referentie!$A$2:$B$19,2,0))</f>
        <v/>
      </c>
      <c r="E134" s="7"/>
      <c r="F134" s="4"/>
      <c r="G134" s="4"/>
      <c r="H134" s="4"/>
      <c r="I134" s="4"/>
      <c r="J134" s="4"/>
      <c r="K134" s="4"/>
      <c r="L134" s="4"/>
      <c r="M134" s="4"/>
      <c r="N134" s="4" t="str">
        <f>IF(M134="","",VLOOKUP(M134,Referentie!$G$2:$I$26,2,0))</f>
        <v/>
      </c>
      <c r="O134" s="4" t="str">
        <f>IF(M134="","",VLOOKUP(M134,Referentie!$G$2:$I$26,3,0))</f>
        <v/>
      </c>
      <c r="P134" s="4" t="str">
        <f t="shared" si="26"/>
        <v/>
      </c>
      <c r="Q134" s="4" t="str">
        <f t="shared" si="27"/>
        <v/>
      </c>
      <c r="R134" s="4" t="str">
        <f t="shared" si="28"/>
        <v/>
      </c>
      <c r="S134" s="4" t="str">
        <f t="shared" si="29"/>
        <v/>
      </c>
      <c r="T134" s="4" t="str">
        <f t="shared" si="24"/>
        <v/>
      </c>
      <c r="U134" s="4" t="str">
        <f t="shared" si="30"/>
        <v/>
      </c>
      <c r="V134" s="4" t="str">
        <f t="shared" si="25"/>
        <v/>
      </c>
    </row>
    <row r="135" spans="1:22" ht="15" customHeight="1">
      <c r="A135" s="2"/>
      <c r="B135" s="2"/>
      <c r="C135" s="2"/>
      <c r="D135" s="4" t="str">
        <f>IF(C135="","",VLOOKUP(C135,Referentie!$A$2:$B$19,2,0))</f>
        <v/>
      </c>
      <c r="E135" s="7"/>
      <c r="F135" s="4"/>
      <c r="G135" s="4"/>
      <c r="H135" s="4"/>
      <c r="I135" s="4"/>
      <c r="J135" s="4"/>
      <c r="K135" s="4"/>
      <c r="L135" s="4"/>
      <c r="M135" s="4"/>
      <c r="N135" s="4" t="str">
        <f>IF(M135="","",VLOOKUP(M135,Referentie!$G$2:$I$26,2,0))</f>
        <v/>
      </c>
      <c r="O135" s="4" t="str">
        <f>IF(M135="","",VLOOKUP(M135,Referentie!$G$2:$I$26,3,0))</f>
        <v/>
      </c>
      <c r="P135" s="4" t="str">
        <f t="shared" si="26"/>
        <v/>
      </c>
      <c r="Q135" s="4" t="str">
        <f t="shared" si="27"/>
        <v/>
      </c>
      <c r="R135" s="4" t="str">
        <f t="shared" si="28"/>
        <v/>
      </c>
      <c r="S135" s="4" t="str">
        <f t="shared" si="29"/>
        <v/>
      </c>
      <c r="T135" s="4" t="str">
        <f t="shared" si="24"/>
        <v/>
      </c>
      <c r="U135" s="4" t="str">
        <f t="shared" si="30"/>
        <v/>
      </c>
      <c r="V135" s="4" t="str">
        <f t="shared" si="25"/>
        <v/>
      </c>
    </row>
    <row r="136" spans="1:22" ht="15" customHeight="1">
      <c r="A136" s="2"/>
      <c r="B136" s="2"/>
      <c r="C136" s="2"/>
      <c r="D136" s="4" t="str">
        <f>IF(C136="","",VLOOKUP(C136,Referentie!$A$2:$B$19,2,0))</f>
        <v/>
      </c>
      <c r="E136" s="7"/>
      <c r="F136" s="4"/>
      <c r="G136" s="4"/>
      <c r="H136" s="4"/>
      <c r="I136" s="4"/>
      <c r="J136" s="4"/>
      <c r="K136" s="4"/>
      <c r="L136" s="4"/>
      <c r="M136" s="4"/>
      <c r="N136" s="4" t="str">
        <f>IF(M136="","",VLOOKUP(M136,Referentie!$G$2:$I$26,2,0))</f>
        <v/>
      </c>
      <c r="O136" s="4" t="str">
        <f>IF(M136="","",VLOOKUP(M136,Referentie!$G$2:$I$26,3,0))</f>
        <v/>
      </c>
      <c r="P136" s="4" t="str">
        <f t="shared" si="26"/>
        <v/>
      </c>
      <c r="Q136" s="4" t="str">
        <f t="shared" si="27"/>
        <v/>
      </c>
      <c r="R136" s="4" t="str">
        <f t="shared" si="28"/>
        <v/>
      </c>
      <c r="S136" s="4" t="str">
        <f t="shared" si="29"/>
        <v/>
      </c>
      <c r="T136" s="4" t="str">
        <f t="shared" si="24"/>
        <v/>
      </c>
      <c r="U136" s="4" t="str">
        <f t="shared" si="30"/>
        <v/>
      </c>
      <c r="V136" s="4" t="str">
        <f t="shared" si="25"/>
        <v/>
      </c>
    </row>
    <row r="137" spans="1:22" ht="15" customHeight="1">
      <c r="A137" s="2"/>
      <c r="B137" s="2"/>
      <c r="C137" s="2"/>
      <c r="D137" s="4" t="str">
        <f>IF(C137="","",VLOOKUP(C137,Referentie!$A$2:$B$19,2,0))</f>
        <v/>
      </c>
      <c r="E137" s="7"/>
      <c r="F137" s="4"/>
      <c r="G137" s="4"/>
      <c r="H137" s="4"/>
      <c r="I137" s="4"/>
      <c r="J137" s="4"/>
      <c r="K137" s="4"/>
      <c r="L137" s="4"/>
      <c r="M137" s="4"/>
      <c r="N137" s="4" t="str">
        <f>IF(M137="","",VLOOKUP(M137,Referentie!$G$2:$I$26,2,0))</f>
        <v/>
      </c>
      <c r="O137" s="4" t="str">
        <f>IF(M137="","",VLOOKUP(M137,Referentie!$G$2:$I$26,3,0))</f>
        <v/>
      </c>
      <c r="P137" s="4" t="str">
        <f t="shared" si="26"/>
        <v/>
      </c>
      <c r="Q137" s="4" t="str">
        <f t="shared" si="27"/>
        <v/>
      </c>
      <c r="R137" s="4" t="str">
        <f t="shared" si="28"/>
        <v/>
      </c>
      <c r="S137" s="4" t="str">
        <f t="shared" si="29"/>
        <v/>
      </c>
      <c r="T137" s="4" t="str">
        <f t="shared" si="24"/>
        <v/>
      </c>
      <c r="U137" s="4" t="str">
        <f t="shared" si="30"/>
        <v/>
      </c>
      <c r="V137" s="4" t="str">
        <f t="shared" si="25"/>
        <v/>
      </c>
    </row>
    <row r="138" spans="1:22" ht="15" customHeight="1">
      <c r="A138" s="2"/>
      <c r="B138" s="2"/>
      <c r="C138" s="2"/>
      <c r="D138" s="4" t="str">
        <f>IF(C138="","",VLOOKUP(C138,Referentie!$A$2:$B$19,2,0))</f>
        <v/>
      </c>
      <c r="E138" s="7"/>
      <c r="F138" s="4"/>
      <c r="G138" s="4"/>
      <c r="H138" s="4"/>
      <c r="I138" s="4"/>
      <c r="J138" s="4"/>
      <c r="K138" s="4"/>
      <c r="L138" s="4"/>
      <c r="M138" s="4"/>
      <c r="N138" s="4" t="str">
        <f>IF(M138="","",VLOOKUP(M138,Referentie!$G$2:$I$26,2,0))</f>
        <v/>
      </c>
      <c r="O138" s="4" t="str">
        <f>IF(M138="","",VLOOKUP(M138,Referentie!$G$2:$I$26,3,0))</f>
        <v/>
      </c>
      <c r="P138" s="4" t="str">
        <f t="shared" si="26"/>
        <v/>
      </c>
      <c r="Q138" s="4" t="str">
        <f t="shared" si="27"/>
        <v/>
      </c>
      <c r="R138" s="4" t="str">
        <f t="shared" si="28"/>
        <v/>
      </c>
      <c r="S138" s="4" t="str">
        <f t="shared" si="29"/>
        <v/>
      </c>
      <c r="T138" s="4" t="str">
        <f t="shared" si="24"/>
        <v/>
      </c>
      <c r="U138" s="4" t="str">
        <f t="shared" si="30"/>
        <v/>
      </c>
      <c r="V138" s="4" t="str">
        <f t="shared" si="25"/>
        <v/>
      </c>
    </row>
    <row r="139" spans="1:22" ht="15" customHeight="1">
      <c r="A139" s="2"/>
      <c r="B139" s="2"/>
      <c r="C139" s="2"/>
      <c r="D139" s="4" t="str">
        <f>IF(C139="","",VLOOKUP(C139,Referentie!$A$2:$B$19,2,0))</f>
        <v/>
      </c>
      <c r="E139" s="7"/>
      <c r="F139" s="4"/>
      <c r="G139" s="4"/>
      <c r="H139" s="4"/>
      <c r="I139" s="4"/>
      <c r="J139" s="4"/>
      <c r="K139" s="4"/>
      <c r="L139" s="4"/>
      <c r="M139" s="4"/>
      <c r="N139" s="4" t="str">
        <f>IF(M139="","",VLOOKUP(M139,Referentie!$G$2:$I$26,2,0))</f>
        <v/>
      </c>
      <c r="O139" s="4" t="str">
        <f>IF(M139="","",VLOOKUP(M139,Referentie!$G$2:$I$26,3,0))</f>
        <v/>
      </c>
      <c r="P139" s="4" t="str">
        <f t="shared" si="26"/>
        <v/>
      </c>
      <c r="Q139" s="4" t="str">
        <f t="shared" si="27"/>
        <v/>
      </c>
      <c r="R139" s="4" t="str">
        <f t="shared" si="28"/>
        <v/>
      </c>
      <c r="S139" s="4" t="str">
        <f t="shared" si="29"/>
        <v/>
      </c>
      <c r="T139" s="4" t="str">
        <f t="shared" si="24"/>
        <v/>
      </c>
      <c r="U139" s="4" t="str">
        <f t="shared" si="30"/>
        <v/>
      </c>
      <c r="V139" s="4" t="str">
        <f t="shared" si="25"/>
        <v/>
      </c>
    </row>
    <row r="140" spans="1:22" ht="15" customHeight="1">
      <c r="A140" s="2"/>
      <c r="B140" s="2"/>
      <c r="C140" s="2"/>
      <c r="D140" s="4" t="str">
        <f>IF(C140="","",VLOOKUP(C140,Referentie!$A$2:$B$19,2,0))</f>
        <v/>
      </c>
      <c r="E140" s="7"/>
      <c r="F140" s="4"/>
      <c r="G140" s="4"/>
      <c r="H140" s="4"/>
      <c r="I140" s="4"/>
      <c r="J140" s="4"/>
      <c r="K140" s="4"/>
      <c r="L140" s="4"/>
      <c r="M140" s="4"/>
      <c r="N140" s="4" t="str">
        <f>IF(M140="","",VLOOKUP(M140,Referentie!$G$2:$I$26,2,0))</f>
        <v/>
      </c>
      <c r="O140" s="4" t="str">
        <f>IF(M140="","",VLOOKUP(M140,Referentie!$G$2:$I$26,3,0))</f>
        <v/>
      </c>
      <c r="P140" s="4" t="str">
        <f t="shared" si="26"/>
        <v/>
      </c>
      <c r="Q140" s="4" t="str">
        <f t="shared" si="27"/>
        <v/>
      </c>
      <c r="R140" s="4" t="str">
        <f t="shared" si="28"/>
        <v/>
      </c>
      <c r="S140" s="4" t="str">
        <f t="shared" si="29"/>
        <v/>
      </c>
      <c r="T140" s="4" t="str">
        <f t="shared" si="24"/>
        <v/>
      </c>
      <c r="U140" s="4" t="str">
        <f t="shared" si="30"/>
        <v/>
      </c>
      <c r="V140" s="4" t="str">
        <f t="shared" si="25"/>
        <v/>
      </c>
    </row>
    <row r="141" spans="1:22" ht="15" customHeight="1">
      <c r="A141" s="2"/>
      <c r="B141" s="2"/>
      <c r="C141" s="2"/>
      <c r="D141" s="4" t="str">
        <f>IF(C141="","",VLOOKUP(C141,Referentie!$A$2:$B$19,2,0))</f>
        <v/>
      </c>
      <c r="E141" s="7"/>
      <c r="F141" s="4"/>
      <c r="G141" s="4"/>
      <c r="H141" s="4"/>
      <c r="I141" s="4"/>
      <c r="J141" s="4"/>
      <c r="K141" s="4"/>
      <c r="L141" s="4"/>
      <c r="M141" s="4"/>
      <c r="N141" s="4" t="str">
        <f>IF(M141="","",VLOOKUP(M141,Referentie!$G$2:$I$26,2,0))</f>
        <v/>
      </c>
      <c r="O141" s="4" t="str">
        <f>IF(M141="","",VLOOKUP(M141,Referentie!$G$2:$I$26,3,0))</f>
        <v/>
      </c>
      <c r="P141" s="4" t="str">
        <f t="shared" si="26"/>
        <v/>
      </c>
      <c r="Q141" s="4" t="str">
        <f t="shared" si="27"/>
        <v/>
      </c>
      <c r="R141" s="4" t="str">
        <f t="shared" si="28"/>
        <v/>
      </c>
      <c r="S141" s="4" t="str">
        <f t="shared" si="29"/>
        <v/>
      </c>
      <c r="T141" s="4" t="str">
        <f t="shared" si="24"/>
        <v/>
      </c>
      <c r="U141" s="4" t="str">
        <f t="shared" si="30"/>
        <v/>
      </c>
      <c r="V141" s="4" t="str">
        <f t="shared" si="25"/>
        <v/>
      </c>
    </row>
    <row r="142" spans="1:22" ht="15" customHeight="1">
      <c r="A142" s="2"/>
      <c r="B142" s="2"/>
      <c r="C142" s="2"/>
      <c r="D142" s="4" t="str">
        <f>IF(C142="","",VLOOKUP(C142,Referentie!$A$2:$B$19,2,0))</f>
        <v/>
      </c>
      <c r="E142" s="7"/>
      <c r="F142" s="4"/>
      <c r="G142" s="4"/>
      <c r="H142" s="4"/>
      <c r="I142" s="4"/>
      <c r="J142" s="4"/>
      <c r="K142" s="4"/>
      <c r="L142" s="4"/>
      <c r="M142" s="4"/>
      <c r="N142" s="4" t="str">
        <f>IF(M142="","",VLOOKUP(M142,Referentie!$G$2:$I$26,2,0))</f>
        <v/>
      </c>
      <c r="O142" s="4" t="str">
        <f>IF(M142="","",VLOOKUP(M142,Referentie!$G$2:$I$26,3,0))</f>
        <v/>
      </c>
      <c r="P142" s="4" t="str">
        <f t="shared" si="26"/>
        <v/>
      </c>
      <c r="Q142" s="4" t="str">
        <f t="shared" si="27"/>
        <v/>
      </c>
      <c r="R142" s="4" t="str">
        <f t="shared" si="28"/>
        <v/>
      </c>
      <c r="S142" s="4" t="str">
        <f t="shared" si="29"/>
        <v/>
      </c>
      <c r="T142" s="4" t="str">
        <f t="shared" si="24"/>
        <v/>
      </c>
      <c r="U142" s="4" t="str">
        <f t="shared" si="30"/>
        <v/>
      </c>
      <c r="V142" s="4" t="str">
        <f t="shared" si="25"/>
        <v/>
      </c>
    </row>
    <row r="143" spans="1:22" ht="15" customHeight="1">
      <c r="A143" s="2"/>
      <c r="B143" s="2"/>
      <c r="C143" s="2"/>
      <c r="D143" s="4" t="str">
        <f>IF(C143="","",VLOOKUP(C143,Referentie!$A$2:$B$19,2,0))</f>
        <v/>
      </c>
      <c r="E143" s="7"/>
      <c r="F143" s="4"/>
      <c r="G143" s="4"/>
      <c r="H143" s="4"/>
      <c r="I143" s="4"/>
      <c r="J143" s="4"/>
      <c r="K143" s="4"/>
      <c r="L143" s="4"/>
      <c r="M143" s="4"/>
      <c r="N143" s="4" t="str">
        <f>IF(M143="","",VLOOKUP(M143,Referentie!$G$2:$I$26,2,0))</f>
        <v/>
      </c>
      <c r="O143" s="4" t="str">
        <f>IF(M143="","",VLOOKUP(M143,Referentie!$G$2:$I$26,3,0))</f>
        <v/>
      </c>
      <c r="P143" s="4" t="str">
        <f t="shared" si="26"/>
        <v/>
      </c>
      <c r="Q143" s="4" t="str">
        <f t="shared" si="27"/>
        <v/>
      </c>
      <c r="R143" s="4" t="str">
        <f t="shared" si="28"/>
        <v/>
      </c>
      <c r="S143" s="4" t="str">
        <f t="shared" si="29"/>
        <v/>
      </c>
      <c r="T143" s="4" t="str">
        <f t="shared" si="24"/>
        <v/>
      </c>
      <c r="U143" s="4" t="str">
        <f t="shared" si="30"/>
        <v/>
      </c>
      <c r="V143" s="4" t="str">
        <f t="shared" si="25"/>
        <v/>
      </c>
    </row>
    <row r="144" spans="1:22" ht="15" customHeight="1">
      <c r="A144" s="2"/>
      <c r="B144" s="2"/>
      <c r="C144" s="2"/>
      <c r="D144" s="4" t="str">
        <f>IF(C144="","",VLOOKUP(C144,Referentie!$A$2:$B$19,2,0))</f>
        <v/>
      </c>
      <c r="E144" s="7"/>
      <c r="F144" s="4"/>
      <c r="G144" s="4"/>
      <c r="H144" s="4"/>
      <c r="I144" s="4"/>
      <c r="J144" s="4"/>
      <c r="K144" s="4"/>
      <c r="L144" s="4"/>
      <c r="M144" s="4"/>
      <c r="N144" s="4" t="str">
        <f>IF(M144="","",VLOOKUP(M144,Referentie!$G$2:$I$26,2,0))</f>
        <v/>
      </c>
      <c r="O144" s="4" t="str">
        <f>IF(M144="","",VLOOKUP(M144,Referentie!$G$2:$I$26,3,0))</f>
        <v/>
      </c>
      <c r="P144" s="4" t="str">
        <f t="shared" si="26"/>
        <v/>
      </c>
      <c r="Q144" s="4" t="str">
        <f t="shared" si="27"/>
        <v/>
      </c>
      <c r="R144" s="4" t="str">
        <f t="shared" si="28"/>
        <v/>
      </c>
      <c r="S144" s="4" t="str">
        <f t="shared" si="29"/>
        <v/>
      </c>
      <c r="T144" s="4" t="str">
        <f t="shared" si="24"/>
        <v/>
      </c>
      <c r="U144" s="4" t="str">
        <f t="shared" si="30"/>
        <v/>
      </c>
      <c r="V144" s="4" t="str">
        <f t="shared" si="25"/>
        <v/>
      </c>
    </row>
    <row r="145" spans="1:22" ht="15" customHeight="1">
      <c r="A145" s="2"/>
      <c r="B145" s="2"/>
      <c r="C145" s="2"/>
      <c r="D145" s="4" t="str">
        <f>IF(C145="","",VLOOKUP(C145,Referentie!$A$2:$B$19,2,0))</f>
        <v/>
      </c>
      <c r="E145" s="7"/>
      <c r="F145" s="4"/>
      <c r="G145" s="4"/>
      <c r="H145" s="4"/>
      <c r="I145" s="4"/>
      <c r="J145" s="4"/>
      <c r="K145" s="4"/>
      <c r="L145" s="4"/>
      <c r="M145" s="4"/>
      <c r="N145" s="4" t="str">
        <f>IF(M145="","",VLOOKUP(M145,Referentie!$G$2:$I$26,2,0))</f>
        <v/>
      </c>
      <c r="O145" s="4" t="str">
        <f>IF(M145="","",VLOOKUP(M145,Referentie!$G$2:$I$26,3,0))</f>
        <v/>
      </c>
      <c r="P145" s="4" t="str">
        <f t="shared" si="26"/>
        <v/>
      </c>
      <c r="Q145" s="4" t="str">
        <f t="shared" si="27"/>
        <v/>
      </c>
      <c r="R145" s="4" t="str">
        <f t="shared" si="28"/>
        <v/>
      </c>
      <c r="S145" s="4" t="str">
        <f t="shared" si="29"/>
        <v/>
      </c>
      <c r="T145" s="4" t="str">
        <f t="shared" si="24"/>
        <v/>
      </c>
      <c r="U145" s="4" t="str">
        <f t="shared" si="30"/>
        <v/>
      </c>
      <c r="V145" s="4" t="str">
        <f t="shared" si="25"/>
        <v/>
      </c>
    </row>
    <row r="146" spans="1:22" ht="15" customHeight="1">
      <c r="A146" s="2"/>
      <c r="B146" s="2"/>
      <c r="C146" s="2"/>
      <c r="D146" s="4" t="str">
        <f>IF(C146="","",VLOOKUP(C146,Referentie!$A$2:$B$19,2,0))</f>
        <v/>
      </c>
      <c r="E146" s="7"/>
      <c r="F146" s="4"/>
      <c r="G146" s="4"/>
      <c r="H146" s="4"/>
      <c r="I146" s="4"/>
      <c r="J146" s="4"/>
      <c r="K146" s="4"/>
      <c r="L146" s="4"/>
      <c r="M146" s="4"/>
      <c r="N146" s="4" t="str">
        <f>IF(M146="","",VLOOKUP(M146,Referentie!$G$2:$I$26,2,0))</f>
        <v/>
      </c>
      <c r="O146" s="4" t="str">
        <f>IF(M146="","",VLOOKUP(M146,Referentie!$G$2:$I$26,3,0))</f>
        <v/>
      </c>
      <c r="P146" s="4" t="str">
        <f t="shared" si="26"/>
        <v/>
      </c>
      <c r="Q146" s="4" t="str">
        <f t="shared" si="27"/>
        <v/>
      </c>
      <c r="R146" s="4" t="str">
        <f t="shared" si="28"/>
        <v/>
      </c>
      <c r="S146" s="4" t="str">
        <f t="shared" si="29"/>
        <v/>
      </c>
      <c r="T146" s="4" t="str">
        <f t="shared" si="24"/>
        <v/>
      </c>
      <c r="U146" s="4" t="str">
        <f t="shared" si="30"/>
        <v/>
      </c>
      <c r="V146" s="4" t="str">
        <f t="shared" si="25"/>
        <v/>
      </c>
    </row>
    <row r="147" spans="1:22" ht="15" customHeight="1">
      <c r="A147" s="2"/>
      <c r="B147" s="2"/>
      <c r="C147" s="2"/>
      <c r="D147" s="4" t="str">
        <f>IF(C147="","",VLOOKUP(C147,Referentie!$A$2:$B$19,2,0))</f>
        <v/>
      </c>
      <c r="E147" s="7"/>
      <c r="F147" s="4"/>
      <c r="G147" s="4"/>
      <c r="H147" s="4"/>
      <c r="I147" s="4"/>
      <c r="J147" s="4"/>
      <c r="K147" s="4"/>
      <c r="L147" s="4"/>
      <c r="M147" s="4"/>
      <c r="N147" s="4" t="str">
        <f>IF(M147="","",VLOOKUP(M147,Referentie!$G$2:$I$26,2,0))</f>
        <v/>
      </c>
      <c r="O147" s="4" t="str">
        <f>IF(M147="","",VLOOKUP(M147,Referentie!$G$2:$I$26,3,0))</f>
        <v/>
      </c>
      <c r="P147" s="4" t="str">
        <f t="shared" si="26"/>
        <v/>
      </c>
      <c r="Q147" s="4" t="str">
        <f t="shared" si="27"/>
        <v/>
      </c>
      <c r="R147" s="4" t="str">
        <f t="shared" si="28"/>
        <v/>
      </c>
      <c r="S147" s="4" t="str">
        <f t="shared" si="29"/>
        <v/>
      </c>
      <c r="T147" s="4" t="str">
        <f t="shared" si="24"/>
        <v/>
      </c>
      <c r="U147" s="4" t="str">
        <f t="shared" si="30"/>
        <v/>
      </c>
      <c r="V147" s="4" t="str">
        <f t="shared" si="25"/>
        <v/>
      </c>
    </row>
    <row r="148" spans="1:22" ht="15" customHeight="1">
      <c r="A148" s="2"/>
      <c r="B148" s="2"/>
      <c r="C148" s="2"/>
      <c r="D148" s="4" t="str">
        <f>IF(C148="","",VLOOKUP(C148,Referentie!$A$2:$B$19,2,0))</f>
        <v/>
      </c>
      <c r="E148" s="7"/>
      <c r="F148" s="4"/>
      <c r="G148" s="4"/>
      <c r="H148" s="4"/>
      <c r="I148" s="4"/>
      <c r="J148" s="4"/>
      <c r="K148" s="4"/>
      <c r="L148" s="4"/>
      <c r="M148" s="4"/>
      <c r="N148" s="4" t="str">
        <f>IF(M148="","",VLOOKUP(M148,Referentie!$G$2:$I$26,2,0))</f>
        <v/>
      </c>
      <c r="O148" s="4" t="str">
        <f>IF(M148="","",VLOOKUP(M148,Referentie!$G$2:$I$26,3,0))</f>
        <v/>
      </c>
      <c r="P148" s="4" t="str">
        <f t="shared" si="26"/>
        <v/>
      </c>
      <c r="Q148" s="4" t="str">
        <f t="shared" si="27"/>
        <v/>
      </c>
      <c r="R148" s="4" t="str">
        <f t="shared" si="28"/>
        <v/>
      </c>
      <c r="S148" s="4" t="str">
        <f t="shared" si="29"/>
        <v/>
      </c>
      <c r="T148" s="4" t="str">
        <f t="shared" si="24"/>
        <v/>
      </c>
      <c r="U148" s="4" t="str">
        <f t="shared" si="30"/>
        <v/>
      </c>
      <c r="V148" s="4" t="str">
        <f t="shared" si="25"/>
        <v/>
      </c>
    </row>
    <row r="149" spans="1:22" ht="15" customHeight="1">
      <c r="A149" s="2"/>
      <c r="B149" s="2"/>
      <c r="C149" s="2"/>
      <c r="D149" s="4" t="str">
        <f>IF(C149="","",VLOOKUP(C149,Referentie!$A$2:$B$19,2,0))</f>
        <v/>
      </c>
      <c r="E149" s="7"/>
      <c r="F149" s="4"/>
      <c r="G149" s="4"/>
      <c r="H149" s="4"/>
      <c r="I149" s="4"/>
      <c r="J149" s="4"/>
      <c r="K149" s="4"/>
      <c r="L149" s="4"/>
      <c r="M149" s="4"/>
      <c r="N149" s="4" t="str">
        <f>IF(M149="","",VLOOKUP(M149,Referentie!$G$2:$I$26,2,0))</f>
        <v/>
      </c>
      <c r="O149" s="4" t="str">
        <f>IF(M149="","",VLOOKUP(M149,Referentie!$G$2:$I$26,3,0))</f>
        <v/>
      </c>
      <c r="P149" s="4" t="str">
        <f t="shared" si="26"/>
        <v/>
      </c>
      <c r="Q149" s="4" t="str">
        <f t="shared" si="27"/>
        <v/>
      </c>
      <c r="R149" s="4" t="str">
        <f t="shared" si="28"/>
        <v/>
      </c>
      <c r="S149" s="4" t="str">
        <f t="shared" si="29"/>
        <v/>
      </c>
      <c r="T149" s="4" t="str">
        <f t="shared" si="24"/>
        <v/>
      </c>
      <c r="U149" s="4" t="str">
        <f t="shared" si="30"/>
        <v/>
      </c>
      <c r="V149" s="4" t="str">
        <f t="shared" si="25"/>
        <v/>
      </c>
    </row>
    <row r="150" spans="1:22" ht="15" customHeight="1">
      <c r="A150" s="2"/>
      <c r="B150" s="2"/>
      <c r="C150" s="2"/>
      <c r="D150" s="4" t="str">
        <f>IF(C150="","",VLOOKUP(C150,Referentie!$A$2:$B$19,2,0))</f>
        <v/>
      </c>
      <c r="E150" s="7"/>
      <c r="F150" s="4"/>
      <c r="G150" s="4"/>
      <c r="H150" s="4"/>
      <c r="I150" s="4"/>
      <c r="J150" s="4"/>
      <c r="K150" s="4"/>
      <c r="L150" s="4"/>
      <c r="M150" s="4"/>
      <c r="N150" s="4" t="str">
        <f>IF(M150="","",VLOOKUP(M150,Referentie!$G$2:$I$26,2,0))</f>
        <v/>
      </c>
      <c r="O150" s="4" t="str">
        <f>IF(M150="","",VLOOKUP(M150,Referentie!$G$2:$I$26,3,0))</f>
        <v/>
      </c>
      <c r="P150" s="4" t="str">
        <f t="shared" si="26"/>
        <v/>
      </c>
      <c r="Q150" s="4" t="str">
        <f t="shared" si="27"/>
        <v/>
      </c>
      <c r="R150" s="4" t="str">
        <f t="shared" si="28"/>
        <v/>
      </c>
      <c r="S150" s="4" t="str">
        <f t="shared" si="29"/>
        <v/>
      </c>
      <c r="T150" s="4" t="str">
        <f t="shared" si="24"/>
        <v/>
      </c>
      <c r="U150" s="4" t="str">
        <f t="shared" si="30"/>
        <v/>
      </c>
      <c r="V150" s="4" t="str">
        <f t="shared" si="25"/>
        <v/>
      </c>
    </row>
    <row r="151" spans="1:22" ht="15" customHeight="1">
      <c r="A151" s="2"/>
      <c r="B151" s="2"/>
      <c r="C151" s="2"/>
      <c r="D151" s="4" t="str">
        <f>IF(C151="","",VLOOKUP(C151,Referentie!$A$2:$B$19,2,0))</f>
        <v/>
      </c>
      <c r="E151" s="7"/>
      <c r="F151" s="4"/>
      <c r="G151" s="4"/>
      <c r="H151" s="4"/>
      <c r="I151" s="4"/>
      <c r="J151" s="4"/>
      <c r="K151" s="4"/>
      <c r="L151" s="4"/>
      <c r="M151" s="4"/>
      <c r="N151" s="4" t="str">
        <f>IF(M151="","",VLOOKUP(M151,Referentie!$G$2:$I$26,2,0))</f>
        <v/>
      </c>
      <c r="O151" s="4" t="str">
        <f>IF(M151="","",VLOOKUP(M151,Referentie!$G$2:$I$26,3,0))</f>
        <v/>
      </c>
      <c r="P151" s="4" t="str">
        <f t="shared" si="26"/>
        <v/>
      </c>
      <c r="Q151" s="4" t="str">
        <f t="shared" si="27"/>
        <v/>
      </c>
      <c r="R151" s="4" t="str">
        <f t="shared" si="28"/>
        <v/>
      </c>
      <c r="S151" s="4" t="str">
        <f t="shared" si="29"/>
        <v/>
      </c>
      <c r="T151" s="4" t="str">
        <f t="shared" si="24"/>
        <v/>
      </c>
      <c r="U151" s="4" t="str">
        <f t="shared" si="30"/>
        <v/>
      </c>
      <c r="V151" s="4" t="str">
        <f t="shared" si="25"/>
        <v/>
      </c>
    </row>
    <row r="152" spans="1:22" ht="15" customHeight="1">
      <c r="A152" s="2"/>
      <c r="B152" s="2"/>
      <c r="C152" s="2"/>
      <c r="D152" s="4" t="str">
        <f>IF(C152="","",VLOOKUP(C152,Referentie!$A$2:$B$19,2,0))</f>
        <v/>
      </c>
      <c r="E152" s="7"/>
      <c r="F152" s="4"/>
      <c r="G152" s="4"/>
      <c r="H152" s="4"/>
      <c r="I152" s="4"/>
      <c r="J152" s="4"/>
      <c r="K152" s="4"/>
      <c r="L152" s="4"/>
      <c r="M152" s="4"/>
      <c r="N152" s="4" t="str">
        <f>IF(M152="","",VLOOKUP(M152,Referentie!$G$2:$I$26,2,0))</f>
        <v/>
      </c>
      <c r="O152" s="4" t="str">
        <f>IF(M152="","",VLOOKUP(M152,Referentie!$G$2:$I$26,3,0))</f>
        <v/>
      </c>
      <c r="P152" s="4" t="str">
        <f t="shared" si="26"/>
        <v/>
      </c>
      <c r="Q152" s="4" t="str">
        <f t="shared" si="27"/>
        <v/>
      </c>
      <c r="R152" s="4" t="str">
        <f t="shared" si="28"/>
        <v/>
      </c>
      <c r="S152" s="4" t="str">
        <f t="shared" si="29"/>
        <v/>
      </c>
      <c r="T152" s="4" t="str">
        <f t="shared" si="24"/>
        <v/>
      </c>
      <c r="U152" s="4" t="str">
        <f t="shared" si="30"/>
        <v/>
      </c>
      <c r="V152" s="4" t="str">
        <f t="shared" si="25"/>
        <v/>
      </c>
    </row>
    <row r="153" spans="1:22" ht="15" customHeight="1">
      <c r="A153" s="2"/>
      <c r="B153" s="2"/>
      <c r="C153" s="2"/>
      <c r="D153" s="4" t="str">
        <f>IF(C153="","",VLOOKUP(C153,Referentie!$A$2:$B$19,2,0))</f>
        <v/>
      </c>
      <c r="E153" s="7"/>
      <c r="F153" s="4"/>
      <c r="G153" s="4"/>
      <c r="H153" s="4"/>
      <c r="I153" s="4"/>
      <c r="J153" s="4"/>
      <c r="K153" s="4"/>
      <c r="L153" s="4"/>
      <c r="M153" s="4"/>
      <c r="N153" s="4" t="str">
        <f>IF(M153="","",VLOOKUP(M153,Referentie!$G$2:$I$26,2,0))</f>
        <v/>
      </c>
      <c r="O153" s="4" t="str">
        <f>IF(M153="","",VLOOKUP(M153,Referentie!$G$2:$I$26,3,0))</f>
        <v/>
      </c>
      <c r="P153" s="4" t="str">
        <f t="shared" si="26"/>
        <v/>
      </c>
      <c r="Q153" s="4" t="str">
        <f t="shared" si="27"/>
        <v/>
      </c>
      <c r="R153" s="4" t="str">
        <f t="shared" si="28"/>
        <v/>
      </c>
      <c r="S153" s="4" t="str">
        <f t="shared" si="29"/>
        <v/>
      </c>
      <c r="T153" s="4" t="str">
        <f t="shared" si="24"/>
        <v/>
      </c>
      <c r="U153" s="4" t="str">
        <f t="shared" si="30"/>
        <v/>
      </c>
      <c r="V153" s="4" t="str">
        <f t="shared" si="25"/>
        <v/>
      </c>
    </row>
    <row r="154" spans="1:22" ht="15" customHeight="1">
      <c r="A154" s="2"/>
      <c r="B154" s="2"/>
      <c r="C154" s="2"/>
      <c r="D154" s="4" t="str">
        <f>IF(C154="","",VLOOKUP(C154,Referentie!$A$2:$B$19,2,0))</f>
        <v/>
      </c>
      <c r="E154" s="7"/>
      <c r="F154" s="4"/>
      <c r="G154" s="4"/>
      <c r="H154" s="4"/>
      <c r="I154" s="4"/>
      <c r="J154" s="4"/>
      <c r="K154" s="4"/>
      <c r="L154" s="4"/>
      <c r="M154" s="4"/>
      <c r="N154" s="4" t="str">
        <f>IF(M154="","",VLOOKUP(M154,Referentie!$G$2:$I$26,2,0))</f>
        <v/>
      </c>
      <c r="O154" s="4" t="str">
        <f>IF(M154="","",VLOOKUP(M154,Referentie!$G$2:$I$26,3,0))</f>
        <v/>
      </c>
      <c r="P154" s="4" t="str">
        <f t="shared" si="26"/>
        <v/>
      </c>
      <c r="Q154" s="4" t="str">
        <f t="shared" si="27"/>
        <v/>
      </c>
      <c r="R154" s="4" t="str">
        <f t="shared" si="28"/>
        <v/>
      </c>
      <c r="S154" s="4" t="str">
        <f t="shared" si="29"/>
        <v/>
      </c>
      <c r="T154" s="4" t="str">
        <f t="shared" si="24"/>
        <v/>
      </c>
      <c r="U154" s="4" t="str">
        <f t="shared" si="30"/>
        <v/>
      </c>
      <c r="V154" s="4" t="str">
        <f t="shared" si="25"/>
        <v/>
      </c>
    </row>
    <row r="155" spans="1:22" ht="15" customHeight="1">
      <c r="A155" s="2"/>
      <c r="B155" s="2"/>
      <c r="C155" s="2"/>
      <c r="D155" s="4" t="str">
        <f>IF(C155="","",VLOOKUP(C155,Referentie!$A$2:$B$19,2,0))</f>
        <v/>
      </c>
      <c r="E155" s="7"/>
      <c r="F155" s="4"/>
      <c r="G155" s="4"/>
      <c r="H155" s="4"/>
      <c r="I155" s="4"/>
      <c r="J155" s="4"/>
      <c r="K155" s="4"/>
      <c r="L155" s="4"/>
      <c r="M155" s="4"/>
      <c r="N155" s="4" t="str">
        <f>IF(M155="","",VLOOKUP(M155,Referentie!$G$2:$I$26,2,0))</f>
        <v/>
      </c>
      <c r="O155" s="4" t="str">
        <f>IF(M155="","",VLOOKUP(M155,Referentie!$G$2:$I$26,3,0))</f>
        <v/>
      </c>
      <c r="P155" s="4" t="str">
        <f t="shared" si="26"/>
        <v/>
      </c>
      <c r="Q155" s="4" t="str">
        <f t="shared" si="27"/>
        <v/>
      </c>
      <c r="R155" s="4" t="str">
        <f t="shared" si="28"/>
        <v/>
      </c>
      <c r="S155" s="4" t="str">
        <f t="shared" si="29"/>
        <v/>
      </c>
      <c r="T155" s="4" t="str">
        <f t="shared" si="24"/>
        <v/>
      </c>
      <c r="U155" s="4" t="str">
        <f t="shared" si="30"/>
        <v/>
      </c>
      <c r="V155" s="4" t="str">
        <f t="shared" si="25"/>
        <v/>
      </c>
    </row>
    <row r="156" spans="1:22" ht="15" customHeight="1">
      <c r="A156" s="2"/>
      <c r="B156" s="2"/>
      <c r="C156" s="2"/>
      <c r="D156" s="4" t="str">
        <f>IF(C156="","",VLOOKUP(C156,Referentie!$A$2:$B$19,2,0))</f>
        <v/>
      </c>
      <c r="E156" s="7"/>
      <c r="F156" s="4"/>
      <c r="G156" s="4"/>
      <c r="H156" s="4"/>
      <c r="I156" s="4"/>
      <c r="J156" s="4"/>
      <c r="K156" s="4"/>
      <c r="L156" s="4"/>
      <c r="M156" s="4"/>
      <c r="N156" s="4" t="str">
        <f>IF(M156="","",VLOOKUP(M156,Referentie!$G$2:$I$26,2,0))</f>
        <v/>
      </c>
      <c r="O156" s="4" t="str">
        <f>IF(M156="","",VLOOKUP(M156,Referentie!$G$2:$I$26,3,0))</f>
        <v/>
      </c>
      <c r="P156" s="4" t="str">
        <f t="shared" si="26"/>
        <v/>
      </c>
      <c r="Q156" s="4" t="str">
        <f t="shared" si="27"/>
        <v/>
      </c>
      <c r="R156" s="4" t="str">
        <f t="shared" si="28"/>
        <v/>
      </c>
      <c r="S156" s="4" t="str">
        <f t="shared" si="29"/>
        <v/>
      </c>
      <c r="T156" s="4" t="str">
        <f t="shared" si="24"/>
        <v/>
      </c>
      <c r="U156" s="4" t="str">
        <f t="shared" si="30"/>
        <v/>
      </c>
      <c r="V156" s="4" t="str">
        <f t="shared" si="25"/>
        <v/>
      </c>
    </row>
    <row r="157" spans="1:22" ht="15" customHeight="1">
      <c r="A157" s="2"/>
      <c r="B157" s="2"/>
      <c r="C157" s="2"/>
      <c r="D157" s="4" t="str">
        <f>IF(C157="","",VLOOKUP(C157,Referentie!$A$2:$B$19,2,0))</f>
        <v/>
      </c>
      <c r="E157" s="7"/>
      <c r="F157" s="4"/>
      <c r="G157" s="4"/>
      <c r="H157" s="4"/>
      <c r="I157" s="4"/>
      <c r="J157" s="4"/>
      <c r="K157" s="4"/>
      <c r="L157" s="4"/>
      <c r="M157" s="4"/>
      <c r="N157" s="4" t="str">
        <f>IF(M157="","",VLOOKUP(M157,Referentie!$G$2:$I$26,2,0))</f>
        <v/>
      </c>
      <c r="O157" s="4" t="str">
        <f>IF(M157="","",VLOOKUP(M157,Referentie!$G$2:$I$26,3,0))</f>
        <v/>
      </c>
      <c r="P157" s="4" t="str">
        <f t="shared" si="26"/>
        <v/>
      </c>
      <c r="Q157" s="4" t="str">
        <f t="shared" si="27"/>
        <v/>
      </c>
      <c r="R157" s="4" t="str">
        <f t="shared" si="28"/>
        <v/>
      </c>
      <c r="S157" s="4" t="str">
        <f t="shared" si="29"/>
        <v/>
      </c>
      <c r="T157" s="4" t="str">
        <f t="shared" si="24"/>
        <v/>
      </c>
      <c r="U157" s="4" t="str">
        <f t="shared" si="30"/>
        <v/>
      </c>
      <c r="V157" s="4" t="str">
        <f t="shared" si="25"/>
        <v/>
      </c>
    </row>
    <row r="158" spans="1:22" ht="15" customHeight="1">
      <c r="A158" s="2"/>
      <c r="B158" s="2"/>
      <c r="C158" s="2"/>
      <c r="D158" s="4" t="str">
        <f>IF(C158="","",VLOOKUP(C158,Referentie!$A$2:$B$19,2,0))</f>
        <v/>
      </c>
      <c r="E158" s="7"/>
      <c r="F158" s="4"/>
      <c r="G158" s="4"/>
      <c r="H158" s="4"/>
      <c r="I158" s="4"/>
      <c r="J158" s="4"/>
      <c r="K158" s="4"/>
      <c r="L158" s="4"/>
      <c r="M158" s="4"/>
      <c r="N158" s="4" t="str">
        <f>IF(M158="","",VLOOKUP(M158,Referentie!$G$2:$I$26,2,0))</f>
        <v/>
      </c>
      <c r="O158" s="4" t="str">
        <f>IF(M158="","",VLOOKUP(M158,Referentie!$G$2:$I$26,3,0))</f>
        <v/>
      </c>
      <c r="P158" s="4" t="str">
        <f t="shared" si="26"/>
        <v/>
      </c>
      <c r="Q158" s="4" t="str">
        <f t="shared" si="27"/>
        <v/>
      </c>
      <c r="R158" s="4" t="str">
        <f t="shared" si="28"/>
        <v/>
      </c>
      <c r="S158" s="4" t="str">
        <f t="shared" si="29"/>
        <v/>
      </c>
      <c r="T158" s="4" t="str">
        <f t="shared" si="24"/>
        <v/>
      </c>
      <c r="U158" s="4" t="str">
        <f t="shared" si="30"/>
        <v/>
      </c>
      <c r="V158" s="4" t="str">
        <f t="shared" si="25"/>
        <v/>
      </c>
    </row>
    <row r="159" spans="1:22" ht="15" customHeight="1">
      <c r="A159" s="2"/>
      <c r="B159" s="2"/>
      <c r="C159" s="2"/>
      <c r="D159" s="4" t="str">
        <f>IF(C159="","",VLOOKUP(C159,Referentie!$A$2:$B$19,2,0))</f>
        <v/>
      </c>
      <c r="E159" s="7"/>
      <c r="F159" s="4"/>
      <c r="G159" s="4"/>
      <c r="H159" s="4"/>
      <c r="I159" s="4"/>
      <c r="J159" s="4"/>
      <c r="K159" s="4"/>
      <c r="L159" s="4"/>
      <c r="M159" s="4"/>
      <c r="N159" s="4" t="str">
        <f>IF(M159="","",VLOOKUP(M159,Referentie!$G$2:$I$26,2,0))</f>
        <v/>
      </c>
      <c r="O159" s="4" t="str">
        <f>IF(M159="","",VLOOKUP(M159,Referentie!$G$2:$I$26,3,0))</f>
        <v/>
      </c>
      <c r="P159" s="4" t="str">
        <f t="shared" si="26"/>
        <v/>
      </c>
      <c r="Q159" s="4" t="str">
        <f t="shared" si="27"/>
        <v/>
      </c>
      <c r="R159" s="4" t="str">
        <f t="shared" si="28"/>
        <v/>
      </c>
      <c r="S159" s="4" t="str">
        <f t="shared" si="29"/>
        <v/>
      </c>
      <c r="T159" s="4" t="str">
        <f t="shared" si="24"/>
        <v/>
      </c>
      <c r="U159" s="4" t="str">
        <f t="shared" si="30"/>
        <v/>
      </c>
      <c r="V159" s="4" t="str">
        <f t="shared" si="25"/>
        <v/>
      </c>
    </row>
    <row r="160" spans="1:22" ht="15" customHeight="1">
      <c r="A160" s="2"/>
      <c r="B160" s="2"/>
      <c r="C160" s="2"/>
      <c r="D160" s="4" t="str">
        <f>IF(C160="","",VLOOKUP(C160,Referentie!$A$2:$B$19,2,0))</f>
        <v/>
      </c>
      <c r="E160" s="7"/>
      <c r="F160" s="4"/>
      <c r="G160" s="4"/>
      <c r="H160" s="4"/>
      <c r="I160" s="4"/>
      <c r="J160" s="4"/>
      <c r="K160" s="4"/>
      <c r="L160" s="4"/>
      <c r="M160" s="4"/>
      <c r="N160" s="4" t="str">
        <f>IF(M160="","",VLOOKUP(M160,Referentie!$G$2:$I$26,2,0))</f>
        <v/>
      </c>
      <c r="O160" s="4" t="str">
        <f>IF(M160="","",VLOOKUP(M160,Referentie!$G$2:$I$26,3,0))</f>
        <v/>
      </c>
      <c r="P160" s="4" t="str">
        <f t="shared" si="26"/>
        <v/>
      </c>
      <c r="Q160" s="4" t="str">
        <f t="shared" si="27"/>
        <v/>
      </c>
      <c r="R160" s="4" t="str">
        <f t="shared" si="28"/>
        <v/>
      </c>
      <c r="S160" s="4" t="str">
        <f t="shared" si="29"/>
        <v/>
      </c>
      <c r="T160" s="4" t="str">
        <f t="shared" si="24"/>
        <v/>
      </c>
      <c r="U160" s="4" t="str">
        <f t="shared" si="30"/>
        <v/>
      </c>
      <c r="V160" s="4" t="str">
        <f t="shared" si="25"/>
        <v/>
      </c>
    </row>
    <row r="161" spans="1:22" ht="15" customHeight="1">
      <c r="A161" s="2"/>
      <c r="B161" s="2"/>
      <c r="C161" s="2"/>
      <c r="D161" s="4" t="str">
        <f>IF(C161="","",VLOOKUP(C161,Referentie!$A$2:$B$19,2,0))</f>
        <v/>
      </c>
      <c r="E161" s="7"/>
      <c r="F161" s="4"/>
      <c r="G161" s="4"/>
      <c r="H161" s="4"/>
      <c r="I161" s="4"/>
      <c r="J161" s="4"/>
      <c r="K161" s="4"/>
      <c r="L161" s="4"/>
      <c r="M161" s="4"/>
      <c r="N161" s="4" t="str">
        <f>IF(M161="","",VLOOKUP(M161,Referentie!$G$2:$I$26,2,0))</f>
        <v/>
      </c>
      <c r="O161" s="4" t="str">
        <f>IF(M161="","",VLOOKUP(M161,Referentie!$G$2:$I$26,3,0))</f>
        <v/>
      </c>
      <c r="P161" s="4" t="str">
        <f t="shared" si="26"/>
        <v/>
      </c>
      <c r="Q161" s="4" t="str">
        <f t="shared" si="27"/>
        <v/>
      </c>
      <c r="R161" s="4" t="str">
        <f t="shared" si="28"/>
        <v/>
      </c>
      <c r="S161" s="4" t="str">
        <f t="shared" si="29"/>
        <v/>
      </c>
      <c r="T161" s="4" t="str">
        <f t="shared" si="24"/>
        <v/>
      </c>
      <c r="U161" s="4" t="str">
        <f t="shared" si="30"/>
        <v/>
      </c>
      <c r="V161" s="4" t="str">
        <f t="shared" si="25"/>
        <v/>
      </c>
    </row>
    <row r="162" spans="1:22" ht="15" customHeight="1">
      <c r="A162" s="2"/>
      <c r="B162" s="2"/>
      <c r="C162" s="2"/>
      <c r="D162" s="4" t="str">
        <f>IF(C162="","",VLOOKUP(C162,Referentie!$A$2:$B$19,2,0))</f>
        <v/>
      </c>
      <c r="E162" s="7"/>
      <c r="F162" s="4"/>
      <c r="G162" s="4"/>
      <c r="H162" s="4"/>
      <c r="I162" s="4"/>
      <c r="J162" s="4"/>
      <c r="K162" s="4"/>
      <c r="L162" s="4"/>
      <c r="M162" s="4"/>
      <c r="N162" s="4" t="str">
        <f>IF(M162="","",VLOOKUP(M162,Referentie!$G$2:$I$26,2,0))</f>
        <v/>
      </c>
      <c r="O162" s="4" t="str">
        <f>IF(M162="","",VLOOKUP(M162,Referentie!$G$2:$I$26,3,0))</f>
        <v/>
      </c>
      <c r="P162" s="4" t="str">
        <f t="shared" si="26"/>
        <v/>
      </c>
      <c r="Q162" s="4" t="str">
        <f t="shared" si="27"/>
        <v/>
      </c>
      <c r="R162" s="4" t="str">
        <f t="shared" si="28"/>
        <v/>
      </c>
      <c r="S162" s="4" t="str">
        <f t="shared" si="29"/>
        <v/>
      </c>
      <c r="T162" s="4" t="str">
        <f t="shared" si="24"/>
        <v/>
      </c>
      <c r="U162" s="4" t="str">
        <f t="shared" si="30"/>
        <v/>
      </c>
      <c r="V162" s="4" t="str">
        <f t="shared" si="25"/>
        <v/>
      </c>
    </row>
    <row r="163" spans="1:22" ht="15" customHeight="1">
      <c r="A163" s="2"/>
      <c r="B163" s="2"/>
      <c r="C163" s="2"/>
      <c r="D163" s="4" t="str">
        <f>IF(C163="","",VLOOKUP(C163,Referentie!$A$2:$B$19,2,0))</f>
        <v/>
      </c>
      <c r="E163" s="7"/>
      <c r="F163" s="4"/>
      <c r="G163" s="4"/>
      <c r="H163" s="4"/>
      <c r="I163" s="4"/>
      <c r="J163" s="4"/>
      <c r="K163" s="4"/>
      <c r="L163" s="4"/>
      <c r="M163" s="4"/>
      <c r="N163" s="4" t="str">
        <f>IF(M163="","",VLOOKUP(M163,Referentie!$G$2:$I$26,2,0))</f>
        <v/>
      </c>
      <c r="O163" s="4" t="str">
        <f>IF(M163="","",VLOOKUP(M163,Referentie!$G$2:$I$26,3,0))</f>
        <v/>
      </c>
      <c r="P163" s="4" t="str">
        <f t="shared" ref="P163:P193" si="31">IF(A163="","", (IF(N163="Speed of Help",2,0)) + (IF(O163="Speed of Help",-2,0)) + (IF(N163="EXP Gains",1,0)) + (IF(O163="EXP Gains",-1,0)) + (COUNTIF(H163:L163,"Helping Speed S")*1) + (COUNTIF(H163:L163,"Helping Speed M")*2) + (COUNTIF(H163:L163,"Berry Finding S")*2) + (COUNTIF(H163:L163,"Helping Bonus")*1) + (IF(O163="Ingredient Finding",0,0)) + (IF(O163="Main Skill Chance",0,0)) )</f>
        <v/>
      </c>
      <c r="Q163" s="4" t="str">
        <f t="shared" ref="Q163:Q193" si="32">IF(A163="","", (IF(N163="Ingredient Finding",2,0)) + (IF(O163="Ingredient Finding",-2,0)) + (IF(N163="EXP Gains",1,0)) + (IF(O163="EXP Gains",-1,0)) + (COUNTIF(H163:L163,"Ingredient Finder S")*1) + (COUNTIF(H163:L163,"Ingredient Finder M")*2) + (COUNTIF(H163:L163,"Inventory Up S")*0.5) + (COUNTIF(H163:L163,"Inventory Up M")*1) + (COUNTIF(H163:L163,"Inventory Up L")*1.5) + (IF(E163=F163,1,0)) + (IF(F163=G163,1,0)) )</f>
        <v/>
      </c>
      <c r="R163" s="4" t="str">
        <f t="shared" ref="R163:R193" si="33">IF(A163="","", (IF(N163="Main Skill Chance",2,0)) + (IF(O163="Main Skill Chance",-2,0)) + (IF(N163="EXP Gains",1,0)) + (IF(O163="EXP Gains",-1,0)) + (COUNTIF(H163:L163,"Skill Trigger S")*1) + (COUNTIF(H163:L163,"Skill Trigger M")*2) + (COUNTIF(H163:L163,"Skill Level Up S")*1) + (COUNTIF(H163:L163,"Skill Level Up M")*2) + (COUNTIF(H163:L163,"Energy Recovery Bonus")*1.5) + (COUNTIF(H163:L163,"Sleep EXP Bonus")*1) + (COUNTIF(H163:L163,"Research EXP Bonus")*1) )</f>
        <v/>
      </c>
      <c r="S163" s="4" t="str">
        <f t="shared" ref="S163:S193" si="34">IF(A163="","", IF(AND(P163&lt;=1, Q163&lt;=1, R163&lt;=1), "Bench", IF(AND(P163&gt;=Q163, P163&gt;=R163), "Berry", IF(AND(Q163&gt;=P163, Q163&gt;=R163), "Ingredient", "Skill"))) )</f>
        <v/>
      </c>
      <c r="T163" s="4" t="str">
        <f t="shared" si="24"/>
        <v/>
      </c>
      <c r="U163" s="4" t="str">
        <f t="shared" ref="U163:U193" si="35">IF(A163="","", IF(T163&gt;=7, "⭐ Keep", IF(T163&gt;=5, "📈 Level Up", IF(T163&gt;=3, "🤔 Bench", "❌ Transfer"))) )</f>
        <v/>
      </c>
      <c r="V163" s="4" t="str">
        <f t="shared" si="25"/>
        <v/>
      </c>
    </row>
    <row r="164" spans="1:22" ht="15" customHeight="1">
      <c r="A164" s="2"/>
      <c r="B164" s="2"/>
      <c r="C164" s="2"/>
      <c r="D164" s="4" t="str">
        <f>IF(C164="","",VLOOKUP(C164,Referentie!$A$2:$B$19,2,0))</f>
        <v/>
      </c>
      <c r="E164" s="7"/>
      <c r="F164" s="4"/>
      <c r="G164" s="4"/>
      <c r="H164" s="4"/>
      <c r="I164" s="4"/>
      <c r="J164" s="4"/>
      <c r="K164" s="4"/>
      <c r="L164" s="4"/>
      <c r="M164" s="4"/>
      <c r="N164" s="4" t="str">
        <f>IF(M164="","",VLOOKUP(M164,Referentie!$G$2:$I$26,2,0))</f>
        <v/>
      </c>
      <c r="O164" s="4" t="str">
        <f>IF(M164="","",VLOOKUP(M164,Referentie!$G$2:$I$26,3,0))</f>
        <v/>
      </c>
      <c r="P164" s="4" t="str">
        <f t="shared" si="31"/>
        <v/>
      </c>
      <c r="Q164" s="4" t="str">
        <f t="shared" si="32"/>
        <v/>
      </c>
      <c r="R164" s="4" t="str">
        <f t="shared" si="33"/>
        <v/>
      </c>
      <c r="S164" s="4" t="str">
        <f t="shared" si="34"/>
        <v/>
      </c>
      <c r="T164" s="4" t="str">
        <f t="shared" si="24"/>
        <v/>
      </c>
      <c r="U164" s="4" t="str">
        <f t="shared" si="35"/>
        <v/>
      </c>
      <c r="V164" s="4" t="str">
        <f t="shared" si="25"/>
        <v/>
      </c>
    </row>
    <row r="165" spans="1:22" ht="15" customHeight="1">
      <c r="A165" s="2"/>
      <c r="B165" s="2"/>
      <c r="C165" s="2"/>
      <c r="D165" s="4" t="str">
        <f>IF(C165="","",VLOOKUP(C165,Referentie!$A$2:$B$19,2,0))</f>
        <v/>
      </c>
      <c r="E165" s="7"/>
      <c r="F165" s="4"/>
      <c r="G165" s="4"/>
      <c r="H165" s="4"/>
      <c r="I165" s="4"/>
      <c r="J165" s="4"/>
      <c r="K165" s="4"/>
      <c r="L165" s="4"/>
      <c r="M165" s="4"/>
      <c r="N165" s="4" t="str">
        <f>IF(M165="","",VLOOKUP(M165,Referentie!$G$2:$I$26,2,0))</f>
        <v/>
      </c>
      <c r="O165" s="4" t="str">
        <f>IF(M165="","",VLOOKUP(M165,Referentie!$G$2:$I$26,3,0))</f>
        <v/>
      </c>
      <c r="P165" s="4" t="str">
        <f t="shared" si="31"/>
        <v/>
      </c>
      <c r="Q165" s="4" t="str">
        <f t="shared" si="32"/>
        <v/>
      </c>
      <c r="R165" s="4" t="str">
        <f t="shared" si="33"/>
        <v/>
      </c>
      <c r="S165" s="4" t="str">
        <f t="shared" si="34"/>
        <v/>
      </c>
      <c r="T165" s="4" t="str">
        <f t="shared" si="24"/>
        <v/>
      </c>
      <c r="U165" s="4" t="str">
        <f t="shared" si="35"/>
        <v/>
      </c>
      <c r="V165" s="4" t="str">
        <f t="shared" si="25"/>
        <v/>
      </c>
    </row>
    <row r="166" spans="1:22" ht="15" customHeight="1">
      <c r="A166" s="2"/>
      <c r="B166" s="2"/>
      <c r="C166" s="2"/>
      <c r="D166" s="4" t="str">
        <f>IF(C166="","",VLOOKUP(C166,Referentie!$A$2:$B$19,2,0))</f>
        <v/>
      </c>
      <c r="E166" s="7"/>
      <c r="F166" s="4"/>
      <c r="G166" s="4"/>
      <c r="H166" s="4"/>
      <c r="I166" s="4"/>
      <c r="J166" s="4"/>
      <c r="K166" s="4"/>
      <c r="L166" s="4"/>
      <c r="M166" s="4"/>
      <c r="N166" s="4" t="str">
        <f>IF(M166="","",VLOOKUP(M166,Referentie!$G$2:$I$26,2,0))</f>
        <v/>
      </c>
      <c r="O166" s="4" t="str">
        <f>IF(M166="","",VLOOKUP(M166,Referentie!$G$2:$I$26,3,0))</f>
        <v/>
      </c>
      <c r="P166" s="4" t="str">
        <f t="shared" si="31"/>
        <v/>
      </c>
      <c r="Q166" s="4" t="str">
        <f t="shared" si="32"/>
        <v/>
      </c>
      <c r="R166" s="4" t="str">
        <f t="shared" si="33"/>
        <v/>
      </c>
      <c r="S166" s="4" t="str">
        <f t="shared" si="34"/>
        <v/>
      </c>
      <c r="T166" s="4" t="str">
        <f t="shared" si="24"/>
        <v/>
      </c>
      <c r="U166" s="4" t="str">
        <f t="shared" si="35"/>
        <v/>
      </c>
      <c r="V166" s="4" t="str">
        <f t="shared" si="25"/>
        <v/>
      </c>
    </row>
    <row r="167" spans="1:22" ht="15" customHeight="1">
      <c r="A167" s="2"/>
      <c r="B167" s="2"/>
      <c r="C167" s="2"/>
      <c r="D167" s="4" t="str">
        <f>IF(C167="","",VLOOKUP(C167,Referentie!$A$2:$B$19,2,0))</f>
        <v/>
      </c>
      <c r="E167" s="7"/>
      <c r="F167" s="4"/>
      <c r="G167" s="4"/>
      <c r="H167" s="4"/>
      <c r="I167" s="4"/>
      <c r="J167" s="4"/>
      <c r="K167" s="4"/>
      <c r="L167" s="4"/>
      <c r="M167" s="4"/>
      <c r="N167" s="4" t="str">
        <f>IF(M167="","",VLOOKUP(M167,Referentie!$G$2:$I$26,2,0))</f>
        <v/>
      </c>
      <c r="O167" s="4" t="str">
        <f>IF(M167="","",VLOOKUP(M167,Referentie!$G$2:$I$26,3,0))</f>
        <v/>
      </c>
      <c r="P167" s="4" t="str">
        <f t="shared" si="31"/>
        <v/>
      </c>
      <c r="Q167" s="4" t="str">
        <f t="shared" si="32"/>
        <v/>
      </c>
      <c r="R167" s="4" t="str">
        <f t="shared" si="33"/>
        <v/>
      </c>
      <c r="S167" s="4" t="str">
        <f t="shared" si="34"/>
        <v/>
      </c>
      <c r="T167" s="4" t="str">
        <f t="shared" si="24"/>
        <v/>
      </c>
      <c r="U167" s="4" t="str">
        <f t="shared" si="35"/>
        <v/>
      </c>
      <c r="V167" s="4" t="str">
        <f t="shared" si="25"/>
        <v/>
      </c>
    </row>
    <row r="168" spans="1:22" ht="15" customHeight="1">
      <c r="A168" s="2"/>
      <c r="B168" s="2"/>
      <c r="C168" s="2"/>
      <c r="D168" s="4" t="str">
        <f>IF(C168="","",VLOOKUP(C168,Referentie!$A$2:$B$19,2,0))</f>
        <v/>
      </c>
      <c r="E168" s="7"/>
      <c r="F168" s="4"/>
      <c r="G168" s="4"/>
      <c r="H168" s="4"/>
      <c r="I168" s="4"/>
      <c r="J168" s="4"/>
      <c r="K168" s="4"/>
      <c r="L168" s="4"/>
      <c r="M168" s="4"/>
      <c r="N168" s="4" t="str">
        <f>IF(M168="","",VLOOKUP(M168,Referentie!$G$2:$I$26,2,0))</f>
        <v/>
      </c>
      <c r="O168" s="4" t="str">
        <f>IF(M168="","",VLOOKUP(M168,Referentie!$G$2:$I$26,3,0))</f>
        <v/>
      </c>
      <c r="P168" s="4" t="str">
        <f t="shared" si="31"/>
        <v/>
      </c>
      <c r="Q168" s="4" t="str">
        <f t="shared" si="32"/>
        <v/>
      </c>
      <c r="R168" s="4" t="str">
        <f t="shared" si="33"/>
        <v/>
      </c>
      <c r="S168" s="4" t="str">
        <f t="shared" si="34"/>
        <v/>
      </c>
      <c r="T168" s="4" t="str">
        <f t="shared" si="24"/>
        <v/>
      </c>
      <c r="U168" s="4" t="str">
        <f t="shared" si="35"/>
        <v/>
      </c>
      <c r="V168" s="4" t="str">
        <f t="shared" si="25"/>
        <v/>
      </c>
    </row>
    <row r="169" spans="1:22" ht="15" customHeight="1">
      <c r="A169" s="2"/>
      <c r="B169" s="2"/>
      <c r="C169" s="2"/>
      <c r="D169" s="4" t="str">
        <f>IF(C169="","",VLOOKUP(C169,Referentie!$A$2:$B$19,2,0))</f>
        <v/>
      </c>
      <c r="E169" s="7"/>
      <c r="F169" s="4"/>
      <c r="G169" s="4"/>
      <c r="H169" s="4"/>
      <c r="I169" s="4"/>
      <c r="J169" s="4"/>
      <c r="K169" s="4"/>
      <c r="L169" s="4"/>
      <c r="M169" s="4"/>
      <c r="N169" s="4" t="str">
        <f>IF(M169="","",VLOOKUP(M169,Referentie!$G$2:$I$26,2,0))</f>
        <v/>
      </c>
      <c r="O169" s="4" t="str">
        <f>IF(M169="","",VLOOKUP(M169,Referentie!$G$2:$I$26,3,0))</f>
        <v/>
      </c>
      <c r="P169" s="4" t="str">
        <f t="shared" si="31"/>
        <v/>
      </c>
      <c r="Q169" s="4" t="str">
        <f t="shared" si="32"/>
        <v/>
      </c>
      <c r="R169" s="4" t="str">
        <f t="shared" si="33"/>
        <v/>
      </c>
      <c r="S169" s="4" t="str">
        <f t="shared" si="34"/>
        <v/>
      </c>
      <c r="T169" s="4" t="str">
        <f t="shared" si="24"/>
        <v/>
      </c>
      <c r="U169" s="4" t="str">
        <f t="shared" si="35"/>
        <v/>
      </c>
      <c r="V169" s="4" t="str">
        <f t="shared" si="25"/>
        <v/>
      </c>
    </row>
    <row r="170" spans="1:22" ht="15" customHeight="1">
      <c r="A170" s="2"/>
      <c r="B170" s="2"/>
      <c r="C170" s="2"/>
      <c r="D170" s="4" t="str">
        <f>IF(C170="","",VLOOKUP(C170,Referentie!$A$2:$B$19,2,0))</f>
        <v/>
      </c>
      <c r="E170" s="7"/>
      <c r="F170" s="4"/>
      <c r="G170" s="4"/>
      <c r="H170" s="4"/>
      <c r="I170" s="4"/>
      <c r="J170" s="4"/>
      <c r="K170" s="4"/>
      <c r="L170" s="4"/>
      <c r="M170" s="4"/>
      <c r="N170" s="4" t="str">
        <f>IF(M170="","",VLOOKUP(M170,Referentie!$G$2:$I$26,2,0))</f>
        <v/>
      </c>
      <c r="O170" s="4" t="str">
        <f>IF(M170="","",VLOOKUP(M170,Referentie!$G$2:$I$26,3,0))</f>
        <v/>
      </c>
      <c r="P170" s="4" t="str">
        <f t="shared" si="31"/>
        <v/>
      </c>
      <c r="Q170" s="4" t="str">
        <f t="shared" si="32"/>
        <v/>
      </c>
      <c r="R170" s="4" t="str">
        <f t="shared" si="33"/>
        <v/>
      </c>
      <c r="S170" s="4" t="str">
        <f t="shared" si="34"/>
        <v/>
      </c>
      <c r="T170" s="4" t="str">
        <f t="shared" si="24"/>
        <v/>
      </c>
      <c r="U170" s="4" t="str">
        <f t="shared" si="35"/>
        <v/>
      </c>
      <c r="V170" s="4" t="str">
        <f t="shared" si="25"/>
        <v/>
      </c>
    </row>
    <row r="171" spans="1:22" ht="15" customHeight="1">
      <c r="A171" s="2"/>
      <c r="B171" s="2"/>
      <c r="C171" s="2"/>
      <c r="D171" s="4" t="str">
        <f>IF(C171="","",VLOOKUP(C171,Referentie!$A$2:$B$19,2,0))</f>
        <v/>
      </c>
      <c r="E171" s="7"/>
      <c r="F171" s="4"/>
      <c r="G171" s="4"/>
      <c r="H171" s="4"/>
      <c r="I171" s="4"/>
      <c r="J171" s="4"/>
      <c r="K171" s="4"/>
      <c r="L171" s="4"/>
      <c r="M171" s="4"/>
      <c r="N171" s="4" t="str">
        <f>IF(M171="","",VLOOKUP(M171,Referentie!$G$2:$I$26,2,0))</f>
        <v/>
      </c>
      <c r="O171" s="4" t="str">
        <f>IF(M171="","",VLOOKUP(M171,Referentie!$G$2:$I$26,3,0))</f>
        <v/>
      </c>
      <c r="P171" s="4" t="str">
        <f t="shared" si="31"/>
        <v/>
      </c>
      <c r="Q171" s="4" t="str">
        <f t="shared" si="32"/>
        <v/>
      </c>
      <c r="R171" s="4" t="str">
        <f t="shared" si="33"/>
        <v/>
      </c>
      <c r="S171" s="4" t="str">
        <f t="shared" si="34"/>
        <v/>
      </c>
      <c r="T171" s="4" t="str">
        <f t="shared" si="24"/>
        <v/>
      </c>
      <c r="U171" s="4" t="str">
        <f t="shared" si="35"/>
        <v/>
      </c>
      <c r="V171" s="4" t="str">
        <f t="shared" si="25"/>
        <v/>
      </c>
    </row>
    <row r="172" spans="1:22" ht="15" customHeight="1">
      <c r="A172" s="2"/>
      <c r="B172" s="2"/>
      <c r="C172" s="2"/>
      <c r="D172" s="4" t="str">
        <f>IF(C172="","",VLOOKUP(C172,Referentie!$A$2:$B$19,2,0))</f>
        <v/>
      </c>
      <c r="E172" s="7"/>
      <c r="F172" s="4"/>
      <c r="G172" s="4"/>
      <c r="H172" s="4"/>
      <c r="I172" s="4"/>
      <c r="J172" s="4"/>
      <c r="K172" s="4"/>
      <c r="L172" s="4"/>
      <c r="M172" s="4"/>
      <c r="N172" s="4" t="str">
        <f>IF(M172="","",VLOOKUP(M172,Referentie!$G$2:$I$26,2,0))</f>
        <v/>
      </c>
      <c r="O172" s="4" t="str">
        <f>IF(M172="","",VLOOKUP(M172,Referentie!$G$2:$I$26,3,0))</f>
        <v/>
      </c>
      <c r="P172" s="4" t="str">
        <f t="shared" si="31"/>
        <v/>
      </c>
      <c r="Q172" s="4" t="str">
        <f t="shared" si="32"/>
        <v/>
      </c>
      <c r="R172" s="4" t="str">
        <f t="shared" si="33"/>
        <v/>
      </c>
      <c r="S172" s="4" t="str">
        <f t="shared" si="34"/>
        <v/>
      </c>
      <c r="T172" s="4" t="str">
        <f t="shared" si="24"/>
        <v/>
      </c>
      <c r="U172" s="4" t="str">
        <f t="shared" si="35"/>
        <v/>
      </c>
      <c r="V172" s="4" t="str">
        <f t="shared" si="25"/>
        <v/>
      </c>
    </row>
    <row r="173" spans="1:22" ht="15" customHeight="1">
      <c r="A173" s="2"/>
      <c r="B173" s="2"/>
      <c r="C173" s="2"/>
      <c r="D173" s="4" t="str">
        <f>IF(C173="","",VLOOKUP(C173,Referentie!$A$2:$B$19,2,0))</f>
        <v/>
      </c>
      <c r="E173" s="7"/>
      <c r="F173" s="4"/>
      <c r="G173" s="4"/>
      <c r="H173" s="4"/>
      <c r="I173" s="4"/>
      <c r="J173" s="4"/>
      <c r="K173" s="4"/>
      <c r="L173" s="4"/>
      <c r="M173" s="4"/>
      <c r="N173" s="4" t="str">
        <f>IF(M173="","",VLOOKUP(M173,Referentie!$G$2:$I$26,2,0))</f>
        <v/>
      </c>
      <c r="O173" s="4" t="str">
        <f>IF(M173="","",VLOOKUP(M173,Referentie!$G$2:$I$26,3,0))</f>
        <v/>
      </c>
      <c r="P173" s="4" t="str">
        <f t="shared" si="31"/>
        <v/>
      </c>
      <c r="Q173" s="4" t="str">
        <f t="shared" si="32"/>
        <v/>
      </c>
      <c r="R173" s="4" t="str">
        <f t="shared" si="33"/>
        <v/>
      </c>
      <c r="S173" s="4" t="str">
        <f t="shared" si="34"/>
        <v/>
      </c>
      <c r="T173" s="4" t="str">
        <f t="shared" si="24"/>
        <v/>
      </c>
      <c r="U173" s="4" t="str">
        <f t="shared" si="35"/>
        <v/>
      </c>
      <c r="V173" s="4" t="str">
        <f t="shared" si="25"/>
        <v/>
      </c>
    </row>
    <row r="174" spans="1:22" ht="15" customHeight="1">
      <c r="A174" s="2"/>
      <c r="B174" s="2"/>
      <c r="C174" s="2"/>
      <c r="D174" s="4" t="str">
        <f>IF(C174="","",VLOOKUP(C174,Referentie!$A$2:$B$19,2,0))</f>
        <v/>
      </c>
      <c r="E174" s="7"/>
      <c r="F174" s="4"/>
      <c r="G174" s="4"/>
      <c r="H174" s="4"/>
      <c r="I174" s="4"/>
      <c r="J174" s="4"/>
      <c r="K174" s="4"/>
      <c r="L174" s="4"/>
      <c r="M174" s="4"/>
      <c r="N174" s="4" t="str">
        <f>IF(M174="","",VLOOKUP(M174,Referentie!$G$2:$I$26,2,0))</f>
        <v/>
      </c>
      <c r="O174" s="4" t="str">
        <f>IF(M174="","",VLOOKUP(M174,Referentie!$G$2:$I$26,3,0))</f>
        <v/>
      </c>
      <c r="P174" s="4" t="str">
        <f t="shared" si="31"/>
        <v/>
      </c>
      <c r="Q174" s="4" t="str">
        <f t="shared" si="32"/>
        <v/>
      </c>
      <c r="R174" s="4" t="str">
        <f t="shared" si="33"/>
        <v/>
      </c>
      <c r="S174" s="4" t="str">
        <f t="shared" si="34"/>
        <v/>
      </c>
      <c r="T174" s="4" t="str">
        <f t="shared" si="24"/>
        <v/>
      </c>
      <c r="U174" s="4" t="str">
        <f t="shared" si="35"/>
        <v/>
      </c>
      <c r="V174" s="4" t="str">
        <f t="shared" si="25"/>
        <v/>
      </c>
    </row>
    <row r="175" spans="1:22" ht="15" customHeight="1">
      <c r="A175" s="2"/>
      <c r="B175" s="2"/>
      <c r="C175" s="2"/>
      <c r="D175" s="4" t="str">
        <f>IF(C175="","",VLOOKUP(C175,Referentie!$A$2:$B$19,2,0))</f>
        <v/>
      </c>
      <c r="E175" s="7"/>
      <c r="F175" s="4"/>
      <c r="G175" s="4"/>
      <c r="H175" s="4"/>
      <c r="I175" s="4"/>
      <c r="J175" s="4"/>
      <c r="K175" s="4"/>
      <c r="L175" s="4"/>
      <c r="M175" s="4"/>
      <c r="N175" s="4" t="str">
        <f>IF(M175="","",VLOOKUP(M175,Referentie!$G$2:$I$26,2,0))</f>
        <v/>
      </c>
      <c r="O175" s="4" t="str">
        <f>IF(M175="","",VLOOKUP(M175,Referentie!$G$2:$I$26,3,0))</f>
        <v/>
      </c>
      <c r="P175" s="4" t="str">
        <f t="shared" si="31"/>
        <v/>
      </c>
      <c r="Q175" s="4" t="str">
        <f t="shared" si="32"/>
        <v/>
      </c>
      <c r="R175" s="4" t="str">
        <f t="shared" si="33"/>
        <v/>
      </c>
      <c r="S175" s="4" t="str">
        <f t="shared" si="34"/>
        <v/>
      </c>
      <c r="T175" s="4" t="str">
        <f t="shared" si="24"/>
        <v/>
      </c>
      <c r="U175" s="4" t="str">
        <f t="shared" si="35"/>
        <v/>
      </c>
      <c r="V175" s="4" t="str">
        <f t="shared" si="25"/>
        <v/>
      </c>
    </row>
    <row r="176" spans="1:22" ht="15" customHeight="1">
      <c r="A176" s="2"/>
      <c r="B176" s="2"/>
      <c r="C176" s="2"/>
      <c r="D176" s="4" t="str">
        <f>IF(C176="","",VLOOKUP(C176,Referentie!$A$2:$B$19,2,0))</f>
        <v/>
      </c>
      <c r="E176" s="7"/>
      <c r="F176" s="4"/>
      <c r="G176" s="4"/>
      <c r="H176" s="4"/>
      <c r="I176" s="4"/>
      <c r="J176" s="4"/>
      <c r="K176" s="4"/>
      <c r="L176" s="4"/>
      <c r="M176" s="4"/>
      <c r="N176" s="4" t="str">
        <f>IF(M176="","",VLOOKUP(M176,Referentie!$G$2:$I$26,2,0))</f>
        <v/>
      </c>
      <c r="O176" s="4" t="str">
        <f>IF(M176="","",VLOOKUP(M176,Referentie!$G$2:$I$26,3,0))</f>
        <v/>
      </c>
      <c r="P176" s="4" t="str">
        <f t="shared" si="31"/>
        <v/>
      </c>
      <c r="Q176" s="4" t="str">
        <f t="shared" si="32"/>
        <v/>
      </c>
      <c r="R176" s="4" t="str">
        <f t="shared" si="33"/>
        <v/>
      </c>
      <c r="S176" s="4" t="str">
        <f t="shared" si="34"/>
        <v/>
      </c>
      <c r="T176" s="4" t="str">
        <f t="shared" si="24"/>
        <v/>
      </c>
      <c r="U176" s="4" t="str">
        <f t="shared" si="35"/>
        <v/>
      </c>
      <c r="V176" s="4" t="str">
        <f t="shared" si="25"/>
        <v/>
      </c>
    </row>
    <row r="177" spans="1:22" ht="15" customHeight="1">
      <c r="A177" s="2"/>
      <c r="B177" s="2"/>
      <c r="C177" s="2"/>
      <c r="D177" s="4" t="str">
        <f>IF(C177="","",VLOOKUP(C177,Referentie!$A$2:$B$19,2,0))</f>
        <v/>
      </c>
      <c r="E177" s="7"/>
      <c r="F177" s="4"/>
      <c r="G177" s="4"/>
      <c r="H177" s="4"/>
      <c r="I177" s="4"/>
      <c r="J177" s="4"/>
      <c r="K177" s="4"/>
      <c r="L177" s="4"/>
      <c r="M177" s="4"/>
      <c r="N177" s="4" t="str">
        <f>IF(M177="","",VLOOKUP(M177,Referentie!$G$2:$I$26,2,0))</f>
        <v/>
      </c>
      <c r="O177" s="4" t="str">
        <f>IF(M177="","",VLOOKUP(M177,Referentie!$G$2:$I$26,3,0))</f>
        <v/>
      </c>
      <c r="P177" s="4" t="str">
        <f t="shared" si="31"/>
        <v/>
      </c>
      <c r="Q177" s="4" t="str">
        <f t="shared" si="32"/>
        <v/>
      </c>
      <c r="R177" s="4" t="str">
        <f t="shared" si="33"/>
        <v/>
      </c>
      <c r="S177" s="4" t="str">
        <f t="shared" si="34"/>
        <v/>
      </c>
      <c r="T177" s="4" t="str">
        <f t="shared" si="24"/>
        <v/>
      </c>
      <c r="U177" s="4" t="str">
        <f t="shared" si="35"/>
        <v/>
      </c>
      <c r="V177" s="4" t="str">
        <f t="shared" si="25"/>
        <v/>
      </c>
    </row>
    <row r="178" spans="1:22" ht="15" customHeight="1">
      <c r="A178" s="2"/>
      <c r="B178" s="2"/>
      <c r="C178" s="2"/>
      <c r="D178" s="4" t="str">
        <f>IF(C178="","",VLOOKUP(C178,Referentie!$A$2:$B$19,2,0))</f>
        <v/>
      </c>
      <c r="E178" s="7"/>
      <c r="F178" s="4"/>
      <c r="G178" s="4"/>
      <c r="H178" s="4"/>
      <c r="I178" s="4"/>
      <c r="J178" s="4"/>
      <c r="K178" s="4"/>
      <c r="L178" s="4"/>
      <c r="M178" s="4"/>
      <c r="N178" s="4" t="str">
        <f>IF(M178="","",VLOOKUP(M178,Referentie!$G$2:$I$26,2,0))</f>
        <v/>
      </c>
      <c r="O178" s="4" t="str">
        <f>IF(M178="","",VLOOKUP(M178,Referentie!$G$2:$I$26,3,0))</f>
        <v/>
      </c>
      <c r="P178" s="4" t="str">
        <f t="shared" si="31"/>
        <v/>
      </c>
      <c r="Q178" s="4" t="str">
        <f t="shared" si="32"/>
        <v/>
      </c>
      <c r="R178" s="4" t="str">
        <f t="shared" si="33"/>
        <v/>
      </c>
      <c r="S178" s="4" t="str">
        <f t="shared" si="34"/>
        <v/>
      </c>
      <c r="T178" s="4" t="str">
        <f t="shared" si="24"/>
        <v/>
      </c>
      <c r="U178" s="4" t="str">
        <f t="shared" si="35"/>
        <v/>
      </c>
      <c r="V178" s="4" t="str">
        <f t="shared" si="25"/>
        <v/>
      </c>
    </row>
    <row r="179" spans="1:22" ht="15" customHeight="1">
      <c r="A179" s="2"/>
      <c r="B179" s="2"/>
      <c r="C179" s="2"/>
      <c r="D179" s="4" t="str">
        <f>IF(C179="","",VLOOKUP(C179,Referentie!$A$2:$B$19,2,0))</f>
        <v/>
      </c>
      <c r="E179" s="7"/>
      <c r="F179" s="4"/>
      <c r="G179" s="4"/>
      <c r="H179" s="4"/>
      <c r="I179" s="4"/>
      <c r="J179" s="4"/>
      <c r="K179" s="4"/>
      <c r="L179" s="4"/>
      <c r="M179" s="4"/>
      <c r="N179" s="4" t="str">
        <f>IF(M179="","",VLOOKUP(M179,Referentie!$G$2:$I$26,2,0))</f>
        <v/>
      </c>
      <c r="O179" s="4" t="str">
        <f>IF(M179="","",VLOOKUP(M179,Referentie!$G$2:$I$26,3,0))</f>
        <v/>
      </c>
      <c r="P179" s="4" t="str">
        <f t="shared" si="31"/>
        <v/>
      </c>
      <c r="Q179" s="4" t="str">
        <f t="shared" si="32"/>
        <v/>
      </c>
      <c r="R179" s="4" t="str">
        <f t="shared" si="33"/>
        <v/>
      </c>
      <c r="S179" s="4" t="str">
        <f t="shared" si="34"/>
        <v/>
      </c>
      <c r="T179" s="4" t="str">
        <f t="shared" si="24"/>
        <v/>
      </c>
      <c r="U179" s="4" t="str">
        <f t="shared" si="35"/>
        <v/>
      </c>
      <c r="V179" s="4" t="str">
        <f t="shared" si="25"/>
        <v/>
      </c>
    </row>
    <row r="180" spans="1:22" ht="15" customHeight="1">
      <c r="A180" s="2"/>
      <c r="B180" s="2"/>
      <c r="C180" s="2"/>
      <c r="D180" s="4" t="str">
        <f>IF(C180="","",VLOOKUP(C180,Referentie!$A$2:$B$19,2,0))</f>
        <v/>
      </c>
      <c r="E180" s="7"/>
      <c r="F180" s="4"/>
      <c r="G180" s="4"/>
      <c r="H180" s="4"/>
      <c r="I180" s="4"/>
      <c r="J180" s="4"/>
      <c r="K180" s="4"/>
      <c r="L180" s="4"/>
      <c r="M180" s="4"/>
      <c r="N180" s="4" t="str">
        <f>IF(M180="","",VLOOKUP(M180,Referentie!$G$2:$I$26,2,0))</f>
        <v/>
      </c>
      <c r="O180" s="4" t="str">
        <f>IF(M180="","",VLOOKUP(M180,Referentie!$G$2:$I$26,3,0))</f>
        <v/>
      </c>
      <c r="P180" s="4" t="str">
        <f t="shared" si="31"/>
        <v/>
      </c>
      <c r="Q180" s="4" t="str">
        <f t="shared" si="32"/>
        <v/>
      </c>
      <c r="R180" s="4" t="str">
        <f t="shared" si="33"/>
        <v/>
      </c>
      <c r="S180" s="4" t="str">
        <f t="shared" si="34"/>
        <v/>
      </c>
      <c r="T180" s="4" t="str">
        <f t="shared" si="24"/>
        <v/>
      </c>
      <c r="U180" s="4" t="str">
        <f t="shared" si="35"/>
        <v/>
      </c>
      <c r="V180" s="4" t="str">
        <f t="shared" si="25"/>
        <v/>
      </c>
    </row>
    <row r="181" spans="1:22" ht="15" customHeight="1">
      <c r="A181" s="2"/>
      <c r="B181" s="2"/>
      <c r="C181" s="2"/>
      <c r="D181" s="4" t="str">
        <f>IF(C181="","",VLOOKUP(C181,Referentie!$A$2:$B$19,2,0))</f>
        <v/>
      </c>
      <c r="E181" s="7"/>
      <c r="F181" s="4"/>
      <c r="G181" s="4"/>
      <c r="H181" s="4"/>
      <c r="I181" s="4"/>
      <c r="J181" s="4"/>
      <c r="K181" s="4"/>
      <c r="L181" s="4"/>
      <c r="M181" s="4"/>
      <c r="N181" s="4" t="str">
        <f>IF(M181="","",VLOOKUP(M181,Referentie!$G$2:$I$26,2,0))</f>
        <v/>
      </c>
      <c r="O181" s="4" t="str">
        <f>IF(M181="","",VLOOKUP(M181,Referentie!$G$2:$I$26,3,0))</f>
        <v/>
      </c>
      <c r="P181" s="4" t="str">
        <f t="shared" si="31"/>
        <v/>
      </c>
      <c r="Q181" s="4" t="str">
        <f t="shared" si="32"/>
        <v/>
      </c>
      <c r="R181" s="4" t="str">
        <f t="shared" si="33"/>
        <v/>
      </c>
      <c r="S181" s="4" t="str">
        <f t="shared" si="34"/>
        <v/>
      </c>
      <c r="T181" s="4" t="str">
        <f t="shared" si="24"/>
        <v/>
      </c>
      <c r="U181" s="4" t="str">
        <f t="shared" si="35"/>
        <v/>
      </c>
      <c r="V181" s="4" t="str">
        <f t="shared" si="25"/>
        <v/>
      </c>
    </row>
    <row r="182" spans="1:22" ht="15" customHeight="1">
      <c r="A182" s="2"/>
      <c r="B182" s="2"/>
      <c r="C182" s="2"/>
      <c r="D182" s="4" t="str">
        <f>IF(C182="","",VLOOKUP(C182,Referentie!$A$2:$B$19,2,0))</f>
        <v/>
      </c>
      <c r="E182" s="7"/>
      <c r="F182" s="4"/>
      <c r="G182" s="4"/>
      <c r="H182" s="4"/>
      <c r="I182" s="4"/>
      <c r="J182" s="4"/>
      <c r="K182" s="4"/>
      <c r="L182" s="4"/>
      <c r="M182" s="4"/>
      <c r="N182" s="4" t="str">
        <f>IF(M182="","",VLOOKUP(M182,Referentie!$G$2:$I$26,2,0))</f>
        <v/>
      </c>
      <c r="O182" s="4" t="str">
        <f>IF(M182="","",VLOOKUP(M182,Referentie!$G$2:$I$26,3,0))</f>
        <v/>
      </c>
      <c r="P182" s="4" t="str">
        <f t="shared" si="31"/>
        <v/>
      </c>
      <c r="Q182" s="4" t="str">
        <f t="shared" si="32"/>
        <v/>
      </c>
      <c r="R182" s="4" t="str">
        <f t="shared" si="33"/>
        <v/>
      </c>
      <c r="S182" s="4" t="str">
        <f t="shared" si="34"/>
        <v/>
      </c>
      <c r="T182" s="4" t="str">
        <f t="shared" si="24"/>
        <v/>
      </c>
      <c r="U182" s="4" t="str">
        <f t="shared" si="35"/>
        <v/>
      </c>
      <c r="V182" s="4" t="str">
        <f t="shared" si="25"/>
        <v/>
      </c>
    </row>
    <row r="183" spans="1:22" ht="15" customHeight="1">
      <c r="A183" s="2"/>
      <c r="B183" s="2"/>
      <c r="C183" s="2"/>
      <c r="D183" s="4" t="str">
        <f>IF(C183="","",VLOOKUP(C183,Referentie!$A$2:$B$19,2,0))</f>
        <v/>
      </c>
      <c r="E183" s="7"/>
      <c r="F183" s="4"/>
      <c r="G183" s="4"/>
      <c r="H183" s="4"/>
      <c r="I183" s="4"/>
      <c r="J183" s="4"/>
      <c r="K183" s="4"/>
      <c r="L183" s="4"/>
      <c r="M183" s="4"/>
      <c r="N183" s="4" t="str">
        <f>IF(M183="","",VLOOKUP(M183,Referentie!$G$2:$I$26,2,0))</f>
        <v/>
      </c>
      <c r="O183" s="4" t="str">
        <f>IF(M183="","",VLOOKUP(M183,Referentie!$G$2:$I$26,3,0))</f>
        <v/>
      </c>
      <c r="P183" s="4" t="str">
        <f t="shared" si="31"/>
        <v/>
      </c>
      <c r="Q183" s="4" t="str">
        <f t="shared" si="32"/>
        <v/>
      </c>
      <c r="R183" s="4" t="str">
        <f t="shared" si="33"/>
        <v/>
      </c>
      <c r="S183" s="4" t="str">
        <f t="shared" si="34"/>
        <v/>
      </c>
      <c r="T183" s="4" t="str">
        <f t="shared" si="24"/>
        <v/>
      </c>
      <c r="U183" s="4" t="str">
        <f t="shared" si="35"/>
        <v/>
      </c>
      <c r="V183" s="4" t="str">
        <f t="shared" si="25"/>
        <v/>
      </c>
    </row>
    <row r="184" spans="1:22" ht="15" customHeight="1">
      <c r="A184" s="2"/>
      <c r="B184" s="2"/>
      <c r="C184" s="2"/>
      <c r="D184" s="4" t="str">
        <f>IF(C184="","",VLOOKUP(C184,Referentie!$A$2:$B$19,2,0))</f>
        <v/>
      </c>
      <c r="E184" s="7"/>
      <c r="F184" s="4"/>
      <c r="G184" s="4"/>
      <c r="H184" s="4"/>
      <c r="I184" s="4"/>
      <c r="J184" s="4"/>
      <c r="K184" s="4"/>
      <c r="L184" s="4"/>
      <c r="M184" s="4"/>
      <c r="N184" s="4" t="str">
        <f>IF(M184="","",VLOOKUP(M184,Referentie!$G$2:$I$26,2,0))</f>
        <v/>
      </c>
      <c r="O184" s="4" t="str">
        <f>IF(M184="","",VLOOKUP(M184,Referentie!$G$2:$I$26,3,0))</f>
        <v/>
      </c>
      <c r="P184" s="4" t="str">
        <f t="shared" si="31"/>
        <v/>
      </c>
      <c r="Q184" s="4" t="str">
        <f t="shared" si="32"/>
        <v/>
      </c>
      <c r="R184" s="4" t="str">
        <f t="shared" si="33"/>
        <v/>
      </c>
      <c r="S184" s="4" t="str">
        <f t="shared" si="34"/>
        <v/>
      </c>
      <c r="T184" s="4" t="str">
        <f t="shared" si="24"/>
        <v/>
      </c>
      <c r="U184" s="4" t="str">
        <f t="shared" si="35"/>
        <v/>
      </c>
      <c r="V184" s="4" t="str">
        <f t="shared" si="25"/>
        <v/>
      </c>
    </row>
    <row r="185" spans="1:22" ht="15" customHeight="1">
      <c r="A185" s="2"/>
      <c r="B185" s="2"/>
      <c r="C185" s="2"/>
      <c r="D185" s="4" t="str">
        <f>IF(C185="","",VLOOKUP(C185,Referentie!$A$2:$B$19,2,0))</f>
        <v/>
      </c>
      <c r="E185" s="7"/>
      <c r="F185" s="4"/>
      <c r="G185" s="4"/>
      <c r="H185" s="4"/>
      <c r="I185" s="4"/>
      <c r="J185" s="4"/>
      <c r="K185" s="4"/>
      <c r="L185" s="4"/>
      <c r="M185" s="4"/>
      <c r="N185" s="4" t="str">
        <f>IF(M185="","",VLOOKUP(M185,Referentie!$G$2:$I$26,2,0))</f>
        <v/>
      </c>
      <c r="O185" s="4" t="str">
        <f>IF(M185="","",VLOOKUP(M185,Referentie!$G$2:$I$26,3,0))</f>
        <v/>
      </c>
      <c r="P185" s="4" t="str">
        <f t="shared" si="31"/>
        <v/>
      </c>
      <c r="Q185" s="4" t="str">
        <f t="shared" si="32"/>
        <v/>
      </c>
      <c r="R185" s="4" t="str">
        <f t="shared" si="33"/>
        <v/>
      </c>
      <c r="S185" s="4" t="str">
        <f t="shared" si="34"/>
        <v/>
      </c>
      <c r="T185" s="4" t="str">
        <f t="shared" si="24"/>
        <v/>
      </c>
      <c r="U185" s="4" t="str">
        <f t="shared" si="35"/>
        <v/>
      </c>
      <c r="V185" s="4" t="str">
        <f t="shared" si="25"/>
        <v/>
      </c>
    </row>
    <row r="186" spans="1:22" ht="15" customHeight="1">
      <c r="A186" s="2"/>
      <c r="B186" s="2"/>
      <c r="C186" s="2"/>
      <c r="D186" s="4" t="str">
        <f>IF(C186="","",VLOOKUP(C186,Referentie!$A$2:$B$19,2,0))</f>
        <v/>
      </c>
      <c r="E186" s="7"/>
      <c r="F186" s="4"/>
      <c r="G186" s="4"/>
      <c r="H186" s="4"/>
      <c r="I186" s="4"/>
      <c r="J186" s="4"/>
      <c r="K186" s="4"/>
      <c r="L186" s="4"/>
      <c r="M186" s="4"/>
      <c r="N186" s="4" t="str">
        <f>IF(M186="","",VLOOKUP(M186,Referentie!$G$2:$I$26,2,0))</f>
        <v/>
      </c>
      <c r="O186" s="4" t="str">
        <f>IF(M186="","",VLOOKUP(M186,Referentie!$G$2:$I$26,3,0))</f>
        <v/>
      </c>
      <c r="P186" s="4" t="str">
        <f t="shared" si="31"/>
        <v/>
      </c>
      <c r="Q186" s="4" t="str">
        <f t="shared" si="32"/>
        <v/>
      </c>
      <c r="R186" s="4" t="str">
        <f t="shared" si="33"/>
        <v/>
      </c>
      <c r="S186" s="4" t="str">
        <f t="shared" si="34"/>
        <v/>
      </c>
      <c r="T186" s="4" t="str">
        <f t="shared" si="24"/>
        <v/>
      </c>
      <c r="U186" s="4" t="str">
        <f t="shared" si="35"/>
        <v/>
      </c>
      <c r="V186" s="4" t="str">
        <f t="shared" si="25"/>
        <v/>
      </c>
    </row>
    <row r="187" spans="1:22" ht="15" customHeight="1">
      <c r="A187" s="2"/>
      <c r="B187" s="2"/>
      <c r="C187" s="2"/>
      <c r="D187" s="4" t="str">
        <f>IF(C187="","",VLOOKUP(C187,Referentie!$A$2:$B$19,2,0))</f>
        <v/>
      </c>
      <c r="E187" s="7"/>
      <c r="F187" s="4"/>
      <c r="G187" s="4"/>
      <c r="H187" s="4"/>
      <c r="I187" s="4"/>
      <c r="J187" s="4"/>
      <c r="K187" s="4"/>
      <c r="L187" s="4"/>
      <c r="M187" s="4"/>
      <c r="N187" s="4" t="str">
        <f>IF(M187="","",VLOOKUP(M187,Referentie!$G$2:$I$26,2,0))</f>
        <v/>
      </c>
      <c r="O187" s="4" t="str">
        <f>IF(M187="","",VLOOKUP(M187,Referentie!$G$2:$I$26,3,0))</f>
        <v/>
      </c>
      <c r="P187" s="4" t="str">
        <f t="shared" si="31"/>
        <v/>
      </c>
      <c r="Q187" s="4" t="str">
        <f t="shared" si="32"/>
        <v/>
      </c>
      <c r="R187" s="4" t="str">
        <f t="shared" si="33"/>
        <v/>
      </c>
      <c r="S187" s="4" t="str">
        <f t="shared" si="34"/>
        <v/>
      </c>
      <c r="T187" s="4" t="str">
        <f t="shared" si="24"/>
        <v/>
      </c>
      <c r="U187" s="4" t="str">
        <f t="shared" si="35"/>
        <v/>
      </c>
      <c r="V187" s="4" t="str">
        <f t="shared" si="25"/>
        <v/>
      </c>
    </row>
    <row r="188" spans="1:22" ht="15" customHeight="1">
      <c r="A188" s="2"/>
      <c r="B188" s="2"/>
      <c r="C188" s="2"/>
      <c r="D188" s="4" t="str">
        <f>IF(C188="","",VLOOKUP(C188,Referentie!$A$2:$B$19,2,0))</f>
        <v/>
      </c>
      <c r="E188" s="7"/>
      <c r="F188" s="4"/>
      <c r="G188" s="4"/>
      <c r="H188" s="4"/>
      <c r="I188" s="4"/>
      <c r="J188" s="4"/>
      <c r="K188" s="4"/>
      <c r="L188" s="4"/>
      <c r="M188" s="4"/>
      <c r="N188" s="4" t="str">
        <f>IF(M188="","",VLOOKUP(M188,Referentie!$G$2:$I$26,2,0))</f>
        <v/>
      </c>
      <c r="O188" s="4" t="str">
        <f>IF(M188="","",VLOOKUP(M188,Referentie!$G$2:$I$26,3,0))</f>
        <v/>
      </c>
      <c r="P188" s="4" t="str">
        <f t="shared" si="31"/>
        <v/>
      </c>
      <c r="Q188" s="4" t="str">
        <f t="shared" si="32"/>
        <v/>
      </c>
      <c r="R188" s="4" t="str">
        <f t="shared" si="33"/>
        <v/>
      </c>
      <c r="S188" s="4" t="str">
        <f t="shared" si="34"/>
        <v/>
      </c>
      <c r="T188" s="4" t="str">
        <f t="shared" si="24"/>
        <v/>
      </c>
      <c r="U188" s="4" t="str">
        <f t="shared" si="35"/>
        <v/>
      </c>
      <c r="V188" s="4" t="str">
        <f t="shared" si="25"/>
        <v/>
      </c>
    </row>
    <row r="189" spans="1:22" ht="15" customHeight="1">
      <c r="A189" s="2"/>
      <c r="B189" s="2"/>
      <c r="C189" s="2"/>
      <c r="D189" s="4" t="str">
        <f>IF(C189="","",VLOOKUP(C189,Referentie!$A$2:$B$19,2,0))</f>
        <v/>
      </c>
      <c r="E189" s="7"/>
      <c r="F189" s="4"/>
      <c r="G189" s="4"/>
      <c r="H189" s="4"/>
      <c r="I189" s="4"/>
      <c r="J189" s="4"/>
      <c r="K189" s="4"/>
      <c r="L189" s="4"/>
      <c r="M189" s="4"/>
      <c r="N189" s="4" t="str">
        <f>IF(M189="","",VLOOKUP(M189,Referentie!$G$2:$I$26,2,0))</f>
        <v/>
      </c>
      <c r="O189" s="4" t="str">
        <f>IF(M189="","",VLOOKUP(M189,Referentie!$G$2:$I$26,3,0))</f>
        <v/>
      </c>
      <c r="P189" s="4" t="str">
        <f t="shared" si="31"/>
        <v/>
      </c>
      <c r="Q189" s="4" t="str">
        <f t="shared" si="32"/>
        <v/>
      </c>
      <c r="R189" s="4" t="str">
        <f t="shared" si="33"/>
        <v/>
      </c>
      <c r="S189" s="4" t="str">
        <f t="shared" si="34"/>
        <v/>
      </c>
      <c r="T189" s="4" t="str">
        <f t="shared" si="24"/>
        <v/>
      </c>
      <c r="U189" s="4" t="str">
        <f t="shared" si="35"/>
        <v/>
      </c>
      <c r="V189" s="4" t="str">
        <f t="shared" si="25"/>
        <v/>
      </c>
    </row>
    <row r="190" spans="1:22" ht="15" customHeight="1">
      <c r="A190" s="2"/>
      <c r="B190" s="2"/>
      <c r="C190" s="2"/>
      <c r="D190" s="4" t="str">
        <f>IF(C190="","",VLOOKUP(C190,Referentie!$A$2:$B$19,2,0))</f>
        <v/>
      </c>
      <c r="E190" s="7"/>
      <c r="F190" s="4"/>
      <c r="G190" s="4"/>
      <c r="H190" s="4"/>
      <c r="I190" s="4"/>
      <c r="J190" s="4"/>
      <c r="K190" s="4"/>
      <c r="L190" s="4"/>
      <c r="M190" s="4"/>
      <c r="N190" s="4" t="str">
        <f>IF(M190="","",VLOOKUP(M190,Referentie!$G$2:$I$26,2,0))</f>
        <v/>
      </c>
      <c r="O190" s="4" t="str">
        <f>IF(M190="","",VLOOKUP(M190,Referentie!$G$2:$I$26,3,0))</f>
        <v/>
      </c>
      <c r="P190" s="4" t="str">
        <f t="shared" si="31"/>
        <v/>
      </c>
      <c r="Q190" s="4" t="str">
        <f t="shared" si="32"/>
        <v/>
      </c>
      <c r="R190" s="4" t="str">
        <f t="shared" si="33"/>
        <v/>
      </c>
      <c r="S190" s="4" t="str">
        <f t="shared" si="34"/>
        <v/>
      </c>
      <c r="T190" s="4" t="str">
        <f t="shared" si="24"/>
        <v/>
      </c>
      <c r="U190" s="4" t="str">
        <f t="shared" si="35"/>
        <v/>
      </c>
      <c r="V190" s="4" t="str">
        <f t="shared" si="25"/>
        <v/>
      </c>
    </row>
    <row r="191" spans="1:22" ht="15" customHeight="1">
      <c r="A191" s="2"/>
      <c r="B191" s="2"/>
      <c r="C191" s="2"/>
      <c r="D191" s="4" t="str">
        <f>IF(C191="","",VLOOKUP(C191,Referentie!$A$2:$B$19,2,0))</f>
        <v/>
      </c>
      <c r="E191" s="7"/>
      <c r="F191" s="4"/>
      <c r="G191" s="4"/>
      <c r="H191" s="4"/>
      <c r="I191" s="4"/>
      <c r="J191" s="4"/>
      <c r="K191" s="4"/>
      <c r="L191" s="4"/>
      <c r="M191" s="4"/>
      <c r="N191" s="4" t="str">
        <f>IF(M191="","",VLOOKUP(M191,Referentie!$G$2:$I$26,2,0))</f>
        <v/>
      </c>
      <c r="O191" s="4" t="str">
        <f>IF(M191="","",VLOOKUP(M191,Referentie!$G$2:$I$26,3,0))</f>
        <v/>
      </c>
      <c r="P191" s="4" t="str">
        <f t="shared" si="31"/>
        <v/>
      </c>
      <c r="Q191" s="4" t="str">
        <f t="shared" si="32"/>
        <v/>
      </c>
      <c r="R191" s="4" t="str">
        <f t="shared" si="33"/>
        <v/>
      </c>
      <c r="S191" s="4" t="str">
        <f t="shared" si="34"/>
        <v/>
      </c>
      <c r="T191" s="4" t="str">
        <f t="shared" si="24"/>
        <v/>
      </c>
      <c r="U191" s="4" t="str">
        <f t="shared" si="35"/>
        <v/>
      </c>
      <c r="V191" s="4" t="str">
        <f t="shared" si="25"/>
        <v/>
      </c>
    </row>
    <row r="192" spans="1:22" ht="15" customHeight="1">
      <c r="A192" s="2"/>
      <c r="B192" s="2"/>
      <c r="C192" s="2"/>
      <c r="D192" s="4" t="str">
        <f>IF(C192="","",VLOOKUP(C192,Referentie!$A$2:$B$19,2,0))</f>
        <v/>
      </c>
      <c r="E192" s="7"/>
      <c r="F192" s="4"/>
      <c r="G192" s="4"/>
      <c r="H192" s="4"/>
      <c r="I192" s="4"/>
      <c r="J192" s="4"/>
      <c r="K192" s="4"/>
      <c r="L192" s="4"/>
      <c r="M192" s="4"/>
      <c r="N192" s="4" t="str">
        <f>IF(M192="","",VLOOKUP(M192,Referentie!$G$2:$I$26,2,0))</f>
        <v/>
      </c>
      <c r="O192" s="4" t="str">
        <f>IF(M192="","",VLOOKUP(M192,Referentie!$G$2:$I$26,3,0))</f>
        <v/>
      </c>
      <c r="P192" s="4" t="str">
        <f t="shared" si="31"/>
        <v/>
      </c>
      <c r="Q192" s="4" t="str">
        <f t="shared" si="32"/>
        <v/>
      </c>
      <c r="R192" s="4" t="str">
        <f t="shared" si="33"/>
        <v/>
      </c>
      <c r="S192" s="4" t="str">
        <f t="shared" si="34"/>
        <v/>
      </c>
      <c r="T192" s="4" t="str">
        <f t="shared" si="24"/>
        <v/>
      </c>
      <c r="U192" s="4" t="str">
        <f t="shared" si="35"/>
        <v/>
      </c>
      <c r="V192" s="4" t="str">
        <f t="shared" si="25"/>
        <v/>
      </c>
    </row>
    <row r="193" spans="1:22" ht="15" customHeight="1">
      <c r="A193" s="2"/>
      <c r="B193" s="2"/>
      <c r="C193" s="2"/>
      <c r="D193" s="4" t="str">
        <f>IF(C193="","",VLOOKUP(C193,Referentie!$A$2:$B$19,2,0))</f>
        <v/>
      </c>
      <c r="E193" s="7"/>
      <c r="F193" s="4"/>
      <c r="G193" s="4"/>
      <c r="H193" s="4"/>
      <c r="I193" s="4"/>
      <c r="J193" s="4"/>
      <c r="K193" s="4"/>
      <c r="L193" s="4"/>
      <c r="M193" s="4"/>
      <c r="N193" s="4" t="str">
        <f>IF(M193="","",VLOOKUP(M193,Referentie!$G$2:$I$26,2,0))</f>
        <v/>
      </c>
      <c r="O193" s="4" t="str">
        <f>IF(M193="","",VLOOKUP(M193,Referentie!$G$2:$I$26,3,0))</f>
        <v/>
      </c>
      <c r="P193" s="4" t="str">
        <f t="shared" si="31"/>
        <v/>
      </c>
      <c r="Q193" s="4" t="str">
        <f t="shared" si="32"/>
        <v/>
      </c>
      <c r="R193" s="4" t="str">
        <f t="shared" si="33"/>
        <v/>
      </c>
      <c r="S193" s="4" t="str">
        <f t="shared" si="34"/>
        <v/>
      </c>
      <c r="T193" s="4" t="str">
        <f t="shared" si="24"/>
        <v/>
      </c>
      <c r="U193" s="4" t="str">
        <f t="shared" si="35"/>
        <v/>
      </c>
      <c r="V193" s="4" t="str">
        <f t="shared" si="25"/>
        <v/>
      </c>
    </row>
    <row r="194" spans="1:22" ht="15" customHeight="1">
      <c r="A194" s="2"/>
      <c r="B194" s="2"/>
      <c r="C194" s="2"/>
      <c r="D194" s="4" t="str">
        <f>IF(C194="","",VLOOKUP(C194,Referentie!$A$2:$B$19,2,0))</f>
        <v/>
      </c>
      <c r="E194" s="7"/>
      <c r="F194" s="4"/>
      <c r="G194" s="4"/>
      <c r="H194" s="4"/>
      <c r="I194" s="4"/>
      <c r="J194" s="4"/>
      <c r="K194" s="4"/>
      <c r="L194" s="4"/>
      <c r="M194" s="4"/>
      <c r="N194" s="4" t="str">
        <f>IF(M194="","",VLOOKUP(M194,Referentie!$G$2:$I$26,2,0))</f>
        <v/>
      </c>
      <c r="O194" s="4" t="str">
        <f>IF(M194="","",VLOOKUP(M194,Referentie!$G$2:$I$26,3,0))</f>
        <v/>
      </c>
      <c r="P194" s="4" t="str">
        <f>IF(A194="","",  (IF(N194="Speed of Help",2,0)) + (IF(O194="Speed of Help",-2,0)) + (IF(N194="EXP Gains",1,0)) + (IF(O194="EXP Gains",-1,0)) +  (COUNTIF(H194:L194,"Helping Speed S")*1) + (COUNTIF(H194:L194,"Helping Speed M")*2) + (COUNTIF(H194:L194,"Berry Finding S")*2) + (COUNTIF(H194:L194,"Helping Bonus")*1) +  (IF(O194="Ingredient Finding",0,0)) + (IF(O194="Main Skill Chance",0,0))  )</f>
        <v/>
      </c>
      <c r="Q194" s="4" t="str">
        <f>IF(A194="","",  (IF(N194="Ingredient Finding",2,0)) + (IF(O194="Ingredient Finding",-2,0)) + (IF(N194="EXP Gains",1,0)) + (IF(O194="EXP Gains",-1,0)) +  (COUNTIF(H194:L194,"Ingredient Finder S")*1) + (COUNTIF(H194:L194,"Ingredient Finder M")*2) + (COUNTIF(H194:L194,"Inventory Up S")*0.5) + (COUNTIF(H194:L194,"Inventory Up M")*1) + (COUNTIF(H194:L194,"Inventory Up L")*1.5) +  (IF(E194=F194,1,0)) + (IF(F194=G194,1,0))  )</f>
        <v/>
      </c>
      <c r="R194" s="4" t="str">
        <f>IF(A194="","",  (IF(N194="Main Skill Chance",2,0)) + (IF(O194="Main Skill Chance",-2,0)) + (IF(N194="EXP Gains",1,0)) + (IF(O194="EXP Gains",-1,0)) +  (COUNTIF(H194:L194,"Skill Trigger S")*1) + (COUNTIF(H194:L194,"Skill Trigger M")*2) + (COUNTIF(H194:L194,"Skill Level Up S")*1) + (COUNTIF(H194:L194,"Skill Level Up M")*2) + (COUNTIF(H194:L194,"Energy Recovery Bonus")*1.5) + (COUNTIF(H194:L194,"Sleep EXP Bonus")*1) + (COUNTIF(H194:L194,"Research EXP Bonus")*1)  )</f>
        <v/>
      </c>
      <c r="S194" s="4" t="str">
        <f>IF(A194="","",  IF(AND(P194&lt;=1, Q194&lt;=1, R194&lt;=1), "Bench",  IF(AND(P194&gt;=Q194, P194&gt;=R194), "Berry",  IF(AND(Q194&gt;=P194, Q194&gt;=R194), "Ingredient",  "Skill")))  )</f>
        <v/>
      </c>
      <c r="T194" s="4" t="str">
        <f t="shared" ref="T194:T250" si="36">IF(A194="","", MAX(P194,Q194,R194) + IF(OR(N194="Speed of Help",N194="Ingredient Finding",N194="Main Skill Chance"),1,0) + IF(N194="Neutral",0, IF(O194="Neutral",0.5,0)) + IF(B194&gt;=10,0.5,0) )</f>
        <v/>
      </c>
      <c r="U194" s="4" t="str">
        <f>IF(A194="","", IF(T194&gt;=7, "⭐ Keep", IF(T194&gt;=5, "📈 Level Up", IF(T194&gt;=3, "🤔 Bench", "❌ Transfer")))  )</f>
        <v/>
      </c>
      <c r="V194" s="4" t="str">
        <f t="shared" ref="V194:V250" si="37">IF(A194="","", _xlfn.TEXTJOIN("; ",TRUE, IF(A194="Pikachu","Evolve naar Raichu = snelste berry helper!",""), IF(A194="Pichu","Evolve → Pikachu → Raichu (top berry)",""), IF(A194="Eevee","Sylveon (skill) of Jolteon (berry) = top evoluties",""), IF(A194="Igglybuff","Evolve → Wigglytuff = Energy for Everyone S (top skill!)",""), IF(A194="Squirtle","Kanto starter: 2x ingrediënten + Ingredient Magnet S",""), IF(A194="Charmander","Evolve → Charizard = snelle berry+ingredient verzamelaar",""), IF(A194="Bulbasaur","Kanto starter: 2x ingrediënten + Ingredient Magnet S",""), IF(A194="Growlithe","Evolve → Arcanine = sterke all-rounder",""), IF(A194="Mareep","Evolve → Ampharos = hoge frequentie + waardevolle ingrediënten",""), IF(A194="Spheal","Evolve → Walrein = key voor Snowdrop Tundra (berry+ingr)",""), IF(A194="Riolu","Evolve → Lucario = sterke fighter",""), IF(A194="Togepi","Let op: Togekiss Metronome is onbetrouwbaar",""), IF(A194="Totodile","Evolve → Feraligatr = top berry voor Cyan Beach",""), IF(A194="Magnemite","Evolve → Magnezone = sterke skill helper",""), IF(A194="Ivysaur","Evolve → Venusaur = 2x ingrediënten specialist",""), IF(OR(N194="Neutral",O194="Neutral"),"Neutrale nature = ok maar niet ideaal",""), IF(AND(N194="Speed of Help",OR(S194="Berry",S194="Ingredient")),"Perfecte nature voor "&amp;S194&amp;" team!",""), IF(AND(N194="Ingredient Finding",S194="Ingredient"),"Perfecte nature voor Ingredient team!",""), IF(AND(N194="Main Skill Chance",S194="Skill"),"Perfecte nature voor Skill team!",""), IF(AND(O194="Speed of Help",S194="Berry"),"Let op: Speed of Help NEGATIEF schaadt berry-prestatie",""), IF(AND(O194="Ingredient Finding",S194="Ingredient"),"Let op: Ingredient Finding NEGATIEF schaadt ingredient-prestatie","") ))</f>
        <v/>
      </c>
    </row>
    <row r="195" spans="1:22" ht="15" customHeight="1">
      <c r="A195" s="2"/>
      <c r="B195" s="2"/>
      <c r="C195" s="2"/>
      <c r="D195" s="4" t="str">
        <f>IF(C195="","",VLOOKUP(C195,Referentie!$A$2:$B$19,2,0))</f>
        <v/>
      </c>
      <c r="E195" s="7"/>
      <c r="F195" s="4"/>
      <c r="G195" s="4"/>
      <c r="H195" s="4"/>
      <c r="I195" s="4"/>
      <c r="J195" s="4"/>
      <c r="K195" s="4"/>
      <c r="L195" s="4"/>
      <c r="M195" s="4"/>
      <c r="N195" s="4" t="str">
        <f>IF(M195="","",VLOOKUP(M195,Referentie!$G$2:$I$26,2,0))</f>
        <v/>
      </c>
      <c r="O195" s="4" t="str">
        <f>IF(M195="","",VLOOKUP(M195,Referentie!$G$2:$I$26,3,0))</f>
        <v/>
      </c>
      <c r="P195" s="4" t="str">
        <f t="shared" ref="P195:P226" si="38">IF(A195="","", (IF(N195="Speed of Help",2,0)) + (IF(O195="Speed of Help",-2,0)) + (IF(N195="EXP Gains",1,0)) + (IF(O195="EXP Gains",-1,0)) + (COUNTIF(H195:L195,"Helping Speed S")*1) + (COUNTIF(H195:L195,"Helping Speed M")*2) + (COUNTIF(H195:L195,"Berry Finding S")*2) + (COUNTIF(H195:L195,"Helping Bonus")*1) + (IF(O195="Ingredient Finding",0,0)) + (IF(O195="Main Skill Chance",0,0)) )</f>
        <v/>
      </c>
      <c r="Q195" s="4" t="str">
        <f t="shared" ref="Q195:Q226" si="39">IF(A195="","", (IF(N195="Ingredient Finding",2,0)) + (IF(O195="Ingredient Finding",-2,0)) + (IF(N195="EXP Gains",1,0)) + (IF(O195="EXP Gains",-1,0)) + (COUNTIF(H195:L195,"Ingredient Finder S")*1) + (COUNTIF(H195:L195,"Ingredient Finder M")*2) + (COUNTIF(H195:L195,"Inventory Up S")*0.5) + (COUNTIF(H195:L195,"Inventory Up M")*1) + (COUNTIF(H195:L195,"Inventory Up L")*1.5) + (IF(E195=F195,1,0)) + (IF(F195=G195,1,0)) )</f>
        <v/>
      </c>
      <c r="R195" s="4" t="str">
        <f t="shared" ref="R195:R226" si="40">IF(A195="","", (IF(N195="Main Skill Chance",2,0)) + (IF(O195="Main Skill Chance",-2,0)) + (IF(N195="EXP Gains",1,0)) + (IF(O195="EXP Gains",-1,0)) + (COUNTIF(H195:L195,"Skill Trigger S")*1) + (COUNTIF(H195:L195,"Skill Trigger M")*2) + (COUNTIF(H195:L195,"Skill Level Up S")*1) + (COUNTIF(H195:L195,"Skill Level Up M")*2) + (COUNTIF(H195:L195,"Energy Recovery Bonus")*1.5) + (COUNTIF(H195:L195,"Sleep EXP Bonus")*1) + (COUNTIF(H195:L195,"Research EXP Bonus")*1) )</f>
        <v/>
      </c>
      <c r="S195" s="4" t="str">
        <f t="shared" ref="S195:S226" si="41">IF(A195="","", IF(AND(P195&lt;=1, Q195&lt;=1, R195&lt;=1), "Bench", IF(AND(P195&gt;=Q195, P195&gt;=R195), "Berry", IF(AND(Q195&gt;=P195, Q195&gt;=R195), "Ingredient", "Skill"))) )</f>
        <v/>
      </c>
      <c r="T195" s="4" t="str">
        <f t="shared" si="36"/>
        <v/>
      </c>
      <c r="U195" s="4" t="str">
        <f t="shared" ref="U195:U226" si="42">IF(A195="","", IF(T195&gt;=7, "⭐ Keep", IF(T195&gt;=5, "📈 Level Up", IF(T195&gt;=3, "🤔 Bench", "❌ Transfer"))) )</f>
        <v/>
      </c>
      <c r="V195" s="4" t="str">
        <f t="shared" si="37"/>
        <v/>
      </c>
    </row>
    <row r="196" spans="1:22" ht="15" customHeight="1">
      <c r="A196" s="2"/>
      <c r="B196" s="2"/>
      <c r="C196" s="2"/>
      <c r="D196" s="4" t="str">
        <f>IF(C196="","",VLOOKUP(C196,Referentie!$A$2:$B$19,2,0))</f>
        <v/>
      </c>
      <c r="E196" s="7"/>
      <c r="F196" s="4"/>
      <c r="G196" s="4"/>
      <c r="H196" s="4"/>
      <c r="I196" s="4"/>
      <c r="J196" s="4"/>
      <c r="K196" s="4"/>
      <c r="L196" s="4"/>
      <c r="M196" s="4"/>
      <c r="N196" s="4" t="str">
        <f>IF(M196="","",VLOOKUP(M196,Referentie!$G$2:$I$26,2,0))</f>
        <v/>
      </c>
      <c r="O196" s="4" t="str">
        <f>IF(M196="","",VLOOKUP(M196,Referentie!$G$2:$I$26,3,0))</f>
        <v/>
      </c>
      <c r="P196" s="4" t="str">
        <f t="shared" si="38"/>
        <v/>
      </c>
      <c r="Q196" s="4" t="str">
        <f t="shared" si="39"/>
        <v/>
      </c>
      <c r="R196" s="4" t="str">
        <f t="shared" si="40"/>
        <v/>
      </c>
      <c r="S196" s="4" t="str">
        <f t="shared" si="41"/>
        <v/>
      </c>
      <c r="T196" s="4" t="str">
        <f t="shared" si="36"/>
        <v/>
      </c>
      <c r="U196" s="4" t="str">
        <f t="shared" si="42"/>
        <v/>
      </c>
      <c r="V196" s="4" t="str">
        <f t="shared" si="37"/>
        <v/>
      </c>
    </row>
    <row r="197" spans="1:22" ht="15" customHeight="1">
      <c r="A197" s="2"/>
      <c r="B197" s="2"/>
      <c r="C197" s="2"/>
      <c r="D197" s="4" t="str">
        <f>IF(C197="","",VLOOKUP(C197,Referentie!$A$2:$B$19,2,0))</f>
        <v/>
      </c>
      <c r="E197" s="7"/>
      <c r="F197" s="4"/>
      <c r="G197" s="4"/>
      <c r="H197" s="4"/>
      <c r="I197" s="4"/>
      <c r="J197" s="4"/>
      <c r="K197" s="4"/>
      <c r="L197" s="4"/>
      <c r="M197" s="4"/>
      <c r="N197" s="4" t="str">
        <f>IF(M197="","",VLOOKUP(M197,Referentie!$G$2:$I$26,2,0))</f>
        <v/>
      </c>
      <c r="O197" s="4" t="str">
        <f>IF(M197="","",VLOOKUP(M197,Referentie!$G$2:$I$26,3,0))</f>
        <v/>
      </c>
      <c r="P197" s="4" t="str">
        <f t="shared" si="38"/>
        <v/>
      </c>
      <c r="Q197" s="4" t="str">
        <f t="shared" si="39"/>
        <v/>
      </c>
      <c r="R197" s="4" t="str">
        <f t="shared" si="40"/>
        <v/>
      </c>
      <c r="S197" s="4" t="str">
        <f t="shared" si="41"/>
        <v/>
      </c>
      <c r="T197" s="4" t="str">
        <f t="shared" si="36"/>
        <v/>
      </c>
      <c r="U197" s="4" t="str">
        <f t="shared" si="42"/>
        <v/>
      </c>
      <c r="V197" s="4" t="str">
        <f t="shared" si="37"/>
        <v/>
      </c>
    </row>
    <row r="198" spans="1:22" ht="15" customHeight="1">
      <c r="A198" s="2"/>
      <c r="B198" s="2"/>
      <c r="C198" s="2"/>
      <c r="D198" s="4" t="str">
        <f>IF(C198="","",VLOOKUP(C198,Referentie!$A$2:$B$19,2,0))</f>
        <v/>
      </c>
      <c r="E198" s="7"/>
      <c r="F198" s="4"/>
      <c r="G198" s="4"/>
      <c r="H198" s="4"/>
      <c r="I198" s="4"/>
      <c r="J198" s="4"/>
      <c r="K198" s="4"/>
      <c r="L198" s="4"/>
      <c r="M198" s="4"/>
      <c r="N198" s="4" t="str">
        <f>IF(M198="","",VLOOKUP(M198,Referentie!$G$2:$I$26,2,0))</f>
        <v/>
      </c>
      <c r="O198" s="4" t="str">
        <f>IF(M198="","",VLOOKUP(M198,Referentie!$G$2:$I$26,3,0))</f>
        <v/>
      </c>
      <c r="P198" s="4" t="str">
        <f t="shared" si="38"/>
        <v/>
      </c>
      <c r="Q198" s="4" t="str">
        <f t="shared" si="39"/>
        <v/>
      </c>
      <c r="R198" s="4" t="str">
        <f t="shared" si="40"/>
        <v/>
      </c>
      <c r="S198" s="4" t="str">
        <f t="shared" si="41"/>
        <v/>
      </c>
      <c r="T198" s="4" t="str">
        <f t="shared" si="36"/>
        <v/>
      </c>
      <c r="U198" s="4" t="str">
        <f t="shared" si="42"/>
        <v/>
      </c>
      <c r="V198" s="4" t="str">
        <f t="shared" si="37"/>
        <v/>
      </c>
    </row>
    <row r="199" spans="1:22" ht="15" customHeight="1">
      <c r="A199" s="2"/>
      <c r="B199" s="2"/>
      <c r="C199" s="2"/>
      <c r="D199" s="4" t="str">
        <f>IF(C199="","",VLOOKUP(C199,Referentie!$A$2:$B$19,2,0))</f>
        <v/>
      </c>
      <c r="E199" s="7"/>
      <c r="F199" s="4"/>
      <c r="G199" s="4"/>
      <c r="H199" s="4"/>
      <c r="I199" s="4"/>
      <c r="J199" s="4"/>
      <c r="K199" s="4"/>
      <c r="L199" s="4"/>
      <c r="M199" s="4"/>
      <c r="N199" s="4" t="str">
        <f>IF(M199="","",VLOOKUP(M199,Referentie!$G$2:$I$26,2,0))</f>
        <v/>
      </c>
      <c r="O199" s="4" t="str">
        <f>IF(M199="","",VLOOKUP(M199,Referentie!$G$2:$I$26,3,0))</f>
        <v/>
      </c>
      <c r="P199" s="4" t="str">
        <f t="shared" si="38"/>
        <v/>
      </c>
      <c r="Q199" s="4" t="str">
        <f t="shared" si="39"/>
        <v/>
      </c>
      <c r="R199" s="4" t="str">
        <f t="shared" si="40"/>
        <v/>
      </c>
      <c r="S199" s="4" t="str">
        <f t="shared" si="41"/>
        <v/>
      </c>
      <c r="T199" s="4" t="str">
        <f t="shared" si="36"/>
        <v/>
      </c>
      <c r="U199" s="4" t="str">
        <f t="shared" si="42"/>
        <v/>
      </c>
      <c r="V199" s="4" t="str">
        <f t="shared" si="37"/>
        <v/>
      </c>
    </row>
    <row r="200" spans="1:22" ht="15" customHeight="1">
      <c r="A200" s="2"/>
      <c r="B200" s="2"/>
      <c r="C200" s="2"/>
      <c r="D200" s="4" t="str">
        <f>IF(C200="","",VLOOKUP(C200,Referentie!$A$2:$B$19,2,0))</f>
        <v/>
      </c>
      <c r="E200" s="7"/>
      <c r="F200" s="4"/>
      <c r="G200" s="4"/>
      <c r="H200" s="4"/>
      <c r="I200" s="4"/>
      <c r="J200" s="4"/>
      <c r="K200" s="4"/>
      <c r="L200" s="4"/>
      <c r="M200" s="4"/>
      <c r="N200" s="4" t="str">
        <f>IF(M200="","",VLOOKUP(M200,Referentie!$G$2:$I$26,2,0))</f>
        <v/>
      </c>
      <c r="O200" s="4" t="str">
        <f>IF(M200="","",VLOOKUP(M200,Referentie!$G$2:$I$26,3,0))</f>
        <v/>
      </c>
      <c r="P200" s="4" t="str">
        <f t="shared" si="38"/>
        <v/>
      </c>
      <c r="Q200" s="4" t="str">
        <f t="shared" si="39"/>
        <v/>
      </c>
      <c r="R200" s="4" t="str">
        <f t="shared" si="40"/>
        <v/>
      </c>
      <c r="S200" s="4" t="str">
        <f t="shared" si="41"/>
        <v/>
      </c>
      <c r="T200" s="4" t="str">
        <f t="shared" si="36"/>
        <v/>
      </c>
      <c r="U200" s="4" t="str">
        <f t="shared" si="42"/>
        <v/>
      </c>
      <c r="V200" s="4" t="str">
        <f t="shared" si="37"/>
        <v/>
      </c>
    </row>
    <row r="201" spans="1:22" ht="15" customHeight="1">
      <c r="A201" s="2"/>
      <c r="B201" s="2"/>
      <c r="C201" s="2"/>
      <c r="D201" s="4" t="str">
        <f>IF(C201="","",VLOOKUP(C201,Referentie!$A$2:$B$19,2,0))</f>
        <v/>
      </c>
      <c r="E201" s="7"/>
      <c r="F201" s="4"/>
      <c r="G201" s="4"/>
      <c r="H201" s="4"/>
      <c r="I201" s="4"/>
      <c r="J201" s="4"/>
      <c r="K201" s="4"/>
      <c r="L201" s="4"/>
      <c r="M201" s="4"/>
      <c r="N201" s="4" t="str">
        <f>IF(M201="","",VLOOKUP(M201,Referentie!$G$2:$I$26,2,0))</f>
        <v/>
      </c>
      <c r="O201" s="4" t="str">
        <f>IF(M201="","",VLOOKUP(M201,Referentie!$G$2:$I$26,3,0))</f>
        <v/>
      </c>
      <c r="P201" s="4" t="str">
        <f t="shared" si="38"/>
        <v/>
      </c>
      <c r="Q201" s="4" t="str">
        <f t="shared" si="39"/>
        <v/>
      </c>
      <c r="R201" s="4" t="str">
        <f t="shared" si="40"/>
        <v/>
      </c>
      <c r="S201" s="4" t="str">
        <f t="shared" si="41"/>
        <v/>
      </c>
      <c r="T201" s="4" t="str">
        <f t="shared" si="36"/>
        <v/>
      </c>
      <c r="U201" s="4" t="str">
        <f t="shared" si="42"/>
        <v/>
      </c>
      <c r="V201" s="4" t="str">
        <f t="shared" si="37"/>
        <v/>
      </c>
    </row>
    <row r="202" spans="1:22" ht="15" customHeight="1">
      <c r="A202" s="2"/>
      <c r="B202" s="2"/>
      <c r="C202" s="2"/>
      <c r="D202" s="4" t="str">
        <f>IF(C202="","",VLOOKUP(C202,Referentie!$A$2:$B$19,2,0))</f>
        <v/>
      </c>
      <c r="E202" s="7"/>
      <c r="F202" s="4"/>
      <c r="G202" s="4"/>
      <c r="H202" s="4"/>
      <c r="I202" s="4"/>
      <c r="J202" s="4"/>
      <c r="K202" s="4"/>
      <c r="L202" s="4"/>
      <c r="M202" s="4"/>
      <c r="N202" s="4" t="str">
        <f>IF(M202="","",VLOOKUP(M202,Referentie!$G$2:$I$26,2,0))</f>
        <v/>
      </c>
      <c r="O202" s="4" t="str">
        <f>IF(M202="","",VLOOKUP(M202,Referentie!$G$2:$I$26,3,0))</f>
        <v/>
      </c>
      <c r="P202" s="4" t="str">
        <f t="shared" si="38"/>
        <v/>
      </c>
      <c r="Q202" s="4" t="str">
        <f t="shared" si="39"/>
        <v/>
      </c>
      <c r="R202" s="4" t="str">
        <f t="shared" si="40"/>
        <v/>
      </c>
      <c r="S202" s="4" t="str">
        <f t="shared" si="41"/>
        <v/>
      </c>
      <c r="T202" s="4" t="str">
        <f t="shared" si="36"/>
        <v/>
      </c>
      <c r="U202" s="4" t="str">
        <f t="shared" si="42"/>
        <v/>
      </c>
      <c r="V202" s="4" t="str">
        <f t="shared" si="37"/>
        <v/>
      </c>
    </row>
    <row r="203" spans="1:22" ht="15" customHeight="1">
      <c r="A203" s="2"/>
      <c r="B203" s="2"/>
      <c r="C203" s="2"/>
      <c r="D203" s="4" t="str">
        <f>IF(C203="","",VLOOKUP(C203,Referentie!$A$2:$B$19,2,0))</f>
        <v/>
      </c>
      <c r="E203" s="7"/>
      <c r="F203" s="4"/>
      <c r="G203" s="4"/>
      <c r="H203" s="4"/>
      <c r="I203" s="4"/>
      <c r="J203" s="4"/>
      <c r="K203" s="4"/>
      <c r="L203" s="4"/>
      <c r="M203" s="4"/>
      <c r="N203" s="4" t="str">
        <f>IF(M203="","",VLOOKUP(M203,Referentie!$G$2:$I$26,2,0))</f>
        <v/>
      </c>
      <c r="O203" s="4" t="str">
        <f>IF(M203="","",VLOOKUP(M203,Referentie!$G$2:$I$26,3,0))</f>
        <v/>
      </c>
      <c r="P203" s="4" t="str">
        <f t="shared" si="38"/>
        <v/>
      </c>
      <c r="Q203" s="4" t="str">
        <f t="shared" si="39"/>
        <v/>
      </c>
      <c r="R203" s="4" t="str">
        <f t="shared" si="40"/>
        <v/>
      </c>
      <c r="S203" s="4" t="str">
        <f t="shared" si="41"/>
        <v/>
      </c>
      <c r="T203" s="4" t="str">
        <f t="shared" si="36"/>
        <v/>
      </c>
      <c r="U203" s="4" t="str">
        <f t="shared" si="42"/>
        <v/>
      </c>
      <c r="V203" s="4" t="str">
        <f t="shared" si="37"/>
        <v/>
      </c>
    </row>
    <row r="204" spans="1:22" ht="15" customHeight="1">
      <c r="A204" s="2"/>
      <c r="B204" s="2"/>
      <c r="C204" s="2"/>
      <c r="D204" s="4" t="str">
        <f>IF(C204="","",VLOOKUP(C204,Referentie!$A$2:$B$19,2,0))</f>
        <v/>
      </c>
      <c r="E204" s="7"/>
      <c r="F204" s="4"/>
      <c r="G204" s="4"/>
      <c r="H204" s="4"/>
      <c r="I204" s="4"/>
      <c r="J204" s="4"/>
      <c r="K204" s="4"/>
      <c r="L204" s="4"/>
      <c r="M204" s="4"/>
      <c r="N204" s="4" t="str">
        <f>IF(M204="","",VLOOKUP(M204,Referentie!$G$2:$I$26,2,0))</f>
        <v/>
      </c>
      <c r="O204" s="4" t="str">
        <f>IF(M204="","",VLOOKUP(M204,Referentie!$G$2:$I$26,3,0))</f>
        <v/>
      </c>
      <c r="P204" s="4" t="str">
        <f t="shared" si="38"/>
        <v/>
      </c>
      <c r="Q204" s="4" t="str">
        <f t="shared" si="39"/>
        <v/>
      </c>
      <c r="R204" s="4" t="str">
        <f t="shared" si="40"/>
        <v/>
      </c>
      <c r="S204" s="4" t="str">
        <f t="shared" si="41"/>
        <v/>
      </c>
      <c r="T204" s="4" t="str">
        <f t="shared" si="36"/>
        <v/>
      </c>
      <c r="U204" s="4" t="str">
        <f t="shared" si="42"/>
        <v/>
      </c>
      <c r="V204" s="4" t="str">
        <f t="shared" si="37"/>
        <v/>
      </c>
    </row>
    <row r="205" spans="1:22" ht="15" customHeight="1">
      <c r="A205" s="2"/>
      <c r="B205" s="2"/>
      <c r="C205" s="2"/>
      <c r="D205" s="4" t="str">
        <f>IF(C205="","",VLOOKUP(C205,Referentie!$A$2:$B$19,2,0))</f>
        <v/>
      </c>
      <c r="E205" s="7"/>
      <c r="F205" s="4"/>
      <c r="G205" s="4"/>
      <c r="H205" s="4"/>
      <c r="I205" s="4"/>
      <c r="J205" s="4"/>
      <c r="K205" s="4"/>
      <c r="L205" s="4"/>
      <c r="M205" s="4"/>
      <c r="N205" s="4" t="str">
        <f>IF(M205="","",VLOOKUP(M205,Referentie!$G$2:$I$26,2,0))</f>
        <v/>
      </c>
      <c r="O205" s="4" t="str">
        <f>IF(M205="","",VLOOKUP(M205,Referentie!$G$2:$I$26,3,0))</f>
        <v/>
      </c>
      <c r="P205" s="4" t="str">
        <f t="shared" si="38"/>
        <v/>
      </c>
      <c r="Q205" s="4" t="str">
        <f t="shared" si="39"/>
        <v/>
      </c>
      <c r="R205" s="4" t="str">
        <f t="shared" si="40"/>
        <v/>
      </c>
      <c r="S205" s="4" t="str">
        <f t="shared" si="41"/>
        <v/>
      </c>
      <c r="T205" s="4" t="str">
        <f t="shared" si="36"/>
        <v/>
      </c>
      <c r="U205" s="4" t="str">
        <f t="shared" si="42"/>
        <v/>
      </c>
      <c r="V205" s="4" t="str">
        <f t="shared" si="37"/>
        <v/>
      </c>
    </row>
    <row r="206" spans="1:22" ht="15" customHeight="1">
      <c r="A206" s="2"/>
      <c r="B206" s="2"/>
      <c r="C206" s="2"/>
      <c r="D206" s="4" t="str">
        <f>IF(C206="","",VLOOKUP(C206,Referentie!$A$2:$B$19,2,0))</f>
        <v/>
      </c>
      <c r="E206" s="7"/>
      <c r="F206" s="4"/>
      <c r="G206" s="4"/>
      <c r="H206" s="4"/>
      <c r="I206" s="4"/>
      <c r="J206" s="4"/>
      <c r="K206" s="4"/>
      <c r="L206" s="4"/>
      <c r="M206" s="4"/>
      <c r="N206" s="4" t="str">
        <f>IF(M206="","",VLOOKUP(M206,Referentie!$G$2:$I$26,2,0))</f>
        <v/>
      </c>
      <c r="O206" s="4" t="str">
        <f>IF(M206="","",VLOOKUP(M206,Referentie!$G$2:$I$26,3,0))</f>
        <v/>
      </c>
      <c r="P206" s="4" t="str">
        <f t="shared" si="38"/>
        <v/>
      </c>
      <c r="Q206" s="4" t="str">
        <f t="shared" si="39"/>
        <v/>
      </c>
      <c r="R206" s="4" t="str">
        <f t="shared" si="40"/>
        <v/>
      </c>
      <c r="S206" s="4" t="str">
        <f t="shared" si="41"/>
        <v/>
      </c>
      <c r="T206" s="4" t="str">
        <f t="shared" si="36"/>
        <v/>
      </c>
      <c r="U206" s="4" t="str">
        <f t="shared" si="42"/>
        <v/>
      </c>
      <c r="V206" s="4" t="str">
        <f t="shared" si="37"/>
        <v/>
      </c>
    </row>
    <row r="207" spans="1:22" ht="15" customHeight="1">
      <c r="A207" s="2"/>
      <c r="B207" s="2"/>
      <c r="C207" s="2"/>
      <c r="D207" s="4" t="str">
        <f>IF(C207="","",VLOOKUP(C207,Referentie!$A$2:$B$19,2,0))</f>
        <v/>
      </c>
      <c r="E207" s="7"/>
      <c r="F207" s="4"/>
      <c r="G207" s="4"/>
      <c r="H207" s="4"/>
      <c r="I207" s="4"/>
      <c r="J207" s="4"/>
      <c r="K207" s="4"/>
      <c r="L207" s="4"/>
      <c r="M207" s="4"/>
      <c r="N207" s="4" t="str">
        <f>IF(M207="","",VLOOKUP(M207,Referentie!$G$2:$I$26,2,0))</f>
        <v/>
      </c>
      <c r="O207" s="4" t="str">
        <f>IF(M207="","",VLOOKUP(M207,Referentie!$G$2:$I$26,3,0))</f>
        <v/>
      </c>
      <c r="P207" s="4" t="str">
        <f t="shared" si="38"/>
        <v/>
      </c>
      <c r="Q207" s="4" t="str">
        <f t="shared" si="39"/>
        <v/>
      </c>
      <c r="R207" s="4" t="str">
        <f t="shared" si="40"/>
        <v/>
      </c>
      <c r="S207" s="4" t="str">
        <f t="shared" si="41"/>
        <v/>
      </c>
      <c r="T207" s="4" t="str">
        <f t="shared" si="36"/>
        <v/>
      </c>
      <c r="U207" s="4" t="str">
        <f t="shared" si="42"/>
        <v/>
      </c>
      <c r="V207" s="4" t="str">
        <f t="shared" si="37"/>
        <v/>
      </c>
    </row>
    <row r="208" spans="1:22" ht="15" customHeight="1">
      <c r="A208" s="2"/>
      <c r="B208" s="2"/>
      <c r="C208" s="2"/>
      <c r="D208" s="4" t="str">
        <f>IF(C208="","",VLOOKUP(C208,Referentie!$A$2:$B$19,2,0))</f>
        <v/>
      </c>
      <c r="E208" s="7"/>
      <c r="F208" s="4"/>
      <c r="G208" s="4"/>
      <c r="H208" s="4"/>
      <c r="I208" s="4"/>
      <c r="J208" s="4"/>
      <c r="K208" s="4"/>
      <c r="L208" s="4"/>
      <c r="M208" s="4"/>
      <c r="N208" s="4" t="str">
        <f>IF(M208="","",VLOOKUP(M208,Referentie!$G$2:$I$26,2,0))</f>
        <v/>
      </c>
      <c r="O208" s="4" t="str">
        <f>IF(M208="","",VLOOKUP(M208,Referentie!$G$2:$I$26,3,0))</f>
        <v/>
      </c>
      <c r="P208" s="4" t="str">
        <f t="shared" si="38"/>
        <v/>
      </c>
      <c r="Q208" s="4" t="str">
        <f t="shared" si="39"/>
        <v/>
      </c>
      <c r="R208" s="4" t="str">
        <f t="shared" si="40"/>
        <v/>
      </c>
      <c r="S208" s="4" t="str">
        <f t="shared" si="41"/>
        <v/>
      </c>
      <c r="T208" s="4" t="str">
        <f t="shared" si="36"/>
        <v/>
      </c>
      <c r="U208" s="4" t="str">
        <f t="shared" si="42"/>
        <v/>
      </c>
      <c r="V208" s="4" t="str">
        <f t="shared" si="37"/>
        <v/>
      </c>
    </row>
    <row r="209" spans="1:22" ht="15" customHeight="1">
      <c r="A209" s="2"/>
      <c r="B209" s="2"/>
      <c r="C209" s="2"/>
      <c r="D209" s="4" t="str">
        <f>IF(C209="","",VLOOKUP(C209,Referentie!$A$2:$B$19,2,0))</f>
        <v/>
      </c>
      <c r="E209" s="7"/>
      <c r="F209" s="4"/>
      <c r="G209" s="4"/>
      <c r="H209" s="4"/>
      <c r="I209" s="4"/>
      <c r="J209" s="4"/>
      <c r="K209" s="4"/>
      <c r="L209" s="4"/>
      <c r="M209" s="4"/>
      <c r="N209" s="4" t="str">
        <f>IF(M209="","",VLOOKUP(M209,Referentie!$G$2:$I$26,2,0))</f>
        <v/>
      </c>
      <c r="O209" s="4" t="str">
        <f>IF(M209="","",VLOOKUP(M209,Referentie!$G$2:$I$26,3,0))</f>
        <v/>
      </c>
      <c r="P209" s="4" t="str">
        <f t="shared" si="38"/>
        <v/>
      </c>
      <c r="Q209" s="4" t="str">
        <f t="shared" si="39"/>
        <v/>
      </c>
      <c r="R209" s="4" t="str">
        <f t="shared" si="40"/>
        <v/>
      </c>
      <c r="S209" s="4" t="str">
        <f t="shared" si="41"/>
        <v/>
      </c>
      <c r="T209" s="4" t="str">
        <f t="shared" si="36"/>
        <v/>
      </c>
      <c r="U209" s="4" t="str">
        <f t="shared" si="42"/>
        <v/>
      </c>
      <c r="V209" s="4" t="str">
        <f t="shared" si="37"/>
        <v/>
      </c>
    </row>
    <row r="210" spans="1:22" ht="15" customHeight="1">
      <c r="A210" s="2"/>
      <c r="B210" s="2"/>
      <c r="C210" s="2"/>
      <c r="D210" s="4" t="str">
        <f>IF(C210="","",VLOOKUP(C210,Referentie!$A$2:$B$19,2,0))</f>
        <v/>
      </c>
      <c r="E210" s="7"/>
      <c r="F210" s="4"/>
      <c r="G210" s="4"/>
      <c r="H210" s="4"/>
      <c r="I210" s="4"/>
      <c r="J210" s="4"/>
      <c r="K210" s="4"/>
      <c r="L210" s="4"/>
      <c r="M210" s="4"/>
      <c r="N210" s="4" t="str">
        <f>IF(M210="","",VLOOKUP(M210,Referentie!$G$2:$I$26,2,0))</f>
        <v/>
      </c>
      <c r="O210" s="4" t="str">
        <f>IF(M210="","",VLOOKUP(M210,Referentie!$G$2:$I$26,3,0))</f>
        <v/>
      </c>
      <c r="P210" s="4" t="str">
        <f t="shared" si="38"/>
        <v/>
      </c>
      <c r="Q210" s="4" t="str">
        <f t="shared" si="39"/>
        <v/>
      </c>
      <c r="R210" s="4" t="str">
        <f t="shared" si="40"/>
        <v/>
      </c>
      <c r="S210" s="4" t="str">
        <f t="shared" si="41"/>
        <v/>
      </c>
      <c r="T210" s="4" t="str">
        <f t="shared" si="36"/>
        <v/>
      </c>
      <c r="U210" s="4" t="str">
        <f t="shared" si="42"/>
        <v/>
      </c>
      <c r="V210" s="4" t="str">
        <f t="shared" si="37"/>
        <v/>
      </c>
    </row>
    <row r="211" spans="1:22" ht="15" customHeight="1">
      <c r="A211" s="2"/>
      <c r="B211" s="2"/>
      <c r="C211" s="2"/>
      <c r="D211" s="4" t="str">
        <f>IF(C211="","",VLOOKUP(C211,Referentie!$A$2:$B$19,2,0))</f>
        <v/>
      </c>
      <c r="E211" s="7"/>
      <c r="F211" s="4"/>
      <c r="G211" s="4"/>
      <c r="H211" s="4"/>
      <c r="I211" s="4"/>
      <c r="J211" s="4"/>
      <c r="K211" s="4"/>
      <c r="L211" s="4"/>
      <c r="M211" s="4"/>
      <c r="N211" s="4" t="str">
        <f>IF(M211="","",VLOOKUP(M211,Referentie!$G$2:$I$26,2,0))</f>
        <v/>
      </c>
      <c r="O211" s="4" t="str">
        <f>IF(M211="","",VLOOKUP(M211,Referentie!$G$2:$I$26,3,0))</f>
        <v/>
      </c>
      <c r="P211" s="4" t="str">
        <f t="shared" si="38"/>
        <v/>
      </c>
      <c r="Q211" s="4" t="str">
        <f t="shared" si="39"/>
        <v/>
      </c>
      <c r="R211" s="4" t="str">
        <f t="shared" si="40"/>
        <v/>
      </c>
      <c r="S211" s="4" t="str">
        <f t="shared" si="41"/>
        <v/>
      </c>
      <c r="T211" s="4" t="str">
        <f t="shared" si="36"/>
        <v/>
      </c>
      <c r="U211" s="4" t="str">
        <f t="shared" si="42"/>
        <v/>
      </c>
      <c r="V211" s="4" t="str">
        <f t="shared" si="37"/>
        <v/>
      </c>
    </row>
    <row r="212" spans="1:22" ht="15" customHeight="1">
      <c r="A212" s="2"/>
      <c r="B212" s="2"/>
      <c r="C212" s="2"/>
      <c r="D212" s="4" t="str">
        <f>IF(C212="","",VLOOKUP(C212,Referentie!$A$2:$B$19,2,0))</f>
        <v/>
      </c>
      <c r="E212" s="7"/>
      <c r="F212" s="4"/>
      <c r="G212" s="4"/>
      <c r="H212" s="4"/>
      <c r="I212" s="4"/>
      <c r="J212" s="4"/>
      <c r="K212" s="4"/>
      <c r="L212" s="4"/>
      <c r="M212" s="4"/>
      <c r="N212" s="4" t="str">
        <f>IF(M212="","",VLOOKUP(M212,Referentie!$G$2:$I$26,2,0))</f>
        <v/>
      </c>
      <c r="O212" s="4" t="str">
        <f>IF(M212="","",VLOOKUP(M212,Referentie!$G$2:$I$26,3,0))</f>
        <v/>
      </c>
      <c r="P212" s="4" t="str">
        <f t="shared" si="38"/>
        <v/>
      </c>
      <c r="Q212" s="4" t="str">
        <f t="shared" si="39"/>
        <v/>
      </c>
      <c r="R212" s="4" t="str">
        <f t="shared" si="40"/>
        <v/>
      </c>
      <c r="S212" s="4" t="str">
        <f t="shared" si="41"/>
        <v/>
      </c>
      <c r="T212" s="4" t="str">
        <f t="shared" si="36"/>
        <v/>
      </c>
      <c r="U212" s="4" t="str">
        <f t="shared" si="42"/>
        <v/>
      </c>
      <c r="V212" s="4" t="str">
        <f t="shared" si="37"/>
        <v/>
      </c>
    </row>
    <row r="213" spans="1:22" ht="15" customHeight="1">
      <c r="A213" s="2"/>
      <c r="B213" s="2"/>
      <c r="C213" s="2"/>
      <c r="D213" s="4" t="str">
        <f>IF(C213="","",VLOOKUP(C213,Referentie!$A$2:$B$19,2,0))</f>
        <v/>
      </c>
      <c r="E213" s="7"/>
      <c r="F213" s="4"/>
      <c r="G213" s="4"/>
      <c r="H213" s="4"/>
      <c r="I213" s="4"/>
      <c r="J213" s="4"/>
      <c r="K213" s="4"/>
      <c r="L213" s="4"/>
      <c r="M213" s="4"/>
      <c r="N213" s="4" t="str">
        <f>IF(M213="","",VLOOKUP(M213,Referentie!$G$2:$I$26,2,0))</f>
        <v/>
      </c>
      <c r="O213" s="4" t="str">
        <f>IF(M213="","",VLOOKUP(M213,Referentie!$G$2:$I$26,3,0))</f>
        <v/>
      </c>
      <c r="P213" s="4" t="str">
        <f t="shared" si="38"/>
        <v/>
      </c>
      <c r="Q213" s="4" t="str">
        <f t="shared" si="39"/>
        <v/>
      </c>
      <c r="R213" s="4" t="str">
        <f t="shared" si="40"/>
        <v/>
      </c>
      <c r="S213" s="4" t="str">
        <f t="shared" si="41"/>
        <v/>
      </c>
      <c r="T213" s="4" t="str">
        <f t="shared" si="36"/>
        <v/>
      </c>
      <c r="U213" s="4" t="str">
        <f t="shared" si="42"/>
        <v/>
      </c>
      <c r="V213" s="4" t="str">
        <f t="shared" si="37"/>
        <v/>
      </c>
    </row>
    <row r="214" spans="1:22" ht="15" customHeight="1">
      <c r="A214" s="2"/>
      <c r="B214" s="2"/>
      <c r="C214" s="2"/>
      <c r="D214" s="4" t="str">
        <f>IF(C214="","",VLOOKUP(C214,Referentie!$A$2:$B$19,2,0))</f>
        <v/>
      </c>
      <c r="E214" s="7"/>
      <c r="F214" s="4"/>
      <c r="G214" s="4"/>
      <c r="H214" s="4"/>
      <c r="I214" s="4"/>
      <c r="J214" s="4"/>
      <c r="K214" s="4"/>
      <c r="L214" s="4"/>
      <c r="M214" s="4"/>
      <c r="N214" s="4" t="str">
        <f>IF(M214="","",VLOOKUP(M214,Referentie!$G$2:$I$26,2,0))</f>
        <v/>
      </c>
      <c r="O214" s="4" t="str">
        <f>IF(M214="","",VLOOKUP(M214,Referentie!$G$2:$I$26,3,0))</f>
        <v/>
      </c>
      <c r="P214" s="4" t="str">
        <f t="shared" si="38"/>
        <v/>
      </c>
      <c r="Q214" s="4" t="str">
        <f t="shared" si="39"/>
        <v/>
      </c>
      <c r="R214" s="4" t="str">
        <f t="shared" si="40"/>
        <v/>
      </c>
      <c r="S214" s="4" t="str">
        <f t="shared" si="41"/>
        <v/>
      </c>
      <c r="T214" s="4" t="str">
        <f t="shared" si="36"/>
        <v/>
      </c>
      <c r="U214" s="4" t="str">
        <f t="shared" si="42"/>
        <v/>
      </c>
      <c r="V214" s="4" t="str">
        <f t="shared" si="37"/>
        <v/>
      </c>
    </row>
    <row r="215" spans="1:22" ht="15" customHeight="1">
      <c r="A215" s="2"/>
      <c r="B215" s="2"/>
      <c r="C215" s="2"/>
      <c r="D215" s="4" t="str">
        <f>IF(C215="","",VLOOKUP(C215,Referentie!$A$2:$B$19,2,0))</f>
        <v/>
      </c>
      <c r="E215" s="7"/>
      <c r="F215" s="4"/>
      <c r="G215" s="4"/>
      <c r="H215" s="4"/>
      <c r="I215" s="4"/>
      <c r="J215" s="4"/>
      <c r="K215" s="4"/>
      <c r="L215" s="4"/>
      <c r="M215" s="4"/>
      <c r="N215" s="4" t="str">
        <f>IF(M215="","",VLOOKUP(M215,Referentie!$G$2:$I$26,2,0))</f>
        <v/>
      </c>
      <c r="O215" s="4" t="str">
        <f>IF(M215="","",VLOOKUP(M215,Referentie!$G$2:$I$26,3,0))</f>
        <v/>
      </c>
      <c r="P215" s="4" t="str">
        <f t="shared" si="38"/>
        <v/>
      </c>
      <c r="Q215" s="4" t="str">
        <f t="shared" si="39"/>
        <v/>
      </c>
      <c r="R215" s="4" t="str">
        <f t="shared" si="40"/>
        <v/>
      </c>
      <c r="S215" s="4" t="str">
        <f t="shared" si="41"/>
        <v/>
      </c>
      <c r="T215" s="4" t="str">
        <f t="shared" si="36"/>
        <v/>
      </c>
      <c r="U215" s="4" t="str">
        <f t="shared" si="42"/>
        <v/>
      </c>
      <c r="V215" s="4" t="str">
        <f t="shared" si="37"/>
        <v/>
      </c>
    </row>
    <row r="216" spans="1:22" ht="15" customHeight="1">
      <c r="A216" s="2"/>
      <c r="B216" s="2"/>
      <c r="C216" s="2"/>
      <c r="D216" s="4" t="str">
        <f>IF(C216="","",VLOOKUP(C216,Referentie!$A$2:$B$19,2,0))</f>
        <v/>
      </c>
      <c r="E216" s="7"/>
      <c r="F216" s="4"/>
      <c r="G216" s="4"/>
      <c r="H216" s="4"/>
      <c r="I216" s="4"/>
      <c r="J216" s="4"/>
      <c r="K216" s="4"/>
      <c r="L216" s="4"/>
      <c r="M216" s="4"/>
      <c r="N216" s="4" t="str">
        <f>IF(M216="","",VLOOKUP(M216,Referentie!$G$2:$I$26,2,0))</f>
        <v/>
      </c>
      <c r="O216" s="4" t="str">
        <f>IF(M216="","",VLOOKUP(M216,Referentie!$G$2:$I$26,3,0))</f>
        <v/>
      </c>
      <c r="P216" s="4" t="str">
        <f t="shared" si="38"/>
        <v/>
      </c>
      <c r="Q216" s="4" t="str">
        <f t="shared" si="39"/>
        <v/>
      </c>
      <c r="R216" s="4" t="str">
        <f t="shared" si="40"/>
        <v/>
      </c>
      <c r="S216" s="4" t="str">
        <f t="shared" si="41"/>
        <v/>
      </c>
      <c r="T216" s="4" t="str">
        <f t="shared" si="36"/>
        <v/>
      </c>
      <c r="U216" s="4" t="str">
        <f t="shared" si="42"/>
        <v/>
      </c>
      <c r="V216" s="4" t="str">
        <f t="shared" si="37"/>
        <v/>
      </c>
    </row>
    <row r="217" spans="1:22" ht="15" customHeight="1">
      <c r="A217" s="2"/>
      <c r="B217" s="2"/>
      <c r="C217" s="2"/>
      <c r="D217" s="4" t="str">
        <f>IF(C217="","",VLOOKUP(C217,Referentie!$A$2:$B$19,2,0))</f>
        <v/>
      </c>
      <c r="E217" s="7"/>
      <c r="F217" s="4"/>
      <c r="G217" s="4"/>
      <c r="H217" s="4"/>
      <c r="I217" s="4"/>
      <c r="J217" s="4"/>
      <c r="K217" s="4"/>
      <c r="L217" s="4"/>
      <c r="M217" s="4"/>
      <c r="N217" s="4" t="str">
        <f>IF(M217="","",VLOOKUP(M217,Referentie!$G$2:$I$26,2,0))</f>
        <v/>
      </c>
      <c r="O217" s="4" t="str">
        <f>IF(M217="","",VLOOKUP(M217,Referentie!$G$2:$I$26,3,0))</f>
        <v/>
      </c>
      <c r="P217" s="4" t="str">
        <f t="shared" si="38"/>
        <v/>
      </c>
      <c r="Q217" s="4" t="str">
        <f t="shared" si="39"/>
        <v/>
      </c>
      <c r="R217" s="4" t="str">
        <f t="shared" si="40"/>
        <v/>
      </c>
      <c r="S217" s="4" t="str">
        <f t="shared" si="41"/>
        <v/>
      </c>
      <c r="T217" s="4" t="str">
        <f t="shared" si="36"/>
        <v/>
      </c>
      <c r="U217" s="4" t="str">
        <f t="shared" si="42"/>
        <v/>
      </c>
      <c r="V217" s="4" t="str">
        <f t="shared" si="37"/>
        <v/>
      </c>
    </row>
    <row r="218" spans="1:22" ht="15" customHeight="1">
      <c r="A218" s="2"/>
      <c r="B218" s="2"/>
      <c r="C218" s="2"/>
      <c r="D218" s="4" t="str">
        <f>IF(C218="","",VLOOKUP(C218,Referentie!$A$2:$B$19,2,0))</f>
        <v/>
      </c>
      <c r="E218" s="7"/>
      <c r="F218" s="4"/>
      <c r="G218" s="4"/>
      <c r="H218" s="4"/>
      <c r="I218" s="4"/>
      <c r="J218" s="4"/>
      <c r="K218" s="4"/>
      <c r="L218" s="4"/>
      <c r="M218" s="4"/>
      <c r="N218" s="4" t="str">
        <f>IF(M218="","",VLOOKUP(M218,Referentie!$G$2:$I$26,2,0))</f>
        <v/>
      </c>
      <c r="O218" s="4" t="str">
        <f>IF(M218="","",VLOOKUP(M218,Referentie!$G$2:$I$26,3,0))</f>
        <v/>
      </c>
      <c r="P218" s="4" t="str">
        <f t="shared" si="38"/>
        <v/>
      </c>
      <c r="Q218" s="4" t="str">
        <f t="shared" si="39"/>
        <v/>
      </c>
      <c r="R218" s="4" t="str">
        <f t="shared" si="40"/>
        <v/>
      </c>
      <c r="S218" s="4" t="str">
        <f t="shared" si="41"/>
        <v/>
      </c>
      <c r="T218" s="4" t="str">
        <f t="shared" si="36"/>
        <v/>
      </c>
      <c r="U218" s="4" t="str">
        <f t="shared" si="42"/>
        <v/>
      </c>
      <c r="V218" s="4" t="str">
        <f t="shared" si="37"/>
        <v/>
      </c>
    </row>
    <row r="219" spans="1:22" ht="15" customHeight="1">
      <c r="A219" s="2"/>
      <c r="B219" s="2"/>
      <c r="C219" s="2"/>
      <c r="D219" s="4" t="str">
        <f>IF(C219="","",VLOOKUP(C219,Referentie!$A$2:$B$19,2,0))</f>
        <v/>
      </c>
      <c r="E219" s="7"/>
      <c r="F219" s="4"/>
      <c r="G219" s="4"/>
      <c r="H219" s="4"/>
      <c r="I219" s="4"/>
      <c r="J219" s="4"/>
      <c r="K219" s="4"/>
      <c r="L219" s="4"/>
      <c r="M219" s="4"/>
      <c r="N219" s="4" t="str">
        <f>IF(M219="","",VLOOKUP(M219,Referentie!$G$2:$I$26,2,0))</f>
        <v/>
      </c>
      <c r="O219" s="4" t="str">
        <f>IF(M219="","",VLOOKUP(M219,Referentie!$G$2:$I$26,3,0))</f>
        <v/>
      </c>
      <c r="P219" s="4" t="str">
        <f t="shared" si="38"/>
        <v/>
      </c>
      <c r="Q219" s="4" t="str">
        <f t="shared" si="39"/>
        <v/>
      </c>
      <c r="R219" s="4" t="str">
        <f t="shared" si="40"/>
        <v/>
      </c>
      <c r="S219" s="4" t="str">
        <f t="shared" si="41"/>
        <v/>
      </c>
      <c r="T219" s="4" t="str">
        <f t="shared" si="36"/>
        <v/>
      </c>
      <c r="U219" s="4" t="str">
        <f t="shared" si="42"/>
        <v/>
      </c>
      <c r="V219" s="4" t="str">
        <f t="shared" si="37"/>
        <v/>
      </c>
    </row>
    <row r="220" spans="1:22" ht="15" customHeight="1">
      <c r="A220" s="2"/>
      <c r="B220" s="2"/>
      <c r="C220" s="2"/>
      <c r="D220" s="4" t="str">
        <f>IF(C220="","",VLOOKUP(C220,Referentie!$A$2:$B$19,2,0))</f>
        <v/>
      </c>
      <c r="E220" s="7"/>
      <c r="F220" s="4"/>
      <c r="G220" s="4"/>
      <c r="H220" s="4"/>
      <c r="I220" s="4"/>
      <c r="J220" s="4"/>
      <c r="K220" s="4"/>
      <c r="L220" s="4"/>
      <c r="M220" s="4"/>
      <c r="N220" s="4" t="str">
        <f>IF(M220="","",VLOOKUP(M220,Referentie!$G$2:$I$26,2,0))</f>
        <v/>
      </c>
      <c r="O220" s="4" t="str">
        <f>IF(M220="","",VLOOKUP(M220,Referentie!$G$2:$I$26,3,0))</f>
        <v/>
      </c>
      <c r="P220" s="4" t="str">
        <f t="shared" si="38"/>
        <v/>
      </c>
      <c r="Q220" s="4" t="str">
        <f t="shared" si="39"/>
        <v/>
      </c>
      <c r="R220" s="4" t="str">
        <f t="shared" si="40"/>
        <v/>
      </c>
      <c r="S220" s="4" t="str">
        <f t="shared" si="41"/>
        <v/>
      </c>
      <c r="T220" s="4" t="str">
        <f t="shared" si="36"/>
        <v/>
      </c>
      <c r="U220" s="4" t="str">
        <f t="shared" si="42"/>
        <v/>
      </c>
      <c r="V220" s="4" t="str">
        <f t="shared" si="37"/>
        <v/>
      </c>
    </row>
    <row r="221" spans="1:22" ht="15" customHeight="1">
      <c r="A221" s="2"/>
      <c r="B221" s="2"/>
      <c r="C221" s="2"/>
      <c r="D221" s="4" t="str">
        <f>IF(C221="","",VLOOKUP(C221,Referentie!$A$2:$B$19,2,0))</f>
        <v/>
      </c>
      <c r="E221" s="7"/>
      <c r="F221" s="4"/>
      <c r="G221" s="4"/>
      <c r="H221" s="4"/>
      <c r="I221" s="4"/>
      <c r="J221" s="4"/>
      <c r="K221" s="4"/>
      <c r="L221" s="4"/>
      <c r="M221" s="4"/>
      <c r="N221" s="4" t="str">
        <f>IF(M221="","",VLOOKUP(M221,Referentie!$G$2:$I$26,2,0))</f>
        <v/>
      </c>
      <c r="O221" s="4" t="str">
        <f>IF(M221="","",VLOOKUP(M221,Referentie!$G$2:$I$26,3,0))</f>
        <v/>
      </c>
      <c r="P221" s="4" t="str">
        <f t="shared" si="38"/>
        <v/>
      </c>
      <c r="Q221" s="4" t="str">
        <f t="shared" si="39"/>
        <v/>
      </c>
      <c r="R221" s="4" t="str">
        <f t="shared" si="40"/>
        <v/>
      </c>
      <c r="S221" s="4" t="str">
        <f t="shared" si="41"/>
        <v/>
      </c>
      <c r="T221" s="4" t="str">
        <f t="shared" si="36"/>
        <v/>
      </c>
      <c r="U221" s="4" t="str">
        <f t="shared" si="42"/>
        <v/>
      </c>
      <c r="V221" s="4" t="str">
        <f t="shared" si="37"/>
        <v/>
      </c>
    </row>
    <row r="222" spans="1:22" ht="15" customHeight="1">
      <c r="A222" s="2"/>
      <c r="B222" s="2"/>
      <c r="C222" s="2"/>
      <c r="D222" s="4" t="str">
        <f>IF(C222="","",VLOOKUP(C222,Referentie!$A$2:$B$19,2,0))</f>
        <v/>
      </c>
      <c r="E222" s="7"/>
      <c r="F222" s="4"/>
      <c r="G222" s="4"/>
      <c r="H222" s="4"/>
      <c r="I222" s="4"/>
      <c r="J222" s="4"/>
      <c r="K222" s="4"/>
      <c r="L222" s="4"/>
      <c r="M222" s="4"/>
      <c r="N222" s="4" t="str">
        <f>IF(M222="","",VLOOKUP(M222,Referentie!$G$2:$I$26,2,0))</f>
        <v/>
      </c>
      <c r="O222" s="4" t="str">
        <f>IF(M222="","",VLOOKUP(M222,Referentie!$G$2:$I$26,3,0))</f>
        <v/>
      </c>
      <c r="P222" s="4" t="str">
        <f t="shared" si="38"/>
        <v/>
      </c>
      <c r="Q222" s="4" t="str">
        <f t="shared" si="39"/>
        <v/>
      </c>
      <c r="R222" s="4" t="str">
        <f t="shared" si="40"/>
        <v/>
      </c>
      <c r="S222" s="4" t="str">
        <f t="shared" si="41"/>
        <v/>
      </c>
      <c r="T222" s="4" t="str">
        <f t="shared" si="36"/>
        <v/>
      </c>
      <c r="U222" s="4" t="str">
        <f t="shared" si="42"/>
        <v/>
      </c>
      <c r="V222" s="4" t="str">
        <f t="shared" si="37"/>
        <v/>
      </c>
    </row>
    <row r="223" spans="1:22" ht="15" customHeight="1">
      <c r="A223" s="2"/>
      <c r="B223" s="2"/>
      <c r="C223" s="2"/>
      <c r="D223" s="4" t="str">
        <f>IF(C223="","",VLOOKUP(C223,Referentie!$A$2:$B$19,2,0))</f>
        <v/>
      </c>
      <c r="E223" s="7"/>
      <c r="F223" s="4"/>
      <c r="G223" s="4"/>
      <c r="H223" s="4"/>
      <c r="I223" s="4"/>
      <c r="J223" s="4"/>
      <c r="K223" s="4"/>
      <c r="L223" s="4"/>
      <c r="M223" s="4"/>
      <c r="N223" s="4" t="str">
        <f>IF(M223="","",VLOOKUP(M223,Referentie!$G$2:$I$26,2,0))</f>
        <v/>
      </c>
      <c r="O223" s="4" t="str">
        <f>IF(M223="","",VLOOKUP(M223,Referentie!$G$2:$I$26,3,0))</f>
        <v/>
      </c>
      <c r="P223" s="4" t="str">
        <f t="shared" si="38"/>
        <v/>
      </c>
      <c r="Q223" s="4" t="str">
        <f t="shared" si="39"/>
        <v/>
      </c>
      <c r="R223" s="4" t="str">
        <f t="shared" si="40"/>
        <v/>
      </c>
      <c r="S223" s="4" t="str">
        <f t="shared" si="41"/>
        <v/>
      </c>
      <c r="T223" s="4" t="str">
        <f t="shared" si="36"/>
        <v/>
      </c>
      <c r="U223" s="4" t="str">
        <f t="shared" si="42"/>
        <v/>
      </c>
      <c r="V223" s="4" t="str">
        <f t="shared" si="37"/>
        <v/>
      </c>
    </row>
    <row r="224" spans="1:22" ht="15" customHeight="1">
      <c r="A224" s="2"/>
      <c r="B224" s="2"/>
      <c r="C224" s="2"/>
      <c r="D224" s="4" t="str">
        <f>IF(C224="","",VLOOKUP(C224,Referentie!$A$2:$B$19,2,0))</f>
        <v/>
      </c>
      <c r="E224" s="7"/>
      <c r="F224" s="4"/>
      <c r="G224" s="4"/>
      <c r="H224" s="4"/>
      <c r="I224" s="4"/>
      <c r="J224" s="4"/>
      <c r="K224" s="4"/>
      <c r="L224" s="4"/>
      <c r="M224" s="4"/>
      <c r="N224" s="4" t="str">
        <f>IF(M224="","",VLOOKUP(M224,Referentie!$G$2:$I$26,2,0))</f>
        <v/>
      </c>
      <c r="O224" s="4" t="str">
        <f>IF(M224="","",VLOOKUP(M224,Referentie!$G$2:$I$26,3,0))</f>
        <v/>
      </c>
      <c r="P224" s="4" t="str">
        <f t="shared" si="38"/>
        <v/>
      </c>
      <c r="Q224" s="4" t="str">
        <f t="shared" si="39"/>
        <v/>
      </c>
      <c r="R224" s="4" t="str">
        <f t="shared" si="40"/>
        <v/>
      </c>
      <c r="S224" s="4" t="str">
        <f t="shared" si="41"/>
        <v/>
      </c>
      <c r="T224" s="4" t="str">
        <f t="shared" si="36"/>
        <v/>
      </c>
      <c r="U224" s="4" t="str">
        <f t="shared" si="42"/>
        <v/>
      </c>
      <c r="V224" s="4" t="str">
        <f t="shared" si="37"/>
        <v/>
      </c>
    </row>
    <row r="225" spans="1:22" ht="15" customHeight="1">
      <c r="A225" s="2"/>
      <c r="B225" s="2"/>
      <c r="C225" s="2"/>
      <c r="D225" s="4" t="str">
        <f>IF(C225="","",VLOOKUP(C225,Referentie!$A$2:$B$19,2,0))</f>
        <v/>
      </c>
      <c r="E225" s="7"/>
      <c r="F225" s="4"/>
      <c r="G225" s="4"/>
      <c r="H225" s="4"/>
      <c r="I225" s="4"/>
      <c r="J225" s="4"/>
      <c r="K225" s="4"/>
      <c r="L225" s="4"/>
      <c r="M225" s="4"/>
      <c r="N225" s="4" t="str">
        <f>IF(M225="","",VLOOKUP(M225,Referentie!$G$2:$I$26,2,0))</f>
        <v/>
      </c>
      <c r="O225" s="4" t="str">
        <f>IF(M225="","",VLOOKUP(M225,Referentie!$G$2:$I$26,3,0))</f>
        <v/>
      </c>
      <c r="P225" s="4" t="str">
        <f t="shared" si="38"/>
        <v/>
      </c>
      <c r="Q225" s="4" t="str">
        <f t="shared" si="39"/>
        <v/>
      </c>
      <c r="R225" s="4" t="str">
        <f t="shared" si="40"/>
        <v/>
      </c>
      <c r="S225" s="4" t="str">
        <f t="shared" si="41"/>
        <v/>
      </c>
      <c r="T225" s="4" t="str">
        <f t="shared" si="36"/>
        <v/>
      </c>
      <c r="U225" s="4" t="str">
        <f t="shared" si="42"/>
        <v/>
      </c>
      <c r="V225" s="4" t="str">
        <f t="shared" si="37"/>
        <v/>
      </c>
    </row>
    <row r="226" spans="1:22" ht="15" customHeight="1">
      <c r="A226" s="2"/>
      <c r="B226" s="2"/>
      <c r="C226" s="2"/>
      <c r="D226" s="4" t="str">
        <f>IF(C226="","",VLOOKUP(C226,Referentie!$A$2:$B$19,2,0))</f>
        <v/>
      </c>
      <c r="E226" s="7"/>
      <c r="F226" s="4"/>
      <c r="G226" s="4"/>
      <c r="H226" s="4"/>
      <c r="I226" s="4"/>
      <c r="J226" s="4"/>
      <c r="K226" s="4"/>
      <c r="L226" s="4"/>
      <c r="M226" s="4"/>
      <c r="N226" s="4" t="str">
        <f>IF(M226="","",VLOOKUP(M226,Referentie!$G$2:$I$26,2,0))</f>
        <v/>
      </c>
      <c r="O226" s="4" t="str">
        <f>IF(M226="","",VLOOKUP(M226,Referentie!$G$2:$I$26,3,0))</f>
        <v/>
      </c>
      <c r="P226" s="4" t="str">
        <f t="shared" si="38"/>
        <v/>
      </c>
      <c r="Q226" s="4" t="str">
        <f t="shared" si="39"/>
        <v/>
      </c>
      <c r="R226" s="4" t="str">
        <f t="shared" si="40"/>
        <v/>
      </c>
      <c r="S226" s="4" t="str">
        <f t="shared" si="41"/>
        <v/>
      </c>
      <c r="T226" s="4" t="str">
        <f t="shared" si="36"/>
        <v/>
      </c>
      <c r="U226" s="4" t="str">
        <f t="shared" si="42"/>
        <v/>
      </c>
      <c r="V226" s="4" t="str">
        <f t="shared" si="37"/>
        <v/>
      </c>
    </row>
    <row r="227" spans="1:22" ht="15" customHeight="1">
      <c r="A227" s="2"/>
      <c r="B227" s="2"/>
      <c r="C227" s="2"/>
      <c r="D227" s="4" t="str">
        <f>IF(C227="","",VLOOKUP(C227,Referentie!$A$2:$B$19,2,0))</f>
        <v/>
      </c>
      <c r="E227" s="7"/>
      <c r="F227" s="4"/>
      <c r="G227" s="4"/>
      <c r="H227" s="4"/>
      <c r="I227" s="4"/>
      <c r="J227" s="4"/>
      <c r="K227" s="4"/>
      <c r="L227" s="4"/>
      <c r="M227" s="4"/>
      <c r="N227" s="4" t="str">
        <f>IF(M227="","",VLOOKUP(M227,Referentie!$G$2:$I$26,2,0))</f>
        <v/>
      </c>
      <c r="O227" s="4" t="str">
        <f>IF(M227="","",VLOOKUP(M227,Referentie!$G$2:$I$26,3,0))</f>
        <v/>
      </c>
      <c r="P227" s="4" t="str">
        <f t="shared" ref="P227:P250" si="43">IF(A227="","", (IF(N227="Speed of Help",2,0)) + (IF(O227="Speed of Help",-2,0)) + (IF(N227="EXP Gains",1,0)) + (IF(O227="EXP Gains",-1,0)) + (COUNTIF(H227:L227,"Helping Speed S")*1) + (COUNTIF(H227:L227,"Helping Speed M")*2) + (COUNTIF(H227:L227,"Berry Finding S")*2) + (COUNTIF(H227:L227,"Helping Bonus")*1) + (IF(O227="Ingredient Finding",0,0)) + (IF(O227="Main Skill Chance",0,0)) )</f>
        <v/>
      </c>
      <c r="Q227" s="4" t="str">
        <f t="shared" ref="Q227:Q250" si="44">IF(A227="","", (IF(N227="Ingredient Finding",2,0)) + (IF(O227="Ingredient Finding",-2,0)) + (IF(N227="EXP Gains",1,0)) + (IF(O227="EXP Gains",-1,0)) + (COUNTIF(H227:L227,"Ingredient Finder S")*1) + (COUNTIF(H227:L227,"Ingredient Finder M")*2) + (COUNTIF(H227:L227,"Inventory Up S")*0.5) + (COUNTIF(H227:L227,"Inventory Up M")*1) + (COUNTIF(H227:L227,"Inventory Up L")*1.5) + (IF(E227=F227,1,0)) + (IF(F227=G227,1,0)) )</f>
        <v/>
      </c>
      <c r="R227" s="4" t="str">
        <f t="shared" ref="R227:R250" si="45">IF(A227="","", (IF(N227="Main Skill Chance",2,0)) + (IF(O227="Main Skill Chance",-2,0)) + (IF(N227="EXP Gains",1,0)) + (IF(O227="EXP Gains",-1,0)) + (COUNTIF(H227:L227,"Skill Trigger S")*1) + (COUNTIF(H227:L227,"Skill Trigger M")*2) + (COUNTIF(H227:L227,"Skill Level Up S")*1) + (COUNTIF(H227:L227,"Skill Level Up M")*2) + (COUNTIF(H227:L227,"Energy Recovery Bonus")*1.5) + (COUNTIF(H227:L227,"Sleep EXP Bonus")*1) + (COUNTIF(H227:L227,"Research EXP Bonus")*1) )</f>
        <v/>
      </c>
      <c r="S227" s="4" t="str">
        <f t="shared" ref="S227:S250" si="46">IF(A227="","", IF(AND(P227&lt;=1, Q227&lt;=1, R227&lt;=1), "Bench", IF(AND(P227&gt;=Q227, P227&gt;=R227), "Berry", IF(AND(Q227&gt;=P227, Q227&gt;=R227), "Ingredient", "Skill"))) )</f>
        <v/>
      </c>
      <c r="T227" s="4" t="str">
        <f t="shared" si="36"/>
        <v/>
      </c>
      <c r="U227" s="4" t="str">
        <f t="shared" ref="U227:U250" si="47">IF(A227="","", IF(T227&gt;=7, "⭐ Keep", IF(T227&gt;=5, "📈 Level Up", IF(T227&gt;=3, "🤔 Bench", "❌ Transfer"))) )</f>
        <v/>
      </c>
      <c r="V227" s="4" t="str">
        <f t="shared" si="37"/>
        <v/>
      </c>
    </row>
    <row r="228" spans="1:22" ht="15" customHeight="1">
      <c r="A228" s="2"/>
      <c r="B228" s="2"/>
      <c r="C228" s="2"/>
      <c r="D228" s="4" t="str">
        <f>IF(C228="","",VLOOKUP(C228,Referentie!$A$2:$B$19,2,0))</f>
        <v/>
      </c>
      <c r="E228" s="7"/>
      <c r="F228" s="4"/>
      <c r="G228" s="4"/>
      <c r="H228" s="4"/>
      <c r="I228" s="4"/>
      <c r="J228" s="4"/>
      <c r="K228" s="4"/>
      <c r="L228" s="4"/>
      <c r="M228" s="4"/>
      <c r="N228" s="4" t="str">
        <f>IF(M228="","",VLOOKUP(M228,Referentie!$G$2:$I$26,2,0))</f>
        <v/>
      </c>
      <c r="O228" s="4" t="str">
        <f>IF(M228="","",VLOOKUP(M228,Referentie!$G$2:$I$26,3,0))</f>
        <v/>
      </c>
      <c r="P228" s="4" t="str">
        <f t="shared" si="43"/>
        <v/>
      </c>
      <c r="Q228" s="4" t="str">
        <f t="shared" si="44"/>
        <v/>
      </c>
      <c r="R228" s="4" t="str">
        <f t="shared" si="45"/>
        <v/>
      </c>
      <c r="S228" s="4" t="str">
        <f t="shared" si="46"/>
        <v/>
      </c>
      <c r="T228" s="4" t="str">
        <f t="shared" si="36"/>
        <v/>
      </c>
      <c r="U228" s="4" t="str">
        <f t="shared" si="47"/>
        <v/>
      </c>
      <c r="V228" s="4" t="str">
        <f t="shared" si="37"/>
        <v/>
      </c>
    </row>
    <row r="229" spans="1:22" ht="15" customHeight="1">
      <c r="A229" s="2"/>
      <c r="B229" s="2"/>
      <c r="C229" s="2"/>
      <c r="D229" s="4" t="str">
        <f>IF(C229="","",VLOOKUP(C229,Referentie!$A$2:$B$19,2,0))</f>
        <v/>
      </c>
      <c r="E229" s="7"/>
      <c r="F229" s="4"/>
      <c r="G229" s="4"/>
      <c r="H229" s="4"/>
      <c r="I229" s="4"/>
      <c r="J229" s="4"/>
      <c r="K229" s="4"/>
      <c r="L229" s="4"/>
      <c r="M229" s="4"/>
      <c r="N229" s="4" t="str">
        <f>IF(M229="","",VLOOKUP(M229,Referentie!$G$2:$I$26,2,0))</f>
        <v/>
      </c>
      <c r="O229" s="4" t="str">
        <f>IF(M229="","",VLOOKUP(M229,Referentie!$G$2:$I$26,3,0))</f>
        <v/>
      </c>
      <c r="P229" s="4" t="str">
        <f t="shared" si="43"/>
        <v/>
      </c>
      <c r="Q229" s="4" t="str">
        <f t="shared" si="44"/>
        <v/>
      </c>
      <c r="R229" s="4" t="str">
        <f t="shared" si="45"/>
        <v/>
      </c>
      <c r="S229" s="4" t="str">
        <f t="shared" si="46"/>
        <v/>
      </c>
      <c r="T229" s="4" t="str">
        <f t="shared" si="36"/>
        <v/>
      </c>
      <c r="U229" s="4" t="str">
        <f t="shared" si="47"/>
        <v/>
      </c>
      <c r="V229" s="4" t="str">
        <f t="shared" si="37"/>
        <v/>
      </c>
    </row>
    <row r="230" spans="1:22" ht="15" customHeight="1">
      <c r="A230" s="2"/>
      <c r="B230" s="2"/>
      <c r="C230" s="2"/>
      <c r="D230" s="4" t="str">
        <f>IF(C230="","",VLOOKUP(C230,Referentie!$A$2:$B$19,2,0))</f>
        <v/>
      </c>
      <c r="E230" s="7"/>
      <c r="F230" s="4"/>
      <c r="G230" s="4"/>
      <c r="H230" s="4"/>
      <c r="I230" s="4"/>
      <c r="J230" s="4"/>
      <c r="K230" s="4"/>
      <c r="L230" s="4"/>
      <c r="M230" s="4"/>
      <c r="N230" s="4" t="str">
        <f>IF(M230="","",VLOOKUP(M230,Referentie!$G$2:$I$26,2,0))</f>
        <v/>
      </c>
      <c r="O230" s="4" t="str">
        <f>IF(M230="","",VLOOKUP(M230,Referentie!$G$2:$I$26,3,0))</f>
        <v/>
      </c>
      <c r="P230" s="4" t="str">
        <f t="shared" si="43"/>
        <v/>
      </c>
      <c r="Q230" s="4" t="str">
        <f t="shared" si="44"/>
        <v/>
      </c>
      <c r="R230" s="4" t="str">
        <f t="shared" si="45"/>
        <v/>
      </c>
      <c r="S230" s="4" t="str">
        <f t="shared" si="46"/>
        <v/>
      </c>
      <c r="T230" s="4" t="str">
        <f t="shared" si="36"/>
        <v/>
      </c>
      <c r="U230" s="4" t="str">
        <f t="shared" si="47"/>
        <v/>
      </c>
      <c r="V230" s="4" t="str">
        <f t="shared" si="37"/>
        <v/>
      </c>
    </row>
    <row r="231" spans="1:22" ht="15" customHeight="1">
      <c r="A231" s="2"/>
      <c r="B231" s="2"/>
      <c r="C231" s="2"/>
      <c r="D231" s="4" t="str">
        <f>IF(C231="","",VLOOKUP(C231,Referentie!$A$2:$B$19,2,0))</f>
        <v/>
      </c>
      <c r="E231" s="7"/>
      <c r="F231" s="4"/>
      <c r="G231" s="4"/>
      <c r="H231" s="4"/>
      <c r="I231" s="4"/>
      <c r="J231" s="4"/>
      <c r="K231" s="4"/>
      <c r="L231" s="4"/>
      <c r="M231" s="4"/>
      <c r="N231" s="4" t="str">
        <f>IF(M231="","",VLOOKUP(M231,Referentie!$G$2:$I$26,2,0))</f>
        <v/>
      </c>
      <c r="O231" s="4" t="str">
        <f>IF(M231="","",VLOOKUP(M231,Referentie!$G$2:$I$26,3,0))</f>
        <v/>
      </c>
      <c r="P231" s="4" t="str">
        <f t="shared" si="43"/>
        <v/>
      </c>
      <c r="Q231" s="4" t="str">
        <f t="shared" si="44"/>
        <v/>
      </c>
      <c r="R231" s="4" t="str">
        <f t="shared" si="45"/>
        <v/>
      </c>
      <c r="S231" s="4" t="str">
        <f t="shared" si="46"/>
        <v/>
      </c>
      <c r="T231" s="4" t="str">
        <f t="shared" si="36"/>
        <v/>
      </c>
      <c r="U231" s="4" t="str">
        <f t="shared" si="47"/>
        <v/>
      </c>
      <c r="V231" s="4" t="str">
        <f t="shared" si="37"/>
        <v/>
      </c>
    </row>
    <row r="232" spans="1:22" ht="15" customHeight="1">
      <c r="A232" s="2"/>
      <c r="B232" s="2"/>
      <c r="C232" s="2"/>
      <c r="D232" s="4" t="str">
        <f>IF(C232="","",VLOOKUP(C232,Referentie!$A$2:$B$19,2,0))</f>
        <v/>
      </c>
      <c r="E232" s="7"/>
      <c r="F232" s="4"/>
      <c r="G232" s="4"/>
      <c r="H232" s="4"/>
      <c r="I232" s="4"/>
      <c r="J232" s="4"/>
      <c r="K232" s="4"/>
      <c r="L232" s="4"/>
      <c r="M232" s="4"/>
      <c r="N232" s="4" t="str">
        <f>IF(M232="","",VLOOKUP(M232,Referentie!$G$2:$I$26,2,0))</f>
        <v/>
      </c>
      <c r="O232" s="4" t="str">
        <f>IF(M232="","",VLOOKUP(M232,Referentie!$G$2:$I$26,3,0))</f>
        <v/>
      </c>
      <c r="P232" s="4" t="str">
        <f t="shared" si="43"/>
        <v/>
      </c>
      <c r="Q232" s="4" t="str">
        <f t="shared" si="44"/>
        <v/>
      </c>
      <c r="R232" s="4" t="str">
        <f t="shared" si="45"/>
        <v/>
      </c>
      <c r="S232" s="4" t="str">
        <f t="shared" si="46"/>
        <v/>
      </c>
      <c r="T232" s="4" t="str">
        <f t="shared" si="36"/>
        <v/>
      </c>
      <c r="U232" s="4" t="str">
        <f t="shared" si="47"/>
        <v/>
      </c>
      <c r="V232" s="4" t="str">
        <f t="shared" si="37"/>
        <v/>
      </c>
    </row>
    <row r="233" spans="1:22" ht="15" customHeight="1">
      <c r="A233" s="2"/>
      <c r="B233" s="2"/>
      <c r="C233" s="2"/>
      <c r="D233" s="4" t="str">
        <f>IF(C233="","",VLOOKUP(C233,Referentie!$A$2:$B$19,2,0))</f>
        <v/>
      </c>
      <c r="E233" s="7"/>
      <c r="F233" s="4"/>
      <c r="G233" s="4"/>
      <c r="H233" s="4"/>
      <c r="I233" s="4"/>
      <c r="J233" s="4"/>
      <c r="K233" s="4"/>
      <c r="L233" s="4"/>
      <c r="M233" s="4"/>
      <c r="N233" s="4" t="str">
        <f>IF(M233="","",VLOOKUP(M233,Referentie!$G$2:$I$26,2,0))</f>
        <v/>
      </c>
      <c r="O233" s="4" t="str">
        <f>IF(M233="","",VLOOKUP(M233,Referentie!$G$2:$I$26,3,0))</f>
        <v/>
      </c>
      <c r="P233" s="4" t="str">
        <f t="shared" si="43"/>
        <v/>
      </c>
      <c r="Q233" s="4" t="str">
        <f t="shared" si="44"/>
        <v/>
      </c>
      <c r="R233" s="4" t="str">
        <f t="shared" si="45"/>
        <v/>
      </c>
      <c r="S233" s="4" t="str">
        <f t="shared" si="46"/>
        <v/>
      </c>
      <c r="T233" s="4" t="str">
        <f t="shared" si="36"/>
        <v/>
      </c>
      <c r="U233" s="4" t="str">
        <f t="shared" si="47"/>
        <v/>
      </c>
      <c r="V233" s="4" t="str">
        <f t="shared" si="37"/>
        <v/>
      </c>
    </row>
    <row r="234" spans="1:22" ht="15" customHeight="1">
      <c r="A234" s="2"/>
      <c r="B234" s="2"/>
      <c r="C234" s="2"/>
      <c r="D234" s="4" t="str">
        <f>IF(C234="","",VLOOKUP(C234,Referentie!$A$2:$B$19,2,0))</f>
        <v/>
      </c>
      <c r="E234" s="7"/>
      <c r="F234" s="4"/>
      <c r="G234" s="4"/>
      <c r="H234" s="4"/>
      <c r="I234" s="4"/>
      <c r="J234" s="4"/>
      <c r="K234" s="4"/>
      <c r="L234" s="4"/>
      <c r="M234" s="4"/>
      <c r="N234" s="4" t="str">
        <f>IF(M234="","",VLOOKUP(M234,Referentie!$G$2:$I$26,2,0))</f>
        <v/>
      </c>
      <c r="O234" s="4" t="str">
        <f>IF(M234="","",VLOOKUP(M234,Referentie!$G$2:$I$26,3,0))</f>
        <v/>
      </c>
      <c r="P234" s="4" t="str">
        <f t="shared" si="43"/>
        <v/>
      </c>
      <c r="Q234" s="4" t="str">
        <f t="shared" si="44"/>
        <v/>
      </c>
      <c r="R234" s="4" t="str">
        <f t="shared" si="45"/>
        <v/>
      </c>
      <c r="S234" s="4" t="str">
        <f t="shared" si="46"/>
        <v/>
      </c>
      <c r="T234" s="4" t="str">
        <f t="shared" si="36"/>
        <v/>
      </c>
      <c r="U234" s="4" t="str">
        <f t="shared" si="47"/>
        <v/>
      </c>
      <c r="V234" s="4" t="str">
        <f t="shared" si="37"/>
        <v/>
      </c>
    </row>
    <row r="235" spans="1:22" ht="15" customHeight="1">
      <c r="A235" s="2"/>
      <c r="B235" s="2"/>
      <c r="C235" s="2"/>
      <c r="D235" s="4" t="str">
        <f>IF(C235="","",VLOOKUP(C235,Referentie!$A$2:$B$19,2,0))</f>
        <v/>
      </c>
      <c r="E235" s="7"/>
      <c r="F235" s="4"/>
      <c r="G235" s="4"/>
      <c r="H235" s="4"/>
      <c r="I235" s="4"/>
      <c r="J235" s="4"/>
      <c r="K235" s="4"/>
      <c r="L235" s="4"/>
      <c r="M235" s="4"/>
      <c r="N235" s="4" t="str">
        <f>IF(M235="","",VLOOKUP(M235,Referentie!$G$2:$I$26,2,0))</f>
        <v/>
      </c>
      <c r="O235" s="4" t="str">
        <f>IF(M235="","",VLOOKUP(M235,Referentie!$G$2:$I$26,3,0))</f>
        <v/>
      </c>
      <c r="P235" s="4" t="str">
        <f t="shared" si="43"/>
        <v/>
      </c>
      <c r="Q235" s="4" t="str">
        <f t="shared" si="44"/>
        <v/>
      </c>
      <c r="R235" s="4" t="str">
        <f t="shared" si="45"/>
        <v/>
      </c>
      <c r="S235" s="4" t="str">
        <f t="shared" si="46"/>
        <v/>
      </c>
      <c r="T235" s="4" t="str">
        <f t="shared" si="36"/>
        <v/>
      </c>
      <c r="U235" s="4" t="str">
        <f t="shared" si="47"/>
        <v/>
      </c>
      <c r="V235" s="4" t="str">
        <f t="shared" si="37"/>
        <v/>
      </c>
    </row>
    <row r="236" spans="1:22" ht="15" customHeight="1">
      <c r="A236" s="2"/>
      <c r="B236" s="2"/>
      <c r="C236" s="2"/>
      <c r="D236" s="4" t="str">
        <f>IF(C236="","",VLOOKUP(C236,Referentie!$A$2:$B$19,2,0))</f>
        <v/>
      </c>
      <c r="E236" s="7"/>
      <c r="F236" s="4"/>
      <c r="G236" s="4"/>
      <c r="H236" s="4"/>
      <c r="I236" s="4"/>
      <c r="J236" s="4"/>
      <c r="K236" s="4"/>
      <c r="L236" s="4"/>
      <c r="M236" s="4"/>
      <c r="N236" s="4" t="str">
        <f>IF(M236="","",VLOOKUP(M236,Referentie!$G$2:$I$26,2,0))</f>
        <v/>
      </c>
      <c r="O236" s="4" t="str">
        <f>IF(M236="","",VLOOKUP(M236,Referentie!$G$2:$I$26,3,0))</f>
        <v/>
      </c>
      <c r="P236" s="4" t="str">
        <f t="shared" si="43"/>
        <v/>
      </c>
      <c r="Q236" s="4" t="str">
        <f t="shared" si="44"/>
        <v/>
      </c>
      <c r="R236" s="4" t="str">
        <f t="shared" si="45"/>
        <v/>
      </c>
      <c r="S236" s="4" t="str">
        <f t="shared" si="46"/>
        <v/>
      </c>
      <c r="T236" s="4" t="str">
        <f t="shared" si="36"/>
        <v/>
      </c>
      <c r="U236" s="4" t="str">
        <f t="shared" si="47"/>
        <v/>
      </c>
      <c r="V236" s="4" t="str">
        <f t="shared" si="37"/>
        <v/>
      </c>
    </row>
    <row r="237" spans="1:22" ht="15" customHeight="1">
      <c r="A237" s="2"/>
      <c r="B237" s="2"/>
      <c r="C237" s="2"/>
      <c r="D237" s="4" t="str">
        <f>IF(C237="","",VLOOKUP(C237,Referentie!$A$2:$B$19,2,0))</f>
        <v/>
      </c>
      <c r="E237" s="7"/>
      <c r="F237" s="4"/>
      <c r="G237" s="4"/>
      <c r="H237" s="4"/>
      <c r="I237" s="4"/>
      <c r="J237" s="4"/>
      <c r="K237" s="4"/>
      <c r="L237" s="4"/>
      <c r="M237" s="4"/>
      <c r="N237" s="4" t="str">
        <f>IF(M237="","",VLOOKUP(M237,Referentie!$G$2:$I$26,2,0))</f>
        <v/>
      </c>
      <c r="O237" s="4" t="str">
        <f>IF(M237="","",VLOOKUP(M237,Referentie!$G$2:$I$26,3,0))</f>
        <v/>
      </c>
      <c r="P237" s="4" t="str">
        <f t="shared" si="43"/>
        <v/>
      </c>
      <c r="Q237" s="4" t="str">
        <f t="shared" si="44"/>
        <v/>
      </c>
      <c r="R237" s="4" t="str">
        <f t="shared" si="45"/>
        <v/>
      </c>
      <c r="S237" s="4" t="str">
        <f t="shared" si="46"/>
        <v/>
      </c>
      <c r="T237" s="4" t="str">
        <f t="shared" si="36"/>
        <v/>
      </c>
      <c r="U237" s="4" t="str">
        <f t="shared" si="47"/>
        <v/>
      </c>
      <c r="V237" s="4" t="str">
        <f t="shared" si="37"/>
        <v/>
      </c>
    </row>
    <row r="238" spans="1:22" ht="15" customHeight="1">
      <c r="A238" s="2"/>
      <c r="B238" s="2"/>
      <c r="C238" s="2"/>
      <c r="D238" s="4" t="str">
        <f>IF(C238="","",VLOOKUP(C238,Referentie!$A$2:$B$19,2,0))</f>
        <v/>
      </c>
      <c r="E238" s="7"/>
      <c r="F238" s="4"/>
      <c r="G238" s="4"/>
      <c r="H238" s="4"/>
      <c r="I238" s="4"/>
      <c r="J238" s="4"/>
      <c r="K238" s="4"/>
      <c r="L238" s="4"/>
      <c r="M238" s="4"/>
      <c r="N238" s="4" t="str">
        <f>IF(M238="","",VLOOKUP(M238,Referentie!$G$2:$I$26,2,0))</f>
        <v/>
      </c>
      <c r="O238" s="4" t="str">
        <f>IF(M238="","",VLOOKUP(M238,Referentie!$G$2:$I$26,3,0))</f>
        <v/>
      </c>
      <c r="P238" s="4" t="str">
        <f t="shared" si="43"/>
        <v/>
      </c>
      <c r="Q238" s="4" t="str">
        <f t="shared" si="44"/>
        <v/>
      </c>
      <c r="R238" s="4" t="str">
        <f t="shared" si="45"/>
        <v/>
      </c>
      <c r="S238" s="4" t="str">
        <f t="shared" si="46"/>
        <v/>
      </c>
      <c r="T238" s="4" t="str">
        <f t="shared" si="36"/>
        <v/>
      </c>
      <c r="U238" s="4" t="str">
        <f t="shared" si="47"/>
        <v/>
      </c>
      <c r="V238" s="4" t="str">
        <f t="shared" si="37"/>
        <v/>
      </c>
    </row>
    <row r="239" spans="1:22" ht="15" customHeight="1">
      <c r="A239" s="2"/>
      <c r="B239" s="2"/>
      <c r="C239" s="2"/>
      <c r="D239" s="4" t="str">
        <f>IF(C239="","",VLOOKUP(C239,Referentie!$A$2:$B$19,2,0))</f>
        <v/>
      </c>
      <c r="E239" s="7"/>
      <c r="F239" s="4"/>
      <c r="G239" s="4"/>
      <c r="H239" s="4"/>
      <c r="I239" s="4"/>
      <c r="J239" s="4"/>
      <c r="K239" s="4"/>
      <c r="L239" s="4"/>
      <c r="M239" s="4"/>
      <c r="N239" s="4" t="str">
        <f>IF(M239="","",VLOOKUP(M239,Referentie!$G$2:$I$26,2,0))</f>
        <v/>
      </c>
      <c r="O239" s="4" t="str">
        <f>IF(M239="","",VLOOKUP(M239,Referentie!$G$2:$I$26,3,0))</f>
        <v/>
      </c>
      <c r="P239" s="4" t="str">
        <f t="shared" si="43"/>
        <v/>
      </c>
      <c r="Q239" s="4" t="str">
        <f t="shared" si="44"/>
        <v/>
      </c>
      <c r="R239" s="4" t="str">
        <f t="shared" si="45"/>
        <v/>
      </c>
      <c r="S239" s="4" t="str">
        <f t="shared" si="46"/>
        <v/>
      </c>
      <c r="T239" s="4" t="str">
        <f t="shared" si="36"/>
        <v/>
      </c>
      <c r="U239" s="4" t="str">
        <f t="shared" si="47"/>
        <v/>
      </c>
      <c r="V239" s="4" t="str">
        <f t="shared" si="37"/>
        <v/>
      </c>
    </row>
    <row r="240" spans="1:22" ht="15" customHeight="1">
      <c r="A240" s="2"/>
      <c r="B240" s="2"/>
      <c r="C240" s="2"/>
      <c r="D240" s="4" t="str">
        <f>IF(C240="","",VLOOKUP(C240,Referentie!$A$2:$B$19,2,0))</f>
        <v/>
      </c>
      <c r="E240" s="7"/>
      <c r="F240" s="4"/>
      <c r="G240" s="4"/>
      <c r="H240" s="4"/>
      <c r="I240" s="4"/>
      <c r="J240" s="4"/>
      <c r="K240" s="4"/>
      <c r="L240" s="4"/>
      <c r="M240" s="4"/>
      <c r="N240" s="4" t="str">
        <f>IF(M240="","",VLOOKUP(M240,Referentie!$G$2:$I$26,2,0))</f>
        <v/>
      </c>
      <c r="O240" s="4" t="str">
        <f>IF(M240="","",VLOOKUP(M240,Referentie!$G$2:$I$26,3,0))</f>
        <v/>
      </c>
      <c r="P240" s="4" t="str">
        <f t="shared" si="43"/>
        <v/>
      </c>
      <c r="Q240" s="4" t="str">
        <f t="shared" si="44"/>
        <v/>
      </c>
      <c r="R240" s="4" t="str">
        <f t="shared" si="45"/>
        <v/>
      </c>
      <c r="S240" s="4" t="str">
        <f t="shared" si="46"/>
        <v/>
      </c>
      <c r="T240" s="4" t="str">
        <f t="shared" si="36"/>
        <v/>
      </c>
      <c r="U240" s="4" t="str">
        <f t="shared" si="47"/>
        <v/>
      </c>
      <c r="V240" s="4" t="str">
        <f t="shared" si="37"/>
        <v/>
      </c>
    </row>
    <row r="241" spans="1:22" ht="15" customHeight="1">
      <c r="A241" s="2"/>
      <c r="B241" s="2"/>
      <c r="C241" s="2"/>
      <c r="D241" s="4" t="str">
        <f>IF(C241="","",VLOOKUP(C241,Referentie!$A$2:$B$19,2,0))</f>
        <v/>
      </c>
      <c r="E241" s="7"/>
      <c r="F241" s="4"/>
      <c r="G241" s="4"/>
      <c r="H241" s="4"/>
      <c r="I241" s="4"/>
      <c r="J241" s="4"/>
      <c r="K241" s="4"/>
      <c r="L241" s="4"/>
      <c r="M241" s="4"/>
      <c r="N241" s="4" t="str">
        <f>IF(M241="","",VLOOKUP(M241,Referentie!$G$2:$I$26,2,0))</f>
        <v/>
      </c>
      <c r="O241" s="4" t="str">
        <f>IF(M241="","",VLOOKUP(M241,Referentie!$G$2:$I$26,3,0))</f>
        <v/>
      </c>
      <c r="P241" s="4" t="str">
        <f t="shared" si="43"/>
        <v/>
      </c>
      <c r="Q241" s="4" t="str">
        <f t="shared" si="44"/>
        <v/>
      </c>
      <c r="R241" s="4" t="str">
        <f t="shared" si="45"/>
        <v/>
      </c>
      <c r="S241" s="4" t="str">
        <f t="shared" si="46"/>
        <v/>
      </c>
      <c r="T241" s="4" t="str">
        <f t="shared" si="36"/>
        <v/>
      </c>
      <c r="U241" s="4" t="str">
        <f t="shared" si="47"/>
        <v/>
      </c>
      <c r="V241" s="4" t="str">
        <f t="shared" si="37"/>
        <v/>
      </c>
    </row>
    <row r="242" spans="1:22" ht="15" customHeight="1">
      <c r="A242" s="2"/>
      <c r="B242" s="2"/>
      <c r="C242" s="2"/>
      <c r="D242" s="4" t="str">
        <f>IF(C242="","",VLOOKUP(C242,Referentie!$A$2:$B$19,2,0))</f>
        <v/>
      </c>
      <c r="E242" s="7"/>
      <c r="F242" s="4"/>
      <c r="G242" s="4"/>
      <c r="H242" s="4"/>
      <c r="I242" s="4"/>
      <c r="J242" s="4"/>
      <c r="K242" s="4"/>
      <c r="L242" s="4"/>
      <c r="M242" s="4"/>
      <c r="N242" s="4" t="str">
        <f>IF(M242="","",VLOOKUP(M242,Referentie!$G$2:$I$26,2,0))</f>
        <v/>
      </c>
      <c r="O242" s="4" t="str">
        <f>IF(M242="","",VLOOKUP(M242,Referentie!$G$2:$I$26,3,0))</f>
        <v/>
      </c>
      <c r="P242" s="4" t="str">
        <f t="shared" si="43"/>
        <v/>
      </c>
      <c r="Q242" s="4" t="str">
        <f t="shared" si="44"/>
        <v/>
      </c>
      <c r="R242" s="4" t="str">
        <f t="shared" si="45"/>
        <v/>
      </c>
      <c r="S242" s="4" t="str">
        <f t="shared" si="46"/>
        <v/>
      </c>
      <c r="T242" s="4" t="str">
        <f t="shared" si="36"/>
        <v/>
      </c>
      <c r="U242" s="4" t="str">
        <f t="shared" si="47"/>
        <v/>
      </c>
      <c r="V242" s="4" t="str">
        <f t="shared" si="37"/>
        <v/>
      </c>
    </row>
    <row r="243" spans="1:22" ht="15" customHeight="1">
      <c r="A243" s="2"/>
      <c r="B243" s="2"/>
      <c r="C243" s="2"/>
      <c r="D243" s="4" t="str">
        <f>IF(C243="","",VLOOKUP(C243,Referentie!$A$2:$B$19,2,0))</f>
        <v/>
      </c>
      <c r="E243" s="7"/>
      <c r="F243" s="4"/>
      <c r="G243" s="4"/>
      <c r="H243" s="4"/>
      <c r="I243" s="4"/>
      <c r="J243" s="4"/>
      <c r="K243" s="4"/>
      <c r="L243" s="4"/>
      <c r="M243" s="4"/>
      <c r="N243" s="4" t="str">
        <f>IF(M243="","",VLOOKUP(M243,Referentie!$G$2:$I$26,2,0))</f>
        <v/>
      </c>
      <c r="O243" s="4" t="str">
        <f>IF(M243="","",VLOOKUP(M243,Referentie!$G$2:$I$26,3,0))</f>
        <v/>
      </c>
      <c r="P243" s="4" t="str">
        <f t="shared" si="43"/>
        <v/>
      </c>
      <c r="Q243" s="4" t="str">
        <f t="shared" si="44"/>
        <v/>
      </c>
      <c r="R243" s="4" t="str">
        <f t="shared" si="45"/>
        <v/>
      </c>
      <c r="S243" s="4" t="str">
        <f t="shared" si="46"/>
        <v/>
      </c>
      <c r="T243" s="4" t="str">
        <f t="shared" si="36"/>
        <v/>
      </c>
      <c r="U243" s="4" t="str">
        <f t="shared" si="47"/>
        <v/>
      </c>
      <c r="V243" s="4" t="str">
        <f t="shared" si="37"/>
        <v/>
      </c>
    </row>
    <row r="244" spans="1:22" ht="15" customHeight="1">
      <c r="A244" s="2"/>
      <c r="B244" s="2"/>
      <c r="C244" s="2"/>
      <c r="D244" s="4" t="str">
        <f>IF(C244="","",VLOOKUP(C244,Referentie!$A$2:$B$19,2,0))</f>
        <v/>
      </c>
      <c r="E244" s="7"/>
      <c r="F244" s="4"/>
      <c r="G244" s="4"/>
      <c r="H244" s="4"/>
      <c r="I244" s="4"/>
      <c r="J244" s="4"/>
      <c r="K244" s="4"/>
      <c r="L244" s="4"/>
      <c r="M244" s="4"/>
      <c r="N244" s="4" t="str">
        <f>IF(M244="","",VLOOKUP(M244,Referentie!$G$2:$I$26,2,0))</f>
        <v/>
      </c>
      <c r="O244" s="4" t="str">
        <f>IF(M244="","",VLOOKUP(M244,Referentie!$G$2:$I$26,3,0))</f>
        <v/>
      </c>
      <c r="P244" s="4" t="str">
        <f t="shared" si="43"/>
        <v/>
      </c>
      <c r="Q244" s="4" t="str">
        <f t="shared" si="44"/>
        <v/>
      </c>
      <c r="R244" s="4" t="str">
        <f t="shared" si="45"/>
        <v/>
      </c>
      <c r="S244" s="4" t="str">
        <f t="shared" si="46"/>
        <v/>
      </c>
      <c r="T244" s="4" t="str">
        <f t="shared" si="36"/>
        <v/>
      </c>
      <c r="U244" s="4" t="str">
        <f t="shared" si="47"/>
        <v/>
      </c>
      <c r="V244" s="4" t="str">
        <f t="shared" si="37"/>
        <v/>
      </c>
    </row>
    <row r="245" spans="1:22" ht="15" customHeight="1">
      <c r="A245" s="2"/>
      <c r="B245" s="2"/>
      <c r="C245" s="2"/>
      <c r="D245" s="4" t="str">
        <f>IF(C245="","",VLOOKUP(C245,Referentie!$A$2:$B$19,2,0))</f>
        <v/>
      </c>
      <c r="E245" s="7"/>
      <c r="F245" s="4"/>
      <c r="G245" s="4"/>
      <c r="H245" s="4"/>
      <c r="I245" s="4"/>
      <c r="J245" s="4"/>
      <c r="K245" s="4"/>
      <c r="L245" s="4"/>
      <c r="M245" s="4"/>
      <c r="N245" s="4" t="str">
        <f>IF(M245="","",VLOOKUP(M245,Referentie!$G$2:$I$26,2,0))</f>
        <v/>
      </c>
      <c r="O245" s="4" t="str">
        <f>IF(M245="","",VLOOKUP(M245,Referentie!$G$2:$I$26,3,0))</f>
        <v/>
      </c>
      <c r="P245" s="4" t="str">
        <f t="shared" si="43"/>
        <v/>
      </c>
      <c r="Q245" s="4" t="str">
        <f t="shared" si="44"/>
        <v/>
      </c>
      <c r="R245" s="4" t="str">
        <f t="shared" si="45"/>
        <v/>
      </c>
      <c r="S245" s="4" t="str">
        <f t="shared" si="46"/>
        <v/>
      </c>
      <c r="T245" s="4" t="str">
        <f t="shared" si="36"/>
        <v/>
      </c>
      <c r="U245" s="4" t="str">
        <f t="shared" si="47"/>
        <v/>
      </c>
      <c r="V245" s="4" t="str">
        <f t="shared" si="37"/>
        <v/>
      </c>
    </row>
    <row r="246" spans="1:22" ht="15" customHeight="1">
      <c r="A246" s="2"/>
      <c r="B246" s="2"/>
      <c r="C246" s="2"/>
      <c r="D246" s="4" t="str">
        <f>IF(C246="","",VLOOKUP(C246,Referentie!$A$2:$B$19,2,0))</f>
        <v/>
      </c>
      <c r="E246" s="7"/>
      <c r="F246" s="4"/>
      <c r="G246" s="4"/>
      <c r="H246" s="4"/>
      <c r="I246" s="4"/>
      <c r="J246" s="4"/>
      <c r="K246" s="4"/>
      <c r="L246" s="4"/>
      <c r="M246" s="4"/>
      <c r="N246" s="4" t="str">
        <f>IF(M246="","",VLOOKUP(M246,Referentie!$G$2:$I$26,2,0))</f>
        <v/>
      </c>
      <c r="O246" s="4" t="str">
        <f>IF(M246="","",VLOOKUP(M246,Referentie!$G$2:$I$26,3,0))</f>
        <v/>
      </c>
      <c r="P246" s="4" t="str">
        <f t="shared" si="43"/>
        <v/>
      </c>
      <c r="Q246" s="4" t="str">
        <f t="shared" si="44"/>
        <v/>
      </c>
      <c r="R246" s="4" t="str">
        <f t="shared" si="45"/>
        <v/>
      </c>
      <c r="S246" s="4" t="str">
        <f t="shared" si="46"/>
        <v/>
      </c>
      <c r="T246" s="4" t="str">
        <f t="shared" si="36"/>
        <v/>
      </c>
      <c r="U246" s="4" t="str">
        <f t="shared" si="47"/>
        <v/>
      </c>
      <c r="V246" s="4" t="str">
        <f t="shared" si="37"/>
        <v/>
      </c>
    </row>
    <row r="247" spans="1:22" ht="15" customHeight="1">
      <c r="A247" s="2"/>
      <c r="B247" s="2"/>
      <c r="C247" s="2"/>
      <c r="D247" s="4" t="str">
        <f>IF(C247="","",VLOOKUP(C247,Referentie!$A$2:$B$19,2,0))</f>
        <v/>
      </c>
      <c r="E247" s="7"/>
      <c r="F247" s="4"/>
      <c r="G247" s="4"/>
      <c r="H247" s="4"/>
      <c r="I247" s="4"/>
      <c r="J247" s="4"/>
      <c r="K247" s="4"/>
      <c r="L247" s="4"/>
      <c r="M247" s="4"/>
      <c r="N247" s="4" t="str">
        <f>IF(M247="","",VLOOKUP(M247,Referentie!$G$2:$I$26,2,0))</f>
        <v/>
      </c>
      <c r="O247" s="4" t="str">
        <f>IF(M247="","",VLOOKUP(M247,Referentie!$G$2:$I$26,3,0))</f>
        <v/>
      </c>
      <c r="P247" s="4" t="str">
        <f t="shared" si="43"/>
        <v/>
      </c>
      <c r="Q247" s="4" t="str">
        <f t="shared" si="44"/>
        <v/>
      </c>
      <c r="R247" s="4" t="str">
        <f t="shared" si="45"/>
        <v/>
      </c>
      <c r="S247" s="4" t="str">
        <f t="shared" si="46"/>
        <v/>
      </c>
      <c r="T247" s="4" t="str">
        <f t="shared" si="36"/>
        <v/>
      </c>
      <c r="U247" s="4" t="str">
        <f t="shared" si="47"/>
        <v/>
      </c>
      <c r="V247" s="4" t="str">
        <f t="shared" si="37"/>
        <v/>
      </c>
    </row>
    <row r="248" spans="1:22" ht="15" customHeight="1">
      <c r="A248" s="2"/>
      <c r="B248" s="2"/>
      <c r="C248" s="2"/>
      <c r="D248" s="4" t="str">
        <f>IF(C248="","",VLOOKUP(C248,Referentie!$A$2:$B$19,2,0))</f>
        <v/>
      </c>
      <c r="E248" s="7"/>
      <c r="F248" s="4"/>
      <c r="G248" s="4"/>
      <c r="H248" s="4"/>
      <c r="I248" s="4"/>
      <c r="J248" s="4"/>
      <c r="K248" s="4"/>
      <c r="L248" s="4"/>
      <c r="M248" s="4"/>
      <c r="N248" s="4" t="str">
        <f>IF(M248="","",VLOOKUP(M248,Referentie!$G$2:$I$26,2,0))</f>
        <v/>
      </c>
      <c r="O248" s="4" t="str">
        <f>IF(M248="","",VLOOKUP(M248,Referentie!$G$2:$I$26,3,0))</f>
        <v/>
      </c>
      <c r="P248" s="4" t="str">
        <f t="shared" si="43"/>
        <v/>
      </c>
      <c r="Q248" s="4" t="str">
        <f t="shared" si="44"/>
        <v/>
      </c>
      <c r="R248" s="4" t="str">
        <f t="shared" si="45"/>
        <v/>
      </c>
      <c r="S248" s="4" t="str">
        <f t="shared" si="46"/>
        <v/>
      </c>
      <c r="T248" s="4" t="str">
        <f t="shared" si="36"/>
        <v/>
      </c>
      <c r="U248" s="4" t="str">
        <f t="shared" si="47"/>
        <v/>
      </c>
      <c r="V248" s="4" t="str">
        <f t="shared" si="37"/>
        <v/>
      </c>
    </row>
    <row r="249" spans="1:22" ht="15" customHeight="1">
      <c r="A249" s="2"/>
      <c r="B249" s="2"/>
      <c r="C249" s="2"/>
      <c r="D249" s="4" t="str">
        <f>IF(C249="","",VLOOKUP(C249,Referentie!$A$2:$B$19,2,0))</f>
        <v/>
      </c>
      <c r="E249" s="7"/>
      <c r="F249" s="4"/>
      <c r="G249" s="4"/>
      <c r="H249" s="4"/>
      <c r="I249" s="4"/>
      <c r="J249" s="4"/>
      <c r="K249" s="4"/>
      <c r="L249" s="4"/>
      <c r="M249" s="4"/>
      <c r="N249" s="4" t="str">
        <f>IF(M249="","",VLOOKUP(M249,Referentie!$G$2:$I$26,2,0))</f>
        <v/>
      </c>
      <c r="O249" s="4" t="str">
        <f>IF(M249="","",VLOOKUP(M249,Referentie!$G$2:$I$26,3,0))</f>
        <v/>
      </c>
      <c r="P249" s="4" t="str">
        <f t="shared" si="43"/>
        <v/>
      </c>
      <c r="Q249" s="4" t="str">
        <f t="shared" si="44"/>
        <v/>
      </c>
      <c r="R249" s="4" t="str">
        <f t="shared" si="45"/>
        <v/>
      </c>
      <c r="S249" s="4" t="str">
        <f t="shared" si="46"/>
        <v/>
      </c>
      <c r="T249" s="4" t="str">
        <f t="shared" si="36"/>
        <v/>
      </c>
      <c r="U249" s="4" t="str">
        <f t="shared" si="47"/>
        <v/>
      </c>
      <c r="V249" s="4" t="str">
        <f t="shared" si="37"/>
        <v/>
      </c>
    </row>
    <row r="250" spans="1:22" ht="15" customHeight="1">
      <c r="A250" s="2"/>
      <c r="B250" s="2"/>
      <c r="C250" s="2"/>
      <c r="D250" s="4" t="str">
        <f>IF(C250="","",VLOOKUP(C250,Referentie!$A$2:$B$19,2,0))</f>
        <v/>
      </c>
      <c r="E250" s="7"/>
      <c r="F250" s="4"/>
      <c r="G250" s="4"/>
      <c r="H250" s="4"/>
      <c r="I250" s="4"/>
      <c r="J250" s="4"/>
      <c r="K250" s="4"/>
      <c r="L250" s="4"/>
      <c r="M250" s="4"/>
      <c r="N250" s="4" t="str">
        <f>IF(M250="","",VLOOKUP(M250,Referentie!$G$2:$I$26,2,0))</f>
        <v/>
      </c>
      <c r="O250" s="4" t="str">
        <f>IF(M250="","",VLOOKUP(M250,Referentie!$G$2:$I$26,3,0))</f>
        <v/>
      </c>
      <c r="P250" s="4" t="str">
        <f t="shared" si="43"/>
        <v/>
      </c>
      <c r="Q250" s="4" t="str">
        <f t="shared" si="44"/>
        <v/>
      </c>
      <c r="R250" s="4" t="str">
        <f t="shared" si="45"/>
        <v/>
      </c>
      <c r="S250" s="4" t="str">
        <f t="shared" si="46"/>
        <v/>
      </c>
      <c r="T250" s="4" t="str">
        <f t="shared" si="36"/>
        <v/>
      </c>
      <c r="U250" s="4" t="str">
        <f t="shared" si="47"/>
        <v/>
      </c>
      <c r="V250" s="4" t="str">
        <f t="shared" si="37"/>
        <v/>
      </c>
    </row>
  </sheetData>
  <conditionalFormatting sqref="F2:F1048576">
    <cfRule type="expression" dxfId="25" priority="24">
      <formula>AND($B2&lt;30,F2&lt;&gt;"")</formula>
    </cfRule>
    <cfRule type="expression" dxfId="24" priority="25">
      <formula>$B2&gt;=30</formula>
    </cfRule>
  </conditionalFormatting>
  <conditionalFormatting sqref="G2:G1048576">
    <cfRule type="expression" dxfId="23" priority="22">
      <formula>AND($B2&lt;60,G2&lt;&gt;"")</formula>
    </cfRule>
    <cfRule type="expression" dxfId="22" priority="23">
      <formula>$B2&gt;=60</formula>
    </cfRule>
  </conditionalFormatting>
  <conditionalFormatting sqref="H2:H250">
    <cfRule type="expression" dxfId="21" priority="38">
      <formula>AND($B2&gt;=10,H2&lt;&gt;"")</formula>
    </cfRule>
    <cfRule type="expression" dxfId="20" priority="39">
      <formula>AND($B2&lt;10,H2&lt;&gt;"")</formula>
    </cfRule>
  </conditionalFormatting>
  <conditionalFormatting sqref="H2:L250">
    <cfRule type="expression" dxfId="19" priority="36">
      <formula>OR(H2="Berry Finding S",H2="Helping Bonus",H2="Sleep EXP Bonus",H2="Skill Level Up M",H2="Research EXP Bonus",H2="Energy Recovery Bonus",H2="Dream Shard Bonus")</formula>
    </cfRule>
    <cfRule type="expression" dxfId="18" priority="37">
      <formula>OR(H2="Skill Trigger M",H2="Skill Level Up S",H2="Inventory Up M",H2="Inventory Up L",H2="Ingredient Finder M",H2="Helping Speed M")</formula>
    </cfRule>
  </conditionalFormatting>
  <conditionalFormatting sqref="I2:I250">
    <cfRule type="expression" dxfId="17" priority="40">
      <formula>AND($B2&gt;=25,I2&lt;&gt;"")</formula>
    </cfRule>
    <cfRule type="expression" dxfId="16" priority="41">
      <formula>AND($B2&lt;25,I2&lt;&gt;"")</formula>
    </cfRule>
  </conditionalFormatting>
  <conditionalFormatting sqref="J2:J250">
    <cfRule type="expression" dxfId="15" priority="42">
      <formula>AND($B2&gt;=50,J2&lt;&gt;"")</formula>
    </cfRule>
    <cfRule type="expression" dxfId="14" priority="43">
      <formula>AND($B2&lt;50,J2&lt;&gt;"")</formula>
    </cfRule>
  </conditionalFormatting>
  <conditionalFormatting sqref="K2:K250">
    <cfRule type="expression" dxfId="13" priority="44">
      <formula>AND($B2&gt;=75,K2&lt;&gt;"")</formula>
    </cfRule>
    <cfRule type="expression" dxfId="12" priority="45">
      <formula>AND($B2&lt;75,K2&lt;&gt;"")</formula>
    </cfRule>
  </conditionalFormatting>
  <conditionalFormatting sqref="L2:L250">
    <cfRule type="expression" dxfId="11" priority="46">
      <formula>AND($B2&gt;=100,L2&lt;&gt;"")</formula>
    </cfRule>
    <cfRule type="expression" dxfId="10" priority="47">
      <formula>AND($B2&lt;100,L2&lt;&gt;"")</formula>
    </cfRule>
  </conditionalFormatting>
  <conditionalFormatting sqref="N2:N1048576">
    <cfRule type="expression" dxfId="9" priority="2">
      <formula>AND(N2&lt;&gt;"",N2&lt;&gt;"Neutral")</formula>
    </cfRule>
  </conditionalFormatting>
  <conditionalFormatting sqref="O2:O1048576">
    <cfRule type="expression" dxfId="8" priority="1">
      <formula>AND(O2&lt;&gt;"",O2&lt;&gt;"Neutral")</formula>
    </cfRule>
  </conditionalFormatting>
  <conditionalFormatting sqref="S2:S200">
    <cfRule type="containsText" dxfId="7" priority="28" operator="containsText" text="Berry">
      <formula>NOT(ISERROR(SEARCH("Berry",S2)))</formula>
    </cfRule>
    <cfRule type="containsText" dxfId="6" priority="29" operator="containsText" text="Ingredient">
      <formula>NOT(ISERROR(SEARCH("Ingredient",S2)))</formula>
    </cfRule>
    <cfRule type="containsText" dxfId="5" priority="30" operator="containsText" text="Skill">
      <formula>NOT(ISERROR(SEARCH("Skill",S2)))</formula>
    </cfRule>
    <cfRule type="containsText" dxfId="4" priority="31" operator="containsText" text="Bench">
      <formula>NOT(ISERROR(SEARCH("Bench",S2)))</formula>
    </cfRule>
  </conditionalFormatting>
  <conditionalFormatting sqref="U2:U200">
    <cfRule type="containsText" dxfId="3" priority="32" operator="containsText" text="Keep">
      <formula>NOT(ISERROR(SEARCH("Keep",U2)))</formula>
    </cfRule>
    <cfRule type="containsText" dxfId="2" priority="33" operator="containsText" text="Level Up">
      <formula>NOT(ISERROR(SEARCH("Level Up",U2)))</formula>
    </cfRule>
    <cfRule type="containsText" dxfId="1" priority="34" operator="containsText" text="Bench">
      <formula>NOT(ISERROR(SEARCH("Bench",U2)))</formula>
    </cfRule>
    <cfRule type="containsText" dxfId="0" priority="35" operator="containsText" text="Transfer">
      <formula>NOT(ISERROR(SEARCH("Transfer",U2)))</formula>
    </cfRule>
  </conditionalFormatting>
  <pageMargins left="0.7" right="0.7" top="0.75" bottom="0.75" header="0.3" footer="0.3"/>
  <pageSetup paperSize="148" orientation="portrait" horizontalDpi="1200" verticalDpi="12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E0799A-1EAC-4AE1-9145-C3E0594DB504}">
          <x14:formula1>
            <xm:f>Referentie!$K:$K</xm:f>
          </x14:formula1>
          <xm:sqref>A1:A1048576</xm:sqref>
        </x14:dataValidation>
        <x14:dataValidation type="list" allowBlank="1" showInputMessage="1" showErrorMessage="1" xr:uid="{044717C3-EB1A-4C15-88F0-B2BE18D1B8BD}">
          <x14:formula1>
            <xm:f>Referentie!$A$2:$A$19</xm:f>
          </x14:formula1>
          <xm:sqref>C2:C1048576</xm:sqref>
        </x14:dataValidation>
        <x14:dataValidation type="list" allowBlank="1" showInputMessage="1" showErrorMessage="1" xr:uid="{BA51CC5F-81E3-419A-A2CF-B4F7235E69AA}">
          <x14:formula1>
            <xm:f>Referentie!$D$2:$D$20</xm:f>
          </x14:formula1>
          <xm:sqref>F1:G1048576 E1:E1048576</xm:sqref>
        </x14:dataValidation>
        <x14:dataValidation type="list" allowBlank="1" showInputMessage="1" showErrorMessage="1" xr:uid="{6F8C1C8B-0B6E-430E-BF20-087E04666CE9}">
          <x14:formula1>
            <xm:f>Referentie!$E$2:$E$18</xm:f>
          </x14:formula1>
          <xm:sqref>H1:L1048576</xm:sqref>
        </x14:dataValidation>
        <x14:dataValidation type="list" allowBlank="1" showInputMessage="1" showErrorMessage="1" xr:uid="{8EEACC50-D0F3-4C1C-B1D5-4A6AA72C70F1}">
          <x14:formula1>
            <xm:f>Referentie!$G$2:$G$26</xm:f>
          </x14:formula1>
          <xm:sqref>M2:M250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250"/>
  <sheetViews>
    <sheetView workbookViewId="0">
      <pane ySplit="11" topLeftCell="A12" activePane="bottomLeft" state="frozen"/>
      <selection activeCell="E7" sqref="E7"/>
      <selection pane="bottomLeft" activeCell="H16" sqref="H16"/>
    </sheetView>
  </sheetViews>
  <sheetFormatPr defaultRowHeight="15"/>
  <cols>
    <col min="1" max="1" width="4" customWidth="1"/>
    <col min="2" max="2" width="16" style="56" customWidth="1"/>
    <col min="3" max="3" width="16" customWidth="1"/>
    <col min="4" max="4" width="10" customWidth="1"/>
    <col min="5" max="5" width="18" customWidth="1"/>
    <col min="6" max="6" width="2" customWidth="1"/>
    <col min="7" max="7" width="4" customWidth="1"/>
    <col min="8" max="8" width="16" customWidth="1"/>
    <col min="9" max="9" width="18" customWidth="1"/>
    <col min="10" max="10" width="10" customWidth="1"/>
    <col min="11" max="11" width="18" customWidth="1"/>
    <col min="12" max="12" width="2" customWidth="1"/>
    <col min="13" max="13" width="4" customWidth="1"/>
    <col min="14" max="14" width="16" customWidth="1"/>
    <col min="15" max="15" width="22" customWidth="1"/>
    <col min="16" max="16" width="10" customWidth="1"/>
    <col min="17" max="17" width="18" customWidth="1"/>
  </cols>
  <sheetData>
    <row r="1" spans="1:41" ht="26.1" customHeight="1">
      <c r="A1" s="66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AA1" t="s">
        <v>1</v>
      </c>
      <c r="AB1" t="s">
        <v>7</v>
      </c>
      <c r="AC1" t="s">
        <v>8</v>
      </c>
      <c r="AD1" t="s">
        <v>9</v>
      </c>
      <c r="AE1" t="s">
        <v>3</v>
      </c>
      <c r="AF1" t="s">
        <v>4</v>
      </c>
      <c r="AG1" t="s">
        <v>5</v>
      </c>
      <c r="AH1" t="s">
        <v>10</v>
      </c>
      <c r="AI1" t="s">
        <v>6</v>
      </c>
      <c r="AJ1" t="s">
        <v>1</v>
      </c>
      <c r="AK1" t="s">
        <v>11</v>
      </c>
      <c r="AL1" t="s">
        <v>3</v>
      </c>
      <c r="AM1" t="s">
        <v>4</v>
      </c>
      <c r="AN1" t="s">
        <v>5</v>
      </c>
      <c r="AO1" t="s">
        <v>6</v>
      </c>
    </row>
    <row r="2" spans="1:41">
      <c r="S2" t="str">
        <f>Data!A2</f>
        <v>Pikachu</v>
      </c>
      <c r="T2" t="str">
        <f>Data!D2</f>
        <v>Grepa</v>
      </c>
      <c r="U2">
        <f>Data!B2</f>
        <v>15</v>
      </c>
      <c r="V2">
        <f>Data!P2</f>
        <v>-2</v>
      </c>
      <c r="W2" t="str">
        <f>Data!N2</f>
        <v>Ingredient Finding</v>
      </c>
      <c r="X2">
        <f t="shared" ref="X2:X65" si="0">IF(OR(T2=$B$5,T2=$B$6,T2=$B$7),(V2*1000)+U2+ROW()/1000000,0)</f>
        <v>-1984.999998</v>
      </c>
      <c r="AA2" t="str">
        <f>Data!A2</f>
        <v>Pikachu</v>
      </c>
      <c r="AB2" t="str">
        <f>Data!E2</f>
        <v>Fancy Apple</v>
      </c>
      <c r="AC2" t="str">
        <f>Data!F2</f>
        <v>Warming Ginger</v>
      </c>
      <c r="AD2" t="str">
        <f>Data!G2</f>
        <v>Fancy Apple</v>
      </c>
      <c r="AE2">
        <f>Data!B2</f>
        <v>15</v>
      </c>
      <c r="AF2">
        <f>Data!Q2</f>
        <v>6.5</v>
      </c>
      <c r="AG2" t="str">
        <f>Data!N2</f>
        <v>Ingredient Finding</v>
      </c>
      <c r="AH2">
        <f>(IF($H$5="Curries/Stews",COUNTIF(Helper_Ingredient!$N$3:$N$20,AB2),IF($H$5="Salads",COUNTIF(Helper_Ingredient!$O$3:$O$20,AB2),COUNTIF(Helper_Ingredient!$P$3:$P$19,AB2)))&gt;0)+IF(AE2&gt;=30,(IF($H$5="Curries/Stews",COUNTIF(Helper_Ingredient!$N$3:$N$20,AC2),IF($H$5="Salads",COUNTIF(Helper_Ingredient!$O$3:$O$20,AC2),COUNTIF(Helper_Ingredient!$P$3:$P$19,AC2)))&gt;0),0)+IF(AE2&gt;=60,(IF($H$5="Curries/Stews",COUNTIF(Helper_Ingredient!$N$3:$N$20,AD2),IF($H$5="Salads",COUNTIF(Helper_Ingredient!$O$3:$O$20,AD2),COUNTIF(Helper_Ingredient!$P$3:$P$19,AD2)))&gt;0),0)</f>
        <v>0</v>
      </c>
      <c r="AI2">
        <f t="shared" ref="AI2:AI65" si="1">IF(AH2&gt;0,(AH2*1000000)+(AF2*1000)+AE2+ROW()/1000000,0)</f>
        <v>0</v>
      </c>
      <c r="AJ2" t="str">
        <f>Data!A2</f>
        <v>Pikachu</v>
      </c>
      <c r="AK2" t="str">
        <f>Data!H2</f>
        <v>Inventory Up S</v>
      </c>
      <c r="AL2">
        <f>Data!B2</f>
        <v>15</v>
      </c>
      <c r="AM2">
        <f>Data!R2</f>
        <v>1</v>
      </c>
      <c r="AN2" t="str">
        <f>Data!N2</f>
        <v>Ingredient Finding</v>
      </c>
      <c r="AO2">
        <f t="shared" ref="AO2:AO49" si="2">IF(AM2="",0,(AM2*1000)+AL2+ROW()/1000000)</f>
        <v>1015.000002</v>
      </c>
    </row>
    <row r="3" spans="1:41">
      <c r="A3" s="67" t="s">
        <v>12</v>
      </c>
      <c r="B3" s="61"/>
      <c r="C3" s="61"/>
      <c r="D3" s="61"/>
      <c r="E3" s="61"/>
      <c r="G3" s="60" t="s">
        <v>13</v>
      </c>
      <c r="H3" s="61"/>
      <c r="I3" s="61"/>
      <c r="J3" s="61"/>
      <c r="K3" s="61"/>
      <c r="M3" s="65" t="s">
        <v>14</v>
      </c>
      <c r="N3" s="61"/>
      <c r="O3" s="61"/>
      <c r="P3" s="61"/>
      <c r="Q3" s="61"/>
      <c r="S3" t="str">
        <f>Data!A3</f>
        <v>Squirtle</v>
      </c>
      <c r="T3" t="str">
        <f>Data!D3</f>
        <v>Oran</v>
      </c>
      <c r="U3">
        <f>Data!B3</f>
        <v>8</v>
      </c>
      <c r="V3">
        <f>Data!P3</f>
        <v>0</v>
      </c>
      <c r="W3" t="str">
        <f>Data!N3</f>
        <v>Neutral</v>
      </c>
      <c r="X3">
        <f t="shared" si="0"/>
        <v>0</v>
      </c>
      <c r="AA3" t="str">
        <f>Data!A3</f>
        <v>Squirtle</v>
      </c>
      <c r="AB3" t="str">
        <f>Data!E3</f>
        <v>Moomoo Milk</v>
      </c>
      <c r="AC3" t="str">
        <f>Data!F3</f>
        <v>Soothing Cacao</v>
      </c>
      <c r="AD3" t="str">
        <f>Data!G3</f>
        <v>Soothing Cacao</v>
      </c>
      <c r="AE3">
        <f>Data!B3</f>
        <v>8</v>
      </c>
      <c r="AF3">
        <f>Data!Q3</f>
        <v>4</v>
      </c>
      <c r="AG3" t="str">
        <f>Data!N3</f>
        <v>Neutral</v>
      </c>
      <c r="AH3">
        <f>(IF($H$5="Curries/Stews",COUNTIF(Helper_Ingredient!$N$3:$N$20,AB3),IF($H$5="Salads",COUNTIF(Helper_Ingredient!$O$3:$O$20,AB3),COUNTIF(Helper_Ingredient!$P$3:$P$19,AB3)))&gt;0)+IF(AE3&gt;=30,(IF($H$5="Curries/Stews",COUNTIF(Helper_Ingredient!$N$3:$N$20,AC3),IF($H$5="Salads",COUNTIF(Helper_Ingredient!$O$3:$O$20,AC3),COUNTIF(Helper_Ingredient!$P$3:$P$19,AC3)))&gt;0),0)+IF(AE3&gt;=60,(IF($H$5="Curries/Stews",COUNTIF(Helper_Ingredient!$N$3:$N$20,AD3),IF($H$5="Salads",COUNTIF(Helper_Ingredient!$O$3:$O$20,AD3),COUNTIF(Helper_Ingredient!$P$3:$P$19,AD3)))&gt;0),0)</f>
        <v>1</v>
      </c>
      <c r="AI3">
        <f t="shared" si="1"/>
        <v>1004008.000003</v>
      </c>
      <c r="AJ3" t="str">
        <f>Data!A3</f>
        <v>Squirtle</v>
      </c>
      <c r="AK3" t="str">
        <f>Data!H3</f>
        <v>Ingredient Finder S</v>
      </c>
      <c r="AL3">
        <f>Data!B3</f>
        <v>8</v>
      </c>
      <c r="AM3">
        <f>Data!R3</f>
        <v>3</v>
      </c>
      <c r="AN3" t="str">
        <f>Data!N3</f>
        <v>Neutral</v>
      </c>
      <c r="AO3">
        <f t="shared" si="2"/>
        <v>3008.0000030000001</v>
      </c>
    </row>
    <row r="4" spans="1:41">
      <c r="S4" t="str">
        <f>Data!A4</f>
        <v>Igglybuff</v>
      </c>
      <c r="T4" t="str">
        <f>Data!D4</f>
        <v>Pecha</v>
      </c>
      <c r="U4">
        <f>Data!B4</f>
        <v>9</v>
      </c>
      <c r="V4">
        <f>Data!P4</f>
        <v>2</v>
      </c>
      <c r="W4" t="str">
        <f>Data!N4</f>
        <v>EXP Gains</v>
      </c>
      <c r="X4">
        <f t="shared" si="0"/>
        <v>0</v>
      </c>
      <c r="AA4" t="str">
        <f>Data!A4</f>
        <v>Igglybuff</v>
      </c>
      <c r="AB4" t="str">
        <f>Data!E4</f>
        <v>Honey</v>
      </c>
      <c r="AC4" t="str">
        <f>Data!F4</f>
        <v>Honey</v>
      </c>
      <c r="AD4" t="str">
        <f>Data!G4</f>
        <v>Pure Oil</v>
      </c>
      <c r="AE4">
        <f>Data!B4</f>
        <v>9</v>
      </c>
      <c r="AF4">
        <f>Data!Q4</f>
        <v>5.5</v>
      </c>
      <c r="AG4" t="str">
        <f>Data!N4</f>
        <v>EXP Gains</v>
      </c>
      <c r="AH4">
        <f>(IF($H$5="Curries/Stews",COUNTIF(Helper_Ingredient!$N$3:$N$20,AB4),IF($H$5="Salads",COUNTIF(Helper_Ingredient!$O$3:$O$20,AB4),COUNTIF(Helper_Ingredient!$P$3:$P$19,AB4)))&gt;0)+IF(AE4&gt;=30,(IF($H$5="Curries/Stews",COUNTIF(Helper_Ingredient!$N$3:$N$20,AC4),IF($H$5="Salads",COUNTIF(Helper_Ingredient!$O$3:$O$20,AC4),COUNTIF(Helper_Ingredient!$P$3:$P$19,AC4)))&gt;0),0)+IF(AE4&gt;=60,(IF($H$5="Curries/Stews",COUNTIF(Helper_Ingredient!$N$3:$N$20,AD4),IF($H$5="Salads",COUNTIF(Helper_Ingredient!$O$3:$O$20,AD4),COUNTIF(Helper_Ingredient!$P$3:$P$19,AD4)))&gt;0),0)</f>
        <v>1</v>
      </c>
      <c r="AI4">
        <f t="shared" si="1"/>
        <v>1005509.000004</v>
      </c>
      <c r="AJ4" t="str">
        <f>Data!A4</f>
        <v>Igglybuff</v>
      </c>
      <c r="AK4" t="str">
        <f>Data!H4</f>
        <v>Helping Speed S</v>
      </c>
      <c r="AL4">
        <f>Data!B4</f>
        <v>9</v>
      </c>
      <c r="AM4">
        <f>Data!R4</f>
        <v>0</v>
      </c>
      <c r="AN4" t="str">
        <f>Data!N4</f>
        <v>EXP Gains</v>
      </c>
      <c r="AO4">
        <f t="shared" si="2"/>
        <v>9.0000040000000006</v>
      </c>
    </row>
    <row r="5" spans="1:41" ht="60">
      <c r="A5" s="47" t="s">
        <v>15</v>
      </c>
      <c r="B5" s="57" t="s">
        <v>175</v>
      </c>
      <c r="G5" s="47" t="s">
        <v>17</v>
      </c>
      <c r="H5" s="48" t="s">
        <v>18</v>
      </c>
      <c r="S5" t="str">
        <f>Data!A5</f>
        <v>Spheal</v>
      </c>
      <c r="T5" t="str">
        <f>Data!D5</f>
        <v>Oran</v>
      </c>
      <c r="U5">
        <f>Data!B5</f>
        <v>11</v>
      </c>
      <c r="V5">
        <f>Data!P5</f>
        <v>1</v>
      </c>
      <c r="W5" t="str">
        <f>Data!N5</f>
        <v>Energy Recovery</v>
      </c>
      <c r="X5">
        <f t="shared" si="0"/>
        <v>0</v>
      </c>
      <c r="AA5" t="str">
        <f>Data!A5</f>
        <v>Spheal</v>
      </c>
      <c r="AB5" t="str">
        <f>Data!E5</f>
        <v>Pure Oil</v>
      </c>
      <c r="AC5" t="str">
        <f>Data!F5</f>
        <v>Bean Sausage</v>
      </c>
      <c r="AD5" t="str">
        <f>Data!G5</f>
        <v>Pure Oil</v>
      </c>
      <c r="AE5">
        <f>Data!B5</f>
        <v>11</v>
      </c>
      <c r="AF5">
        <f>Data!Q5</f>
        <v>3.5</v>
      </c>
      <c r="AG5" t="str">
        <f>Data!N5</f>
        <v>Energy Recovery</v>
      </c>
      <c r="AH5">
        <f>(IF($H$5="Curries/Stews",COUNTIF(Helper_Ingredient!$N$3:$N$20,AB5),IF($H$5="Salads",COUNTIF(Helper_Ingredient!$O$3:$O$20,AB5),COUNTIF(Helper_Ingredient!$P$3:$P$19,AB5)))&gt;0)+IF(AE5&gt;=30,(IF($H$5="Curries/Stews",COUNTIF(Helper_Ingredient!$N$3:$N$20,AC5),IF($H$5="Salads",COUNTIF(Helper_Ingredient!$O$3:$O$20,AC5),COUNTIF(Helper_Ingredient!$P$3:$P$19,AC5)))&gt;0),0)+IF(AE5&gt;=60,(IF($H$5="Curries/Stews",COUNTIF(Helper_Ingredient!$N$3:$N$20,AD5),IF($H$5="Salads",COUNTIF(Helper_Ingredient!$O$3:$O$20,AD5),COUNTIF(Helper_Ingredient!$P$3:$P$19,AD5)))&gt;0),0)</f>
        <v>1</v>
      </c>
      <c r="AI5">
        <f t="shared" si="1"/>
        <v>1003511.000005</v>
      </c>
      <c r="AJ5" t="str">
        <f>Data!A5</f>
        <v>Spheal</v>
      </c>
      <c r="AK5" t="str">
        <f>Data!H5</f>
        <v>Ingredient Finder S</v>
      </c>
      <c r="AL5">
        <f>Data!B5</f>
        <v>11</v>
      </c>
      <c r="AM5">
        <f>Data!R5</f>
        <v>0</v>
      </c>
      <c r="AN5" t="str">
        <f>Data!N5</f>
        <v>Energy Recovery</v>
      </c>
      <c r="AO5">
        <f t="shared" si="2"/>
        <v>11.000005</v>
      </c>
    </row>
    <row r="6" spans="1:41" ht="45">
      <c r="A6" s="47" t="s">
        <v>19</v>
      </c>
      <c r="B6" s="57" t="s">
        <v>432</v>
      </c>
      <c r="S6" t="str">
        <f>Data!A6</f>
        <v>Cubone</v>
      </c>
      <c r="T6" t="str">
        <f>Data!D6</f>
        <v>Figy</v>
      </c>
      <c r="U6">
        <f>Data!B6</f>
        <v>11</v>
      </c>
      <c r="V6">
        <f>Data!P6</f>
        <v>4</v>
      </c>
      <c r="W6" t="str">
        <f>Data!N6</f>
        <v>Speed of Help</v>
      </c>
      <c r="X6">
        <f t="shared" si="0"/>
        <v>0</v>
      </c>
      <c r="AA6" t="str">
        <f>Data!A6</f>
        <v>Cubone</v>
      </c>
      <c r="AB6" t="str">
        <f>Data!E6</f>
        <v>Warming Ginger</v>
      </c>
      <c r="AC6" t="str">
        <f>Data!F6</f>
        <v>Soothing Cacao</v>
      </c>
      <c r="AD6" t="str">
        <f>Data!G6</f>
        <v>Warming Ginger</v>
      </c>
      <c r="AE6">
        <f>Data!B6</f>
        <v>11</v>
      </c>
      <c r="AF6">
        <f>Data!Q6</f>
        <v>1</v>
      </c>
      <c r="AG6" t="str">
        <f>Data!N6</f>
        <v>Speed of Help</v>
      </c>
      <c r="AH6">
        <f>(IF($H$5="Curries/Stews",COUNTIF(Helper_Ingredient!$N$3:$N$20,AB6),IF($H$5="Salads",COUNTIF(Helper_Ingredient!$O$3:$O$20,AB6),COUNTIF(Helper_Ingredient!$P$3:$P$19,AB6)))&gt;0)+IF(AE6&gt;=30,(IF($H$5="Curries/Stews",COUNTIF(Helper_Ingredient!$N$3:$N$20,AC6),IF($H$5="Salads",COUNTIF(Helper_Ingredient!$O$3:$O$20,AC6),COUNTIF(Helper_Ingredient!$P$3:$P$19,AC6)))&gt;0),0)+IF(AE6&gt;=60,(IF($H$5="Curries/Stews",COUNTIF(Helper_Ingredient!$N$3:$N$20,AD6),IF($H$5="Salads",COUNTIF(Helper_Ingredient!$O$3:$O$20,AD6),COUNTIF(Helper_Ingredient!$P$3:$P$19,AD6)))&gt;0),0)</f>
        <v>1</v>
      </c>
      <c r="AI6">
        <f t="shared" si="1"/>
        <v>1001011.000006</v>
      </c>
      <c r="AJ6" t="str">
        <f>Data!A6</f>
        <v>Cubone</v>
      </c>
      <c r="AK6" t="str">
        <f>Data!H6</f>
        <v>Helping Speed M</v>
      </c>
      <c r="AL6">
        <f>Data!B6</f>
        <v>11</v>
      </c>
      <c r="AM6">
        <f>Data!R6</f>
        <v>3</v>
      </c>
      <c r="AN6" t="str">
        <f>Data!N6</f>
        <v>Speed of Help</v>
      </c>
      <c r="AO6">
        <f t="shared" si="2"/>
        <v>3011.0000060000002</v>
      </c>
    </row>
    <row r="7" spans="1:41" ht="45">
      <c r="A7" s="47" t="s">
        <v>21</v>
      </c>
      <c r="B7" s="57" t="s">
        <v>22</v>
      </c>
      <c r="S7" t="str">
        <f>Data!A7</f>
        <v>Pichu</v>
      </c>
      <c r="T7" t="str">
        <f>Data!D7</f>
        <v>Grepa</v>
      </c>
      <c r="U7">
        <f>Data!B7</f>
        <v>6</v>
      </c>
      <c r="V7">
        <f>Data!P7</f>
        <v>2</v>
      </c>
      <c r="W7" t="str">
        <f>Data!N7</f>
        <v>Energy Recovery</v>
      </c>
      <c r="X7">
        <f t="shared" si="0"/>
        <v>2006.0000070000001</v>
      </c>
      <c r="AA7" t="str">
        <f>Data!A7</f>
        <v>Pichu</v>
      </c>
      <c r="AB7" t="str">
        <f>Data!E7</f>
        <v>Fancy Apple</v>
      </c>
      <c r="AC7" t="str">
        <f>Data!F7</f>
        <v>Warming Ginger</v>
      </c>
      <c r="AD7" t="str">
        <f>Data!G7</f>
        <v>Fancy Apple</v>
      </c>
      <c r="AE7">
        <f>Data!B7</f>
        <v>6</v>
      </c>
      <c r="AF7">
        <f>Data!Q7</f>
        <v>2</v>
      </c>
      <c r="AG7" t="str">
        <f>Data!N7</f>
        <v>Energy Recovery</v>
      </c>
      <c r="AH7">
        <f>(IF($H$5="Curries/Stews",COUNTIF(Helper_Ingredient!$N$3:$N$20,AB7),IF($H$5="Salads",COUNTIF(Helper_Ingredient!$O$3:$O$20,AB7),COUNTIF(Helper_Ingredient!$P$3:$P$19,AB7)))&gt;0)+IF(AE7&gt;=30,(IF($H$5="Curries/Stews",COUNTIF(Helper_Ingredient!$N$3:$N$20,AC7),IF($H$5="Salads",COUNTIF(Helper_Ingredient!$O$3:$O$20,AC7),COUNTIF(Helper_Ingredient!$P$3:$P$19,AC7)))&gt;0),0)+IF(AE7&gt;=60,(IF($H$5="Curries/Stews",COUNTIF(Helper_Ingredient!$N$3:$N$20,AD7),IF($H$5="Salads",COUNTIF(Helper_Ingredient!$O$3:$O$20,AD7),COUNTIF(Helper_Ingredient!$P$3:$P$19,AD7)))&gt;0),0)</f>
        <v>0</v>
      </c>
      <c r="AI7">
        <f t="shared" si="1"/>
        <v>0</v>
      </c>
      <c r="AJ7" t="str">
        <f>Data!A7</f>
        <v>Pichu</v>
      </c>
      <c r="AK7" t="str">
        <f>Data!H7</f>
        <v>Inventory Up S</v>
      </c>
      <c r="AL7">
        <f>Data!B7</f>
        <v>6</v>
      </c>
      <c r="AM7">
        <f>Data!R7</f>
        <v>1</v>
      </c>
      <c r="AN7" t="str">
        <f>Data!N7</f>
        <v>Energy Recovery</v>
      </c>
      <c r="AO7">
        <f t="shared" si="2"/>
        <v>1006.000007</v>
      </c>
    </row>
    <row r="8" spans="1:41">
      <c r="A8" s="45" t="s">
        <v>23</v>
      </c>
      <c r="B8" s="56" t="s">
        <v>24</v>
      </c>
      <c r="S8" t="str">
        <f>Data!A8</f>
        <v>Slowpoke</v>
      </c>
      <c r="T8" t="str">
        <f>Data!D8</f>
        <v>Oran</v>
      </c>
      <c r="U8">
        <f>Data!B8</f>
        <v>9</v>
      </c>
      <c r="V8">
        <f>Data!P8</f>
        <v>2</v>
      </c>
      <c r="W8" t="str">
        <f>Data!N8</f>
        <v>EXP Gains</v>
      </c>
      <c r="X8">
        <f t="shared" si="0"/>
        <v>0</v>
      </c>
      <c r="AA8" t="str">
        <f>Data!A8</f>
        <v>Slowpoke</v>
      </c>
      <c r="AB8" t="str">
        <f>Data!E8</f>
        <v>Soothing Cacao</v>
      </c>
      <c r="AC8" t="str">
        <f>Data!F8</f>
        <v>Slowpoke Tail</v>
      </c>
      <c r="AD8" t="str">
        <f>Data!G8</f>
        <v>Soothing Cacao</v>
      </c>
      <c r="AE8">
        <f>Data!B8</f>
        <v>9</v>
      </c>
      <c r="AF8">
        <f>Data!Q8</f>
        <v>1.5</v>
      </c>
      <c r="AG8" t="str">
        <f>Data!N8</f>
        <v>EXP Gains</v>
      </c>
      <c r="AH8">
        <f>(IF($H$5="Curries/Stews",COUNTIF(Helper_Ingredient!$N$3:$N$20,AB8),IF($H$5="Salads",COUNTIF(Helper_Ingredient!$O$3:$O$20,AB8),COUNTIF(Helper_Ingredient!$P$3:$P$19,AB8)))&gt;0)+IF(AE8&gt;=30,(IF($H$5="Curries/Stews",COUNTIF(Helper_Ingredient!$N$3:$N$20,AC8),IF($H$5="Salads",COUNTIF(Helper_Ingredient!$O$3:$O$20,AC8),COUNTIF(Helper_Ingredient!$P$3:$P$19,AC8)))&gt;0),0)+IF(AE8&gt;=60,(IF($H$5="Curries/Stews",COUNTIF(Helper_Ingredient!$N$3:$N$20,AD8),IF($H$5="Salads",COUNTIF(Helper_Ingredient!$O$3:$O$20,AD8),COUNTIF(Helper_Ingredient!$P$3:$P$19,AD8)))&gt;0),0)</f>
        <v>1</v>
      </c>
      <c r="AI8">
        <f t="shared" si="1"/>
        <v>1001509.0000079999</v>
      </c>
      <c r="AJ8" t="str">
        <f>Data!A8</f>
        <v>Slowpoke</v>
      </c>
      <c r="AK8" t="str">
        <f>Data!H8</f>
        <v>Ingredient Finder S</v>
      </c>
      <c r="AL8">
        <f>Data!B8</f>
        <v>9</v>
      </c>
      <c r="AM8">
        <f>Data!R8</f>
        <v>2</v>
      </c>
      <c r="AN8" t="str">
        <f>Data!N8</f>
        <v>EXP Gains</v>
      </c>
      <c r="AO8">
        <f t="shared" si="2"/>
        <v>2009.000008</v>
      </c>
    </row>
    <row r="9" spans="1:41">
      <c r="A9" s="45" t="s">
        <v>25</v>
      </c>
      <c r="B9" s="56" t="s">
        <v>432</v>
      </c>
      <c r="S9" t="str">
        <f>Data!A9</f>
        <v>Noibat</v>
      </c>
      <c r="T9" t="str">
        <f>Data!D9</f>
        <v>Yache</v>
      </c>
      <c r="U9">
        <f>Data!B9</f>
        <v>14</v>
      </c>
      <c r="V9">
        <f>Data!P9</f>
        <v>0</v>
      </c>
      <c r="W9" t="str">
        <f>Data!N9</f>
        <v>Neutral</v>
      </c>
      <c r="X9">
        <f t="shared" si="0"/>
        <v>0</v>
      </c>
      <c r="AA9" t="str">
        <f>Data!A9</f>
        <v>Noibat</v>
      </c>
      <c r="AB9" t="str">
        <f>Data!E9</f>
        <v>Fancy Apple</v>
      </c>
      <c r="AC9" t="str">
        <f>Data!F9</f>
        <v>Large Leek</v>
      </c>
      <c r="AD9" t="str">
        <f>Data!G9</f>
        <v>Bean Sausage</v>
      </c>
      <c r="AE9">
        <f>Data!B9</f>
        <v>14</v>
      </c>
      <c r="AF9">
        <f>Data!Q9</f>
        <v>4.5</v>
      </c>
      <c r="AG9" t="str">
        <f>Data!N9</f>
        <v>Neutral</v>
      </c>
      <c r="AH9">
        <f>(IF($H$5="Curries/Stews",COUNTIF(Helper_Ingredient!$N$3:$N$20,AB9),IF($H$5="Salads",COUNTIF(Helper_Ingredient!$O$3:$O$20,AB9),COUNTIF(Helper_Ingredient!$P$3:$P$19,AB9)))&gt;0)+IF(AE9&gt;=30,(IF($H$5="Curries/Stews",COUNTIF(Helper_Ingredient!$N$3:$N$20,AC9),IF($H$5="Salads",COUNTIF(Helper_Ingredient!$O$3:$O$20,AC9),COUNTIF(Helper_Ingredient!$P$3:$P$19,AC9)))&gt;0),0)+IF(AE9&gt;=60,(IF($H$5="Curries/Stews",COUNTIF(Helper_Ingredient!$N$3:$N$20,AD9),IF($H$5="Salads",COUNTIF(Helper_Ingredient!$O$3:$O$20,AD9),COUNTIF(Helper_Ingredient!$P$3:$P$19,AD9)))&gt;0),0)</f>
        <v>0</v>
      </c>
      <c r="AI9">
        <f t="shared" si="1"/>
        <v>0</v>
      </c>
      <c r="AJ9" t="str">
        <f>Data!A9</f>
        <v>Noibat</v>
      </c>
      <c r="AK9" t="str">
        <f>Data!H9</f>
        <v>Inventory Up S</v>
      </c>
      <c r="AL9">
        <f>Data!B9</f>
        <v>14</v>
      </c>
      <c r="AM9">
        <f>Data!R9</f>
        <v>1</v>
      </c>
      <c r="AN9" t="str">
        <f>Data!N9</f>
        <v>Neutral</v>
      </c>
      <c r="AO9">
        <f t="shared" si="2"/>
        <v>1014.000009</v>
      </c>
    </row>
    <row r="10" spans="1:41">
      <c r="S10" t="str">
        <f>Data!A10</f>
        <v>Rattata</v>
      </c>
      <c r="T10" t="str">
        <f>Data!D10</f>
        <v>Persim</v>
      </c>
      <c r="U10">
        <f>Data!B10</f>
        <v>8</v>
      </c>
      <c r="V10">
        <f>Data!P10</f>
        <v>1</v>
      </c>
      <c r="W10" t="str">
        <f>Data!N10</f>
        <v>Ingredient Finding</v>
      </c>
      <c r="X10">
        <f t="shared" si="0"/>
        <v>0</v>
      </c>
      <c r="AA10" t="str">
        <f>Data!A10</f>
        <v>Rattata</v>
      </c>
      <c r="AB10" t="str">
        <f>Data!E10</f>
        <v>Fancy Apple</v>
      </c>
      <c r="AC10" t="str">
        <f>Data!F10</f>
        <v>Greengrass Soybeans</v>
      </c>
      <c r="AD10" t="str">
        <f>Data!G10</f>
        <v>Fancy Apple</v>
      </c>
      <c r="AE10">
        <f>Data!B10</f>
        <v>8</v>
      </c>
      <c r="AF10">
        <f>Data!Q10</f>
        <v>5</v>
      </c>
      <c r="AG10" t="str">
        <f>Data!N10</f>
        <v>Ingredient Finding</v>
      </c>
      <c r="AH10">
        <f>(IF($H$5="Curries/Stews",COUNTIF(Helper_Ingredient!$N$3:$N$20,AB10),IF($H$5="Salads",COUNTIF(Helper_Ingredient!$O$3:$O$20,AB10),COUNTIF(Helper_Ingredient!$P$3:$P$19,AB10)))&gt;0)+IF(AE10&gt;=30,(IF($H$5="Curries/Stews",COUNTIF(Helper_Ingredient!$N$3:$N$20,AC10),IF($H$5="Salads",COUNTIF(Helper_Ingredient!$O$3:$O$20,AC10),COUNTIF(Helper_Ingredient!$P$3:$P$19,AC10)))&gt;0),0)+IF(AE10&gt;=60,(IF($H$5="Curries/Stews",COUNTIF(Helper_Ingredient!$N$3:$N$20,AD10),IF($H$5="Salads",COUNTIF(Helper_Ingredient!$O$3:$O$20,AD10),COUNTIF(Helper_Ingredient!$P$3:$P$19,AD10)))&gt;0),0)</f>
        <v>0</v>
      </c>
      <c r="AI10">
        <f t="shared" si="1"/>
        <v>0</v>
      </c>
      <c r="AJ10" t="str">
        <f>Data!A10</f>
        <v>Rattata</v>
      </c>
      <c r="AK10" t="str">
        <f>Data!H10</f>
        <v>Helping Speed S</v>
      </c>
      <c r="AL10">
        <f>Data!B10</f>
        <v>8</v>
      </c>
      <c r="AM10">
        <f>Data!R10</f>
        <v>2</v>
      </c>
      <c r="AN10" t="str">
        <f>Data!N10</f>
        <v>Ingredient Finding</v>
      </c>
      <c r="AO10">
        <f t="shared" si="2"/>
        <v>2008.00001</v>
      </c>
    </row>
    <row r="11" spans="1:41">
      <c r="A11" s="49" t="s">
        <v>26</v>
      </c>
      <c r="B11" s="58" t="s">
        <v>27</v>
      </c>
      <c r="C11" s="49" t="s">
        <v>2</v>
      </c>
      <c r="D11" s="49" t="s">
        <v>4</v>
      </c>
      <c r="E11" s="49" t="s">
        <v>28</v>
      </c>
      <c r="G11" s="50" t="s">
        <v>26</v>
      </c>
      <c r="H11" s="50" t="s">
        <v>27</v>
      </c>
      <c r="I11" s="50" t="s">
        <v>29</v>
      </c>
      <c r="J11" s="50" t="s">
        <v>4</v>
      </c>
      <c r="K11" s="50" t="s">
        <v>28</v>
      </c>
      <c r="M11" s="51" t="s">
        <v>26</v>
      </c>
      <c r="N11" s="51" t="s">
        <v>27</v>
      </c>
      <c r="O11" s="51" t="s">
        <v>30</v>
      </c>
      <c r="P11" s="51" t="s">
        <v>4</v>
      </c>
      <c r="Q11" s="51" t="s">
        <v>28</v>
      </c>
      <c r="S11" t="str">
        <f>Data!A11</f>
        <v>Gulpin</v>
      </c>
      <c r="T11" t="str">
        <f>Data!D11</f>
        <v>Chesto</v>
      </c>
      <c r="U11">
        <f>Data!B11</f>
        <v>9</v>
      </c>
      <c r="V11">
        <f>Data!P11</f>
        <v>2</v>
      </c>
      <c r="W11" t="str">
        <f>Data!N11</f>
        <v>EXP Gains</v>
      </c>
      <c r="X11">
        <f t="shared" si="0"/>
        <v>2009.0000110000001</v>
      </c>
      <c r="AA11" t="str">
        <f>Data!A11</f>
        <v>Gulpin</v>
      </c>
      <c r="AB11" t="str">
        <f>Data!E11</f>
        <v>Greengrass Soybeans</v>
      </c>
      <c r="AC11" t="str">
        <f>Data!F11</f>
        <v>Greengrass Soybeans</v>
      </c>
      <c r="AD11" t="str">
        <f>Data!G11</f>
        <v>Tasty Mushroom</v>
      </c>
      <c r="AE11">
        <f>Data!B11</f>
        <v>9</v>
      </c>
      <c r="AF11">
        <f>Data!Q11</f>
        <v>5.5</v>
      </c>
      <c r="AG11" t="str">
        <f>Data!N11</f>
        <v>EXP Gains</v>
      </c>
      <c r="AH11">
        <f>(IF($H$5="Curries/Stews",COUNTIF(Helper_Ingredient!$N$3:$N$20,AB11),IF($H$5="Salads",COUNTIF(Helper_Ingredient!$O$3:$O$20,AB11),COUNTIF(Helper_Ingredient!$P$3:$P$19,AB11)))&gt;0)+IF(AE11&gt;=30,(IF($H$5="Curries/Stews",COUNTIF(Helper_Ingredient!$N$3:$N$20,AC11),IF($H$5="Salads",COUNTIF(Helper_Ingredient!$O$3:$O$20,AC11),COUNTIF(Helper_Ingredient!$P$3:$P$19,AC11)))&gt;0),0)+IF(AE11&gt;=60,(IF($H$5="Curries/Stews",COUNTIF(Helper_Ingredient!$N$3:$N$20,AD11),IF($H$5="Salads",COUNTIF(Helper_Ingredient!$O$3:$O$20,AD11),COUNTIF(Helper_Ingredient!$P$3:$P$19,AD11)))&gt;0),0)</f>
        <v>1</v>
      </c>
      <c r="AI11">
        <f t="shared" si="1"/>
        <v>1005509.000011</v>
      </c>
      <c r="AJ11" t="str">
        <f>Data!A11</f>
        <v>Gulpin</v>
      </c>
      <c r="AK11" t="str">
        <f>Data!H11</f>
        <v>Ingredient Finder M</v>
      </c>
      <c r="AL11">
        <f>Data!B11</f>
        <v>9</v>
      </c>
      <c r="AM11">
        <f>Data!R11</f>
        <v>1</v>
      </c>
      <c r="AN11" t="str">
        <f>Data!N11</f>
        <v>EXP Gains</v>
      </c>
      <c r="AO11">
        <f t="shared" si="2"/>
        <v>1009.000011</v>
      </c>
    </row>
    <row r="12" spans="1:41">
      <c r="A12" s="52">
        <v>1</v>
      </c>
      <c r="B12" s="59" t="str">
        <f>IF($D12="","",INDEX($S$2:$S$250,MATCH(LARGE($X$2:$X$250,1),$X$2:$X$250,0)))</f>
        <v>Mareep</v>
      </c>
      <c r="C12" s="53" t="str">
        <f>IF($D12="","",INDEX($T$2:$T$250,MATCH(LARGE($X$2:$X$250,1),$X$2:$X$250,0)))</f>
        <v>Grepa</v>
      </c>
      <c r="D12" s="53">
        <f>IFERROR(IF(LARGE($X$2:$X$250,1)&lt;=0,"",INDEX($V$2:$V$250,MATCH(LARGE($X$2:$X$250,1),$X$2:$X$250,0))),"")</f>
        <v>4</v>
      </c>
      <c r="E12" s="53" t="str">
        <f>IF($D12="","",INDEX($W$2:$W$250,MATCH(LARGE($X$2:$X$250,1),$X$2:$X$250,0)))</f>
        <v>EXP Gains</v>
      </c>
      <c r="G12" s="52">
        <v>1</v>
      </c>
      <c r="H12" s="53" t="str">
        <f>IF($J12="","",INDEX($AA$2:$AA$250,MATCH(LARGE($AI$2:$AI$250,1),$AI$2:$AI$250,0)))</f>
        <v>Psyduck</v>
      </c>
      <c r="I12" s="53" t="str">
        <f>IF($J12="","",INDEX($AB$2:$AB$250,MATCH(LARGE($AI$2:$AI$250,1),$AI$2:$AI$250,0)))</f>
        <v>Soothing Cacao</v>
      </c>
      <c r="J12" s="53">
        <f>IFERROR(INDEX($AF$2:$AF$250,MATCH(LARGE($AI$2:$AI$250,1),$AI$2:$AI$250,0)),"")</f>
        <v>6.5</v>
      </c>
      <c r="K12" s="53" t="str">
        <f>IF($J12="","",INDEX($AG$2:$AG$250,MATCH(LARGE($AI$2:$AI$250,1),$AI$2:$AI$250,0)))</f>
        <v>EXP Gains</v>
      </c>
      <c r="M12" s="52">
        <v>1</v>
      </c>
      <c r="N12" s="53" t="str">
        <f>IF(P12="","",INDEX($AJ$2:$AJ$49,MATCH(LARGE($AO$2:$AO$49,1),$AO$2:$AO$49,0)))</f>
        <v>Cubone</v>
      </c>
      <c r="O12" s="53" t="str">
        <f>IF(P12="","",INDEX($AK$2:$AK$49,MATCH(LARGE($AO$2:$AO$49,1),$AO$2:$AO$49,0)))</f>
        <v>Skill Level Up M</v>
      </c>
      <c r="P12" s="53">
        <f>IFERROR(INDEX($AM$2:$AM$49,MATCH(LARGE($AO$2:$AO$49,1),$AO$2:$AO$49,0)),"")</f>
        <v>5</v>
      </c>
      <c r="Q12" s="53" t="str">
        <f>IF(P12="","",INDEX($AN$2:$AN$49,MATCH(LARGE($AO$2:$AO$49,1),$AO$2:$AO$49,0)))</f>
        <v>Energy Recovery</v>
      </c>
      <c r="S12" t="str">
        <f>Data!A12</f>
        <v>Swablu</v>
      </c>
      <c r="T12" t="str">
        <f>Data!D12</f>
        <v>Lum</v>
      </c>
      <c r="U12">
        <f>Data!B12</f>
        <v>7</v>
      </c>
      <c r="V12">
        <f>Data!P12</f>
        <v>3</v>
      </c>
      <c r="W12" t="str">
        <f>Data!N12</f>
        <v>Neutral</v>
      </c>
      <c r="X12">
        <f t="shared" si="0"/>
        <v>0</v>
      </c>
      <c r="AA12" t="str">
        <f>Data!A12</f>
        <v>Swablu</v>
      </c>
      <c r="AB12" t="str">
        <f>Data!E12</f>
        <v>Fancy Egg</v>
      </c>
      <c r="AC12" t="str">
        <f>Data!F12</f>
        <v>Greengrass Soybeans</v>
      </c>
      <c r="AD12" t="str">
        <f>Data!G12</f>
        <v>Fancy Egg</v>
      </c>
      <c r="AE12">
        <f>Data!B12</f>
        <v>7</v>
      </c>
      <c r="AF12">
        <f>Data!Q12</f>
        <v>1.5</v>
      </c>
      <c r="AG12" t="str">
        <f>Data!N12</f>
        <v>Neutral</v>
      </c>
      <c r="AH12">
        <f>(IF($H$5="Curries/Stews",COUNTIF(Helper_Ingredient!$N$3:$N$20,AB12),IF($H$5="Salads",COUNTIF(Helper_Ingredient!$O$3:$O$20,AB12),COUNTIF(Helper_Ingredient!$P$3:$P$19,AB12)))&gt;0)+IF(AE12&gt;=30,(IF($H$5="Curries/Stews",COUNTIF(Helper_Ingredient!$N$3:$N$20,AC12),IF($H$5="Salads",COUNTIF(Helper_Ingredient!$O$3:$O$20,AC12),COUNTIF(Helper_Ingredient!$P$3:$P$19,AC12)))&gt;0),0)+IF(AE12&gt;=60,(IF($H$5="Curries/Stews",COUNTIF(Helper_Ingredient!$N$3:$N$20,AD12),IF($H$5="Salads",COUNTIF(Helper_Ingredient!$O$3:$O$20,AD12),COUNTIF(Helper_Ingredient!$P$3:$P$19,AD12)))&gt;0),0)</f>
        <v>1</v>
      </c>
      <c r="AI12">
        <f t="shared" si="1"/>
        <v>1001507.000012</v>
      </c>
      <c r="AJ12" t="str">
        <f>Data!A12</f>
        <v>Swablu</v>
      </c>
      <c r="AK12" t="str">
        <f>Data!H12</f>
        <v>Skill Trigger S</v>
      </c>
      <c r="AL12">
        <f>Data!B12</f>
        <v>7</v>
      </c>
      <c r="AM12">
        <f>Data!R12</f>
        <v>1</v>
      </c>
      <c r="AN12" t="str">
        <f>Data!N12</f>
        <v>Neutral</v>
      </c>
      <c r="AO12">
        <f t="shared" si="2"/>
        <v>1007.000012</v>
      </c>
    </row>
    <row r="13" spans="1:41" ht="30">
      <c r="A13" s="52">
        <v>2</v>
      </c>
      <c r="B13" s="59" t="str">
        <f>IF($D13="","",INDEX($S$2:$S$250,MATCH(LARGE($X$2:$X$250,2),$X$2:$X$250,0)))</f>
        <v>Mareep</v>
      </c>
      <c r="C13" s="53" t="str">
        <f>IF($D13="","",INDEX($T$2:$T$250,MATCH(LARGE($X$2:$X$250,2),$X$2:$X$250,0)))</f>
        <v>Grepa</v>
      </c>
      <c r="D13" s="53">
        <f>IFERROR(IF(LARGE($X$2:$X$250,2)&lt;=0,"",INDEX($V$2:$V$250,MATCH(LARGE($X$2:$X$250,2),$X$2:$X$250,0))),"")</f>
        <v>3</v>
      </c>
      <c r="E13" s="53" t="str">
        <f>IF($D13="","",INDEX($W$2:$W$250,MATCH(LARGE($X$2:$X$250,2),$X$2:$X$250,0)))</f>
        <v>Speed of Help</v>
      </c>
      <c r="G13" s="52">
        <v>2</v>
      </c>
      <c r="H13" s="53" t="str">
        <f>IF($J13="","",INDEX($AA$2:$AA$250,MATCH(LARGE($AI$2:$AI$250,2),$AI$2:$AI$250,0)))</f>
        <v>Gulpin</v>
      </c>
      <c r="I13" s="53" t="str">
        <f>IF($J13="","",INDEX($AB$2:$AB$250,MATCH(LARGE($AI$2:$AI$250,2),$AI$2:$AI$250,0)))</f>
        <v>Greengrass Soybeans</v>
      </c>
      <c r="J13" s="53">
        <f>IFERROR(INDEX($AF$2:$AF$250,MATCH(LARGE($AI$2:$AI$250,2),$AI$2:$AI$250,0)),"")</f>
        <v>5.5</v>
      </c>
      <c r="K13" s="53" t="str">
        <f>IF($J13="","",INDEX($AG$2:$AG$250,MATCH(LARGE($AI$2:$AI$250,2),$AI$2:$AI$250,0)))</f>
        <v>EXP Gains</v>
      </c>
      <c r="M13" s="52">
        <v>2</v>
      </c>
      <c r="N13" s="53" t="str">
        <f>IF(P13="","",INDEX($AJ$2:$AJ$49,MATCH(LARGE($AO$2:$AO$49,2),$AO$2:$AO$49,0)))</f>
        <v>Ivysaur</v>
      </c>
      <c r="O13" s="53" t="str">
        <f>IF(P13="","",INDEX($AK$2:$AK$49,MATCH(LARGE($AO$2:$AO$49,2),$AO$2:$AO$49,0)))</f>
        <v>Skill Level Up S</v>
      </c>
      <c r="P13" s="53">
        <f>IFERROR(INDEX($AM$2:$AM$49,MATCH(LARGE($AO$2:$AO$49,2),$AO$2:$AO$49,0)),"")</f>
        <v>4</v>
      </c>
      <c r="Q13" s="53" t="str">
        <f>IF(P13="","",INDEX($AN$2:$AN$49,MATCH(LARGE($AO$2:$AO$49,2),$AO$2:$AO$49,0)))</f>
        <v>Main Skill Chance</v>
      </c>
      <c r="S13" t="str">
        <f>Data!A13</f>
        <v>Igglybuff</v>
      </c>
      <c r="T13" t="str">
        <f>Data!D13</f>
        <v>Pecha</v>
      </c>
      <c r="U13">
        <f>Data!B13</f>
        <v>4</v>
      </c>
      <c r="V13">
        <f>Data!P13</f>
        <v>0</v>
      </c>
      <c r="W13" t="str">
        <f>Data!N13</f>
        <v>Ingredient Finding</v>
      </c>
      <c r="X13">
        <f t="shared" si="0"/>
        <v>0</v>
      </c>
      <c r="AA13" t="str">
        <f>Data!A13</f>
        <v>Igglybuff</v>
      </c>
      <c r="AB13" t="str">
        <f>Data!E13</f>
        <v>Honey</v>
      </c>
      <c r="AC13" t="str">
        <f>Data!F13</f>
        <v>Pure Oil</v>
      </c>
      <c r="AD13" t="str">
        <f>Data!G13</f>
        <v>Honey</v>
      </c>
      <c r="AE13">
        <f>Data!B13</f>
        <v>4</v>
      </c>
      <c r="AF13">
        <f>Data!Q13</f>
        <v>4.5</v>
      </c>
      <c r="AG13" t="str">
        <f>Data!N13</f>
        <v>Ingredient Finding</v>
      </c>
      <c r="AH13">
        <f>(IF($H$5="Curries/Stews",COUNTIF(Helper_Ingredient!$N$3:$N$20,AB13),IF($H$5="Salads",COUNTIF(Helper_Ingredient!$O$3:$O$20,AB13),COUNTIF(Helper_Ingredient!$P$3:$P$19,AB13)))&gt;0)+IF(AE13&gt;=30,(IF($H$5="Curries/Stews",COUNTIF(Helper_Ingredient!$N$3:$N$20,AC13),IF($H$5="Salads",COUNTIF(Helper_Ingredient!$O$3:$O$20,AC13),COUNTIF(Helper_Ingredient!$P$3:$P$19,AC13)))&gt;0),0)+IF(AE13&gt;=60,(IF($H$5="Curries/Stews",COUNTIF(Helper_Ingredient!$N$3:$N$20,AD13),IF($H$5="Salads",COUNTIF(Helper_Ingredient!$O$3:$O$20,AD13),COUNTIF(Helper_Ingredient!$P$3:$P$19,AD13)))&gt;0),0)</f>
        <v>1</v>
      </c>
      <c r="AI13">
        <f t="shared" si="1"/>
        <v>1004504.000013</v>
      </c>
      <c r="AJ13" t="str">
        <f>Data!A13</f>
        <v>Igglybuff</v>
      </c>
      <c r="AK13" t="str">
        <f>Data!H13</f>
        <v>Ingredient Finder M</v>
      </c>
      <c r="AL13">
        <f>Data!B13</f>
        <v>4</v>
      </c>
      <c r="AM13">
        <f>Data!R13</f>
        <v>2</v>
      </c>
      <c r="AN13" t="str">
        <f>Data!N13</f>
        <v>Ingredient Finding</v>
      </c>
      <c r="AO13">
        <f t="shared" si="2"/>
        <v>2004.0000130000001</v>
      </c>
    </row>
    <row r="14" spans="1:41">
      <c r="A14" s="52">
        <v>3</v>
      </c>
      <c r="B14" s="59" t="str">
        <f>IF($D14="","",INDEX($S$2:$S$250,MATCH(LARGE($X$2:$X$250,3),$X$2:$X$250,0)))</f>
        <v>Gulpin</v>
      </c>
      <c r="C14" s="53" t="str">
        <f>IF($D14="","",INDEX($T$2:$T$250,MATCH(LARGE($X$2:$X$250,3),$X$2:$X$250,0)))</f>
        <v>Chesto</v>
      </c>
      <c r="D14" s="53">
        <f>IFERROR(IF(LARGE($X$2:$X$250,3)&lt;=0,"",INDEX($V$2:$V$250,MATCH(LARGE($X$2:$X$250,3),$X$2:$X$250,0))),"")</f>
        <v>2</v>
      </c>
      <c r="E14" s="53" t="str">
        <f>IF($D14="","",INDEX($W$2:$W$250,MATCH(LARGE($X$2:$X$250,3),$X$2:$X$250,0)))</f>
        <v>EXP Gains</v>
      </c>
      <c r="G14" s="52">
        <v>3</v>
      </c>
      <c r="H14" s="53" t="str">
        <f>IF($J14="","",INDEX($AA$2:$AA$250,MATCH(LARGE($AI$2:$AI$250,3),$AI$2:$AI$250,0)))</f>
        <v>Igglybuff</v>
      </c>
      <c r="I14" s="53" t="str">
        <f>IF($J14="","",INDEX($AB$2:$AB$250,MATCH(LARGE($AI$2:$AI$250,3),$AI$2:$AI$250,0)))</f>
        <v>Honey</v>
      </c>
      <c r="J14" s="53">
        <f>IFERROR(INDEX($AF$2:$AF$250,MATCH(LARGE($AI$2:$AI$250,3),$AI$2:$AI$250,0)),"")</f>
        <v>5.5</v>
      </c>
      <c r="K14" s="53" t="str">
        <f>IF($J14="","",INDEX($AG$2:$AG$250,MATCH(LARGE($AI$2:$AI$250,3),$AI$2:$AI$250,0)))</f>
        <v>EXP Gains</v>
      </c>
      <c r="M14" s="52">
        <v>3</v>
      </c>
      <c r="N14" s="53" t="str">
        <f>IF(P14="","",INDEX($AJ$2:$AJ$49,MATCH(LARGE($AO$2:$AO$49,3),$AO$2:$AO$49,0)))</f>
        <v>Magnemite</v>
      </c>
      <c r="O14" s="53" t="str">
        <f>IF(P14="","",INDEX($AK$2:$AK$49,MATCH(LARGE($AO$2:$AO$49,3),$AO$2:$AO$49,0)))</f>
        <v>Inventory Up L</v>
      </c>
      <c r="P14" s="53">
        <f>IFERROR(INDEX($AM$2:$AM$49,MATCH(LARGE($AO$2:$AO$49,3),$AO$2:$AO$49,0)),"")</f>
        <v>4</v>
      </c>
      <c r="Q14" s="53" t="str">
        <f>IF(P14="","",INDEX($AN$2:$AN$49,MATCH(LARGE($AO$2:$AO$49,3),$AO$2:$AO$49,0)))</f>
        <v>Neutral</v>
      </c>
      <c r="S14" t="str">
        <f>Data!A14</f>
        <v>Treecko</v>
      </c>
      <c r="T14" t="str">
        <f>Data!D14</f>
        <v>Durin</v>
      </c>
      <c r="U14">
        <f>Data!B14</f>
        <v>5</v>
      </c>
      <c r="V14">
        <f>Data!P14</f>
        <v>3</v>
      </c>
      <c r="W14" t="str">
        <f>Data!N14</f>
        <v>Speed of Help</v>
      </c>
      <c r="X14">
        <f t="shared" si="0"/>
        <v>0</v>
      </c>
      <c r="AA14" t="str">
        <f>Data!A14</f>
        <v>Treecko</v>
      </c>
      <c r="AB14" t="str">
        <f>Data!E14</f>
        <v>Fancy Egg</v>
      </c>
      <c r="AC14" t="str">
        <f>Data!F14</f>
        <v>Fancy Egg</v>
      </c>
      <c r="AD14" t="str">
        <f>Data!G14</f>
        <v>Fancy Egg</v>
      </c>
      <c r="AE14">
        <f>Data!B14</f>
        <v>5</v>
      </c>
      <c r="AF14">
        <f>Data!Q14</f>
        <v>5</v>
      </c>
      <c r="AG14" t="str">
        <f>Data!N14</f>
        <v>Speed of Help</v>
      </c>
      <c r="AH14">
        <f>(IF($H$5="Curries/Stews",COUNTIF(Helper_Ingredient!$N$3:$N$20,AB14),IF($H$5="Salads",COUNTIF(Helper_Ingredient!$O$3:$O$20,AB14),COUNTIF(Helper_Ingredient!$P$3:$P$19,AB14)))&gt;0)+IF(AE14&gt;=30,(IF($H$5="Curries/Stews",COUNTIF(Helper_Ingredient!$N$3:$N$20,AC14),IF($H$5="Salads",COUNTIF(Helper_Ingredient!$O$3:$O$20,AC14),COUNTIF(Helper_Ingredient!$P$3:$P$19,AC14)))&gt;0),0)+IF(AE14&gt;=60,(IF($H$5="Curries/Stews",COUNTIF(Helper_Ingredient!$N$3:$N$20,AD14),IF($H$5="Salads",COUNTIF(Helper_Ingredient!$O$3:$O$20,AD14),COUNTIF(Helper_Ingredient!$P$3:$P$19,AD14)))&gt;0),0)</f>
        <v>1</v>
      </c>
      <c r="AI14">
        <f t="shared" si="1"/>
        <v>1005005.000014</v>
      </c>
      <c r="AJ14" t="str">
        <f>Data!A14</f>
        <v>Treecko</v>
      </c>
      <c r="AK14" t="str">
        <f>Data!H14</f>
        <v>Inventory Up L</v>
      </c>
      <c r="AL14">
        <f>Data!B14</f>
        <v>5</v>
      </c>
      <c r="AM14">
        <f>Data!R14</f>
        <v>-1</v>
      </c>
      <c r="AN14" t="str">
        <f>Data!N14</f>
        <v>Speed of Help</v>
      </c>
      <c r="AO14">
        <f t="shared" si="2"/>
        <v>-994.99998600000004</v>
      </c>
    </row>
    <row r="15" spans="1:41">
      <c r="A15" s="52">
        <v>4</v>
      </c>
      <c r="B15" s="59" t="str">
        <f>IF($D15="","",INDEX($S$2:$S$250,MATCH(LARGE($X$2:$X$250,4),$X$2:$X$250,0)))</f>
        <v>Pichu</v>
      </c>
      <c r="C15" s="53" t="str">
        <f>IF($D15="","",INDEX($T$2:$T$250,MATCH(LARGE($X$2:$X$250,4),$X$2:$X$250,0)))</f>
        <v>Grepa</v>
      </c>
      <c r="D15" s="53">
        <f>IFERROR(IF(LARGE($X$2:$X$250,4)&lt;=0,"",INDEX($V$2:$V$250,MATCH(LARGE($X$2:$X$250,4),$X$2:$X$250,0))),"")</f>
        <v>2</v>
      </c>
      <c r="E15" s="53" t="str">
        <f>IF($D15="","",INDEX($W$2:$W$250,MATCH(LARGE($X$2:$X$250,4),$X$2:$X$250,0)))</f>
        <v>Energy Recovery</v>
      </c>
      <c r="G15" s="52">
        <v>4</v>
      </c>
      <c r="H15" s="53" t="str">
        <f>IF($J15="","",INDEX($AA$2:$AA$250,MATCH(LARGE($AI$2:$AI$250,4),$AI$2:$AI$250,0)))</f>
        <v>Totodile</v>
      </c>
      <c r="I15" s="53" t="str">
        <f>IF($J15="","",INDEX($AB$2:$AB$250,MATCH(LARGE($AI$2:$AI$250,4),$AI$2:$AI$250,0)))</f>
        <v>Bean Sausage</v>
      </c>
      <c r="J15" s="53">
        <f>IFERROR(INDEX($AF$2:$AF$250,MATCH(LARGE($AI$2:$AI$250,4),$AI$2:$AI$250,0)),"")</f>
        <v>5.5</v>
      </c>
      <c r="K15" s="53" t="str">
        <f>IF($J15="","",INDEX($AG$2:$AG$250,MATCH(LARGE($AI$2:$AI$250,4),$AI$2:$AI$250,0)))</f>
        <v>Ingredient Finding</v>
      </c>
      <c r="M15" s="52">
        <v>4</v>
      </c>
      <c r="N15" s="53" t="str">
        <f>IF(P15="","",INDEX($AJ$2:$AJ$49,MATCH(LARGE($AO$2:$AO$49,4),$AO$2:$AO$49,0)))</f>
        <v>Bonsly</v>
      </c>
      <c r="O15" s="53" t="str">
        <f>IF(P15="","",INDEX($AK$2:$AK$49,MATCH(LARGE($AO$2:$AO$49,4),$AO$2:$AO$49,0)))</f>
        <v>Helping Speed S</v>
      </c>
      <c r="P15" s="53">
        <f>IFERROR(INDEX($AM$2:$AM$49,MATCH(LARGE($AO$2:$AO$49,4),$AO$2:$AO$49,0)),"")</f>
        <v>4</v>
      </c>
      <c r="Q15" s="53" t="str">
        <f>IF(P15="","",INDEX($AN$2:$AN$49,MATCH(LARGE($AO$2:$AO$49,4),$AO$2:$AO$49,0)))</f>
        <v>Speed of Help</v>
      </c>
      <c r="S15" t="str">
        <f>Data!A15</f>
        <v>Growlithe</v>
      </c>
      <c r="T15" t="str">
        <f>Data!D15</f>
        <v>Leppa</v>
      </c>
      <c r="U15">
        <f>Data!B15</f>
        <v>10</v>
      </c>
      <c r="V15">
        <f>Data!P15</f>
        <v>1</v>
      </c>
      <c r="W15" t="str">
        <f>Data!N15</f>
        <v>EXP Gains</v>
      </c>
      <c r="X15">
        <f t="shared" si="0"/>
        <v>0</v>
      </c>
      <c r="AA15" t="str">
        <f>Data!A15</f>
        <v>Growlithe</v>
      </c>
      <c r="AB15" t="str">
        <f>Data!E15</f>
        <v>Fiery Herb</v>
      </c>
      <c r="AC15" t="str">
        <f>Data!F15</f>
        <v>Bean Sausage</v>
      </c>
      <c r="AD15" t="str">
        <f>Data!G15</f>
        <v>Moomoo Milk</v>
      </c>
      <c r="AE15">
        <f>Data!B15</f>
        <v>10</v>
      </c>
      <c r="AF15">
        <f>Data!Q15</f>
        <v>3</v>
      </c>
      <c r="AG15" t="str">
        <f>Data!N15</f>
        <v>EXP Gains</v>
      </c>
      <c r="AH15">
        <f>(IF($H$5="Curries/Stews",COUNTIF(Helper_Ingredient!$N$3:$N$20,AB15),IF($H$5="Salads",COUNTIF(Helper_Ingredient!$O$3:$O$20,AB15),COUNTIF(Helper_Ingredient!$P$3:$P$19,AB15)))&gt;0)+IF(AE15&gt;=30,(IF($H$5="Curries/Stews",COUNTIF(Helper_Ingredient!$N$3:$N$20,AC15),IF($H$5="Salads",COUNTIF(Helper_Ingredient!$O$3:$O$20,AC15),COUNTIF(Helper_Ingredient!$P$3:$P$19,AC15)))&gt;0),0)+IF(AE15&gt;=60,(IF($H$5="Curries/Stews",COUNTIF(Helper_Ingredient!$N$3:$N$20,AD15),IF($H$5="Salads",COUNTIF(Helper_Ingredient!$O$3:$O$20,AD15),COUNTIF(Helper_Ingredient!$P$3:$P$19,AD15)))&gt;0),0)</f>
        <v>1</v>
      </c>
      <c r="AI15">
        <f t="shared" si="1"/>
        <v>1003010.000015</v>
      </c>
      <c r="AJ15" t="str">
        <f>Data!A15</f>
        <v>Growlithe</v>
      </c>
      <c r="AK15" t="str">
        <f>Data!H15</f>
        <v>Energy Recovery Bonus</v>
      </c>
      <c r="AL15">
        <f>Data!B15</f>
        <v>10</v>
      </c>
      <c r="AM15">
        <f>Data!R15</f>
        <v>3.5</v>
      </c>
      <c r="AN15" t="str">
        <f>Data!N15</f>
        <v>EXP Gains</v>
      </c>
      <c r="AO15">
        <f t="shared" si="2"/>
        <v>3510.0000150000001</v>
      </c>
    </row>
    <row r="16" spans="1:41">
      <c r="A16" s="52">
        <v>5</v>
      </c>
      <c r="B16" s="59" t="str">
        <f>IF($D16="","",INDEX($S$2:$S$250,MATCH(LARGE($X$2:$X$250,5),$X$2:$X$250,0)))</f>
        <v>Magnemite</v>
      </c>
      <c r="C16" s="53" t="str">
        <f>IF($D16="","",INDEX($T$2:$T$250,MATCH(LARGE($X$2:$X$250,5),$X$2:$X$250,0)))</f>
        <v>Grepa</v>
      </c>
      <c r="D16" s="53">
        <f>IFERROR(IF(LARGE($X$2:$X$250,5)&lt;=0,"",INDEX($V$2:$V$250,MATCH(LARGE($X$2:$X$250,5),$X$2:$X$250,0))),"")</f>
        <v>0</v>
      </c>
      <c r="E16" s="53" t="str">
        <f>IF($D16="","",INDEX($W$2:$W$250,MATCH(LARGE($X$2:$X$250,5),$X$2:$X$250,0)))</f>
        <v>Neutral</v>
      </c>
      <c r="G16" s="52">
        <v>5</v>
      </c>
      <c r="H16" s="53" t="str">
        <f>IF($J16="","",INDEX($AA$2:$AA$250,MATCH(LARGE($AI$2:$AI$250,5),$AI$2:$AI$250,0)))</f>
        <v>Ivysaur</v>
      </c>
      <c r="I16" s="53" t="str">
        <f>IF($J16="","",INDEX($AB$2:$AB$250,MATCH(LARGE($AI$2:$AI$250,5),$AI$2:$AI$250,0)))</f>
        <v>Honey</v>
      </c>
      <c r="J16" s="53">
        <f>IFERROR(INDEX($AF$2:$AF$250,MATCH(LARGE($AI$2:$AI$250,5),$AI$2:$AI$250,0)),"")</f>
        <v>5</v>
      </c>
      <c r="K16" s="53" t="str">
        <f>IF($J16="","",INDEX($AG$2:$AG$250,MATCH(LARGE($AI$2:$AI$250,5),$AI$2:$AI$250,0)))</f>
        <v>Ingredient Finding</v>
      </c>
      <c r="M16" s="52">
        <v>5</v>
      </c>
      <c r="N16" s="53" t="str">
        <f>IF(P16="","",INDEX($AJ$2:$AJ$49,MATCH(LARGE($AO$2:$AO$49,5),$AO$2:$AO$49,0)))</f>
        <v>Charmander</v>
      </c>
      <c r="O16" s="53" t="str">
        <f>IF(P16="","",INDEX($AK$2:$AK$49,MATCH(LARGE($AO$2:$AO$49,5),$AO$2:$AO$49,0)))</f>
        <v>Helping Speed S</v>
      </c>
      <c r="P16" s="53">
        <f>IFERROR(INDEX($AM$2:$AM$49,MATCH(LARGE($AO$2:$AO$49,5),$AO$2:$AO$49,0)),"")</f>
        <v>4</v>
      </c>
      <c r="Q16" s="53" t="str">
        <f>IF(P16="","",INDEX($AN$2:$AN$49,MATCH(LARGE($AO$2:$AO$49,5),$AO$2:$AO$49,0)))</f>
        <v>EXP Gains</v>
      </c>
      <c r="S16" t="str">
        <f>Data!A16</f>
        <v>Psyduck</v>
      </c>
      <c r="T16" t="str">
        <f>Data!D16</f>
        <v>Oran</v>
      </c>
      <c r="U16">
        <f>Data!B16</f>
        <v>6</v>
      </c>
      <c r="V16">
        <f>Data!P16</f>
        <v>-1</v>
      </c>
      <c r="W16" t="str">
        <f>Data!N16</f>
        <v>Energy Recovery</v>
      </c>
      <c r="X16">
        <f t="shared" si="0"/>
        <v>0</v>
      </c>
      <c r="AA16" t="str">
        <f>Data!A16</f>
        <v>Psyduck</v>
      </c>
      <c r="AB16" t="str">
        <f>Data!E16</f>
        <v>Soothing Cacao</v>
      </c>
      <c r="AC16" t="str">
        <f>Data!F16</f>
        <v>Soothing Cacao</v>
      </c>
      <c r="AD16" t="str">
        <f>Data!G16</f>
        <v>Soothing Cacao</v>
      </c>
      <c r="AE16">
        <f>Data!B16</f>
        <v>6</v>
      </c>
      <c r="AF16">
        <f>Data!Q16</f>
        <v>4.5</v>
      </c>
      <c r="AG16" t="str">
        <f>Data!N16</f>
        <v>Energy Recovery</v>
      </c>
      <c r="AH16">
        <f>(IF($H$5="Curries/Stews",COUNTIF(Helper_Ingredient!$N$3:$N$20,AB16),IF($H$5="Salads",COUNTIF(Helper_Ingredient!$O$3:$O$20,AB16),COUNTIF(Helper_Ingredient!$P$3:$P$19,AB16)))&gt;0)+IF(AE16&gt;=30,(IF($H$5="Curries/Stews",COUNTIF(Helper_Ingredient!$N$3:$N$20,AC16),IF($H$5="Salads",COUNTIF(Helper_Ingredient!$O$3:$O$20,AC16),COUNTIF(Helper_Ingredient!$P$3:$P$19,AC16)))&gt;0),0)+IF(AE16&gt;=60,(IF($H$5="Curries/Stews",COUNTIF(Helper_Ingredient!$N$3:$N$20,AD16),IF($H$5="Salads",COUNTIF(Helper_Ingredient!$O$3:$O$20,AD16),COUNTIF(Helper_Ingredient!$P$3:$P$19,AD16)))&gt;0),0)</f>
        <v>1</v>
      </c>
      <c r="AI16">
        <f t="shared" si="1"/>
        <v>1004506.000016</v>
      </c>
      <c r="AJ16" t="str">
        <f>Data!A16</f>
        <v>Psyduck</v>
      </c>
      <c r="AK16" t="str">
        <f>Data!H16</f>
        <v>Inventory Up M</v>
      </c>
      <c r="AL16">
        <f>Data!B16</f>
        <v>6</v>
      </c>
      <c r="AM16">
        <f>Data!R16</f>
        <v>2</v>
      </c>
      <c r="AN16" t="str">
        <f>Data!N16</f>
        <v>Energy Recovery</v>
      </c>
      <c r="AO16">
        <f t="shared" si="2"/>
        <v>2006.000016</v>
      </c>
    </row>
    <row r="17" spans="1:41">
      <c r="A17" s="52"/>
      <c r="B17" s="59"/>
      <c r="C17" s="53"/>
      <c r="D17" s="53"/>
      <c r="E17" s="53"/>
      <c r="G17" s="52"/>
      <c r="H17" s="53"/>
      <c r="I17" s="53"/>
      <c r="J17" s="53"/>
      <c r="K17" s="53"/>
      <c r="M17" s="52"/>
      <c r="N17" s="53"/>
      <c r="O17" s="53"/>
      <c r="P17" s="53"/>
      <c r="Q17" s="53"/>
      <c r="S17" t="str">
        <f>Data!A17</f>
        <v>Riolu</v>
      </c>
      <c r="T17" t="str">
        <f>Data!D17</f>
        <v>Cheri</v>
      </c>
      <c r="U17">
        <f>Data!B17</f>
        <v>6</v>
      </c>
      <c r="V17">
        <f>Data!P17</f>
        <v>6</v>
      </c>
      <c r="W17" t="str">
        <f>Data!N17</f>
        <v>Speed of Help</v>
      </c>
      <c r="X17">
        <f t="shared" si="0"/>
        <v>0</v>
      </c>
      <c r="AA17" t="str">
        <f>Data!A17</f>
        <v>Riolu</v>
      </c>
      <c r="AB17" t="str">
        <f>Data!E17</f>
        <v>Pure Oil</v>
      </c>
      <c r="AC17" t="str">
        <f>Data!F17</f>
        <v>Soft Potato</v>
      </c>
      <c r="AD17" t="str">
        <f>Data!G17</f>
        <v>Pure Oil</v>
      </c>
      <c r="AE17">
        <f>Data!B17</f>
        <v>6</v>
      </c>
      <c r="AF17">
        <f>Data!Q17</f>
        <v>-1</v>
      </c>
      <c r="AG17" t="str">
        <f>Data!N17</f>
        <v>Speed of Help</v>
      </c>
      <c r="AH17">
        <f>(IF($H$5="Curries/Stews",COUNTIF(Helper_Ingredient!$N$3:$N$20,AB17),IF($H$5="Salads",COUNTIF(Helper_Ingredient!$O$3:$O$20,AB17),COUNTIF(Helper_Ingredient!$P$3:$P$19,AB17)))&gt;0)+IF(AE17&gt;=30,(IF($H$5="Curries/Stews",COUNTIF(Helper_Ingredient!$N$3:$N$20,AC17),IF($H$5="Salads",COUNTIF(Helper_Ingredient!$O$3:$O$20,AC17),COUNTIF(Helper_Ingredient!$P$3:$P$19,AC17)))&gt;0),0)+IF(AE17&gt;=60,(IF($H$5="Curries/Stews",COUNTIF(Helper_Ingredient!$N$3:$N$20,AD17),IF($H$5="Salads",COUNTIF(Helper_Ingredient!$O$3:$O$20,AD17),COUNTIF(Helper_Ingredient!$P$3:$P$19,AD17)))&gt;0),0)</f>
        <v>1</v>
      </c>
      <c r="AI17">
        <f t="shared" si="1"/>
        <v>999006.00001700001</v>
      </c>
      <c r="AJ17" t="str">
        <f>Data!A17</f>
        <v>Riolu</v>
      </c>
      <c r="AK17" t="str">
        <f>Data!H17</f>
        <v>Helping Speed M</v>
      </c>
      <c r="AL17">
        <f>Data!B17</f>
        <v>6</v>
      </c>
      <c r="AM17">
        <f>Data!R17</f>
        <v>2</v>
      </c>
      <c r="AN17" t="str">
        <f>Data!N17</f>
        <v>Speed of Help</v>
      </c>
      <c r="AO17">
        <f t="shared" si="2"/>
        <v>2006.0000170000001</v>
      </c>
    </row>
    <row r="18" spans="1:41">
      <c r="A18" s="62" t="s">
        <v>31</v>
      </c>
      <c r="B18" s="63"/>
      <c r="C18" s="63"/>
      <c r="D18" s="63"/>
      <c r="E18" s="64"/>
      <c r="G18" s="62" t="s">
        <v>31</v>
      </c>
      <c r="H18" s="63"/>
      <c r="I18" s="63"/>
      <c r="J18" s="63"/>
      <c r="K18" s="64"/>
      <c r="M18" s="62" t="s">
        <v>31</v>
      </c>
      <c r="N18" s="63"/>
      <c r="O18" s="63"/>
      <c r="P18" s="63"/>
      <c r="Q18" s="64"/>
      <c r="S18" t="str">
        <f>Data!A18</f>
        <v>Treecko</v>
      </c>
      <c r="T18" t="str">
        <f>Data!D18</f>
        <v>Durin</v>
      </c>
      <c r="U18">
        <f>Data!B18</f>
        <v>8</v>
      </c>
      <c r="V18">
        <f>Data!P18</f>
        <v>3</v>
      </c>
      <c r="W18" t="str">
        <f>Data!N18</f>
        <v>Ingredient Finding</v>
      </c>
      <c r="X18">
        <f t="shared" si="0"/>
        <v>0</v>
      </c>
      <c r="AA18" t="str">
        <f>Data!A18</f>
        <v>Treecko</v>
      </c>
      <c r="AB18" t="str">
        <f>Data!E18</f>
        <v>Fancy Egg</v>
      </c>
      <c r="AC18" t="str">
        <f>Data!F18</f>
        <v>Fancy Egg</v>
      </c>
      <c r="AD18" t="str">
        <f>Data!G18</f>
        <v>Rousing Coffee</v>
      </c>
      <c r="AE18">
        <f>Data!B18</f>
        <v>8</v>
      </c>
      <c r="AF18">
        <f>Data!Q18</f>
        <v>3</v>
      </c>
      <c r="AG18" t="str">
        <f>Data!N18</f>
        <v>Ingredient Finding</v>
      </c>
      <c r="AH18">
        <f>(IF($H$5="Curries/Stews",COUNTIF(Helper_Ingredient!$N$3:$N$20,AB18),IF($H$5="Salads",COUNTIF(Helper_Ingredient!$O$3:$O$20,AB18),COUNTIF(Helper_Ingredient!$P$3:$P$19,AB18)))&gt;0)+IF(AE18&gt;=30,(IF($H$5="Curries/Stews",COUNTIF(Helper_Ingredient!$N$3:$N$20,AC18),IF($H$5="Salads",COUNTIF(Helper_Ingredient!$O$3:$O$20,AC18),COUNTIF(Helper_Ingredient!$P$3:$P$19,AC18)))&gt;0),0)+IF(AE18&gt;=60,(IF($H$5="Curries/Stews",COUNTIF(Helper_Ingredient!$N$3:$N$20,AD18),IF($H$5="Salads",COUNTIF(Helper_Ingredient!$O$3:$O$20,AD18),COUNTIF(Helper_Ingredient!$P$3:$P$19,AD18)))&gt;0),0)</f>
        <v>1</v>
      </c>
      <c r="AI18">
        <f t="shared" si="1"/>
        <v>1003008.000018</v>
      </c>
      <c r="AJ18" t="str">
        <f>Data!A18</f>
        <v>Treecko</v>
      </c>
      <c r="AK18" t="str">
        <f>Data!H18</f>
        <v>Helping Speed S</v>
      </c>
      <c r="AL18">
        <f>Data!B18</f>
        <v>8</v>
      </c>
      <c r="AM18">
        <f>Data!R18</f>
        <v>0</v>
      </c>
      <c r="AN18" t="str">
        <f>Data!N18</f>
        <v>Ingredient Finding</v>
      </c>
      <c r="AO18">
        <f t="shared" si="2"/>
        <v>8.0000180000000007</v>
      </c>
    </row>
    <row r="19" spans="1:41">
      <c r="A19" s="52">
        <v>1</v>
      </c>
      <c r="B19" s="59" t="str">
        <f>IF($D19="","",INDEX($S$2:$S$250,MATCH(LARGE($X$2:$X$250,6),$X$2:$X$250,0)))</f>
        <v/>
      </c>
      <c r="C19" s="53" t="str">
        <f>IF($D19="","",INDEX($T$2:$T$250,MATCH(LARGE($X$2:$X$250,6),$X$2:$X$250,0)))</f>
        <v/>
      </c>
      <c r="D19" s="53" t="str">
        <f>IFERROR(IF(LARGE($X$2:$X$250,6)&lt;=0,"",INDEX($V$2:$V$250,MATCH(LARGE($X$2:$X$250,6),$X$2:$X$250,0))),"")</f>
        <v/>
      </c>
      <c r="E19" s="53" t="str">
        <f>IF($D19="","",INDEX($W$2:$W$250,MATCH(LARGE($X$2:$X$250,6),$X$2:$X$250,0)))</f>
        <v/>
      </c>
      <c r="G19" s="52">
        <v>1</v>
      </c>
      <c r="H19" s="53" t="str">
        <f>IF($J19="","",INDEX($AA$2:$AA$250,MATCH(LARGE($AI$2:$AI$250,6),$AI$2:$AI$250,0)))</f>
        <v>Marshtomp</v>
      </c>
      <c r="I19" s="53" t="str">
        <f>IF($J19="","",INDEX($AB$2:$AB$250,MATCH(LARGE($AI$2:$AI$250,6),$AI$2:$AI$250,0)))</f>
        <v>Greengrass Corn</v>
      </c>
      <c r="J19" s="53">
        <f>IFERROR(INDEX($AF$2:$AF$250,MATCH(LARGE($AI$2:$AI$250,6),$AI$2:$AI$250,0)),"")</f>
        <v>5</v>
      </c>
      <c r="K19" s="53" t="str">
        <f>IF($J19="","",INDEX($AG$2:$AG$250,MATCH(LARGE($AI$2:$AI$250,6),$AI$2:$AI$250,0)))</f>
        <v>Speed of Help</v>
      </c>
      <c r="M19" s="52">
        <v>1</v>
      </c>
      <c r="N19" s="53" t="str">
        <f>IF(P19="","",INDEX($AJ$2:$AJ$49,MATCH(LARGE($AO$2:$AO$49,6),$AO$2:$AO$49,0)))</f>
        <v>Riolu</v>
      </c>
      <c r="O19" s="53" t="str">
        <f>IF(P19="","",INDEX($AK$2:$AK$49,MATCH(LARGE($AO$2:$AO$49,6),$AO$2:$AO$49,0)))</f>
        <v>Inventory Up L</v>
      </c>
      <c r="P19" s="53">
        <f>IFERROR(INDEX($AM$2:$AM$49,MATCH(LARGE($AO$2:$AO$49,6),$AO$2:$AO$49,0)),"")</f>
        <v>4</v>
      </c>
      <c r="Q19" s="53" t="str">
        <f>IF(P19="","",INDEX($AN$2:$AN$49,MATCH(LARGE($AO$2:$AO$49,6),$AO$2:$AO$49,0)))</f>
        <v>Main Skill Chance</v>
      </c>
      <c r="S19" t="str">
        <f>Data!A19</f>
        <v>Swablu</v>
      </c>
      <c r="T19" t="str">
        <f>Data!D19</f>
        <v>Lum</v>
      </c>
      <c r="U19">
        <f>Data!B19</f>
        <v>5</v>
      </c>
      <c r="V19">
        <f>Data!P19</f>
        <v>0</v>
      </c>
      <c r="W19" t="str">
        <f>Data!N19</f>
        <v>EXP Gains</v>
      </c>
      <c r="X19">
        <f t="shared" si="0"/>
        <v>0</v>
      </c>
      <c r="AA19" t="str">
        <f>Data!A19</f>
        <v>Swablu</v>
      </c>
      <c r="AB19" t="str">
        <f>Data!E19</f>
        <v>Fancy Egg</v>
      </c>
      <c r="AC19" t="str">
        <f>Data!F19</f>
        <v>Greengrass Soybeans</v>
      </c>
      <c r="AD19" t="str">
        <f>Data!G19</f>
        <v>Greengrass Soybeans</v>
      </c>
      <c r="AE19">
        <f>Data!B19</f>
        <v>5</v>
      </c>
      <c r="AF19">
        <f>Data!Q19</f>
        <v>3.5</v>
      </c>
      <c r="AG19" t="str">
        <f>Data!N19</f>
        <v>EXP Gains</v>
      </c>
      <c r="AH19">
        <f>(IF($H$5="Curries/Stews",COUNTIF(Helper_Ingredient!$N$3:$N$20,AB19),IF($H$5="Salads",COUNTIF(Helper_Ingredient!$O$3:$O$20,AB19),COUNTIF(Helper_Ingredient!$P$3:$P$19,AB19)))&gt;0)+IF(AE19&gt;=30,(IF($H$5="Curries/Stews",COUNTIF(Helper_Ingredient!$N$3:$N$20,AC19),IF($H$5="Salads",COUNTIF(Helper_Ingredient!$O$3:$O$20,AC19),COUNTIF(Helper_Ingredient!$P$3:$P$19,AC19)))&gt;0),0)+IF(AE19&gt;=60,(IF($H$5="Curries/Stews",COUNTIF(Helper_Ingredient!$N$3:$N$20,AD19),IF($H$5="Salads",COUNTIF(Helper_Ingredient!$O$3:$O$20,AD19),COUNTIF(Helper_Ingredient!$P$3:$P$19,AD19)))&gt;0),0)</f>
        <v>1</v>
      </c>
      <c r="AI19">
        <f t="shared" si="1"/>
        <v>1003505.000019</v>
      </c>
      <c r="AJ19" t="str">
        <f>Data!A19</f>
        <v>Swablu</v>
      </c>
      <c r="AK19" t="str">
        <f>Data!H19</f>
        <v>Skill Trigger S</v>
      </c>
      <c r="AL19">
        <f>Data!B19</f>
        <v>5</v>
      </c>
      <c r="AM19">
        <f>Data!R19</f>
        <v>3</v>
      </c>
      <c r="AN19" t="str">
        <f>Data!N19</f>
        <v>EXP Gains</v>
      </c>
      <c r="AO19">
        <f t="shared" si="2"/>
        <v>3005.0000190000001</v>
      </c>
    </row>
    <row r="20" spans="1:41">
      <c r="A20" s="52">
        <v>2</v>
      </c>
      <c r="B20" s="59" t="str">
        <f>IF($D20="","",INDEX($S$2:$S$250,MATCH(LARGE($X$2:$X$250,7),$X$2:$X$250,0)))</f>
        <v/>
      </c>
      <c r="C20" s="53" t="str">
        <f>IF($D20="","",INDEX($T$2:$T$250,MATCH(LARGE($X$2:$X$250,7),$X$2:$X$250,0)))</f>
        <v/>
      </c>
      <c r="D20" s="53" t="str">
        <f>IFERROR(IF(LARGE($X$2:$X$250,7)&lt;=0,"",INDEX($V$2:$V$250,MATCH(LARGE($X$2:$X$250,7),$X$2:$X$250,0))),"")</f>
        <v/>
      </c>
      <c r="E20" s="53" t="str">
        <f>IF($D20="","",INDEX($W$2:$W$250,MATCH(LARGE($X$2:$X$250,7),$X$2:$X$250,0)))</f>
        <v/>
      </c>
      <c r="G20" s="52">
        <v>2</v>
      </c>
      <c r="H20" s="53" t="str">
        <f>IF($J20="","",INDEX($AA$2:$AA$250,MATCH(LARGE($AI$2:$AI$250,7),$AI$2:$AI$250,0)))</f>
        <v>Treecko</v>
      </c>
      <c r="I20" s="53" t="str">
        <f>IF($J20="","",INDEX($AB$2:$AB$250,MATCH(LARGE($AI$2:$AI$250,7),$AI$2:$AI$250,0)))</f>
        <v>Fancy Egg</v>
      </c>
      <c r="J20" s="53">
        <f>IFERROR(INDEX($AF$2:$AF$250,MATCH(LARGE($AI$2:$AI$250,7),$AI$2:$AI$250,0)),"")</f>
        <v>5</v>
      </c>
      <c r="K20" s="53" t="str">
        <f>IF($J20="","",INDEX($AG$2:$AG$250,MATCH(LARGE($AI$2:$AI$250,7),$AI$2:$AI$250,0)))</f>
        <v>Speed of Help</v>
      </c>
      <c r="M20" s="52">
        <v>2</v>
      </c>
      <c r="N20" s="53" t="str">
        <f>IF(P20="","",INDEX($AJ$2:$AJ$49,MATCH(LARGE($AO$2:$AO$49,7),$AO$2:$AO$49,0)))</f>
        <v>Growlithe</v>
      </c>
      <c r="O20" s="53" t="str">
        <f>IF(P20="","",INDEX($AK$2:$AK$49,MATCH(LARGE($AO$2:$AO$49,7),$AO$2:$AO$49,0)))</f>
        <v>Energy Recovery Bonus</v>
      </c>
      <c r="P20" s="53">
        <f>IFERROR(INDEX($AM$2:$AM$49,MATCH(LARGE($AO$2:$AO$49,7),$AO$2:$AO$49,0)),"")</f>
        <v>3.5</v>
      </c>
      <c r="Q20" s="53" t="str">
        <f>IF(P20="","",INDEX($AN$2:$AN$49,MATCH(LARGE($AO$2:$AO$49,7),$AO$2:$AO$49,0)))</f>
        <v>EXP Gains</v>
      </c>
      <c r="S20" t="str">
        <f>Data!A20</f>
        <v>Drifloon</v>
      </c>
      <c r="T20" t="str">
        <f>Data!D20</f>
        <v>Bluk</v>
      </c>
      <c r="U20">
        <f>Data!B20</f>
        <v>6</v>
      </c>
      <c r="V20">
        <f>Data!P20</f>
        <v>3</v>
      </c>
      <c r="W20" t="str">
        <f>Data!N20</f>
        <v>Speed of Help</v>
      </c>
      <c r="X20">
        <f t="shared" si="0"/>
        <v>0</v>
      </c>
      <c r="AA20" t="str">
        <f>Data!A20</f>
        <v>Drifloon</v>
      </c>
      <c r="AB20" t="str">
        <f>Data!E20</f>
        <v>Greengrass Corn</v>
      </c>
      <c r="AC20" t="str">
        <f>Data!F20</f>
        <v>Pure Oil</v>
      </c>
      <c r="AD20" t="str">
        <f>Data!G20</f>
        <v>Pure Oil</v>
      </c>
      <c r="AE20">
        <f>Data!B20</f>
        <v>6</v>
      </c>
      <c r="AF20">
        <f>Data!Q20</f>
        <v>1.5</v>
      </c>
      <c r="AG20" t="str">
        <f>Data!N20</f>
        <v>Speed of Help</v>
      </c>
      <c r="AH20">
        <f>(IF($H$5="Curries/Stews",COUNTIF(Helper_Ingredient!$N$3:$N$20,AB20),IF($H$5="Salads",COUNTIF(Helper_Ingredient!$O$3:$O$20,AB20),COUNTIF(Helper_Ingredient!$P$3:$P$19,AB20)))&gt;0)+IF(AE20&gt;=30,(IF($H$5="Curries/Stews",COUNTIF(Helper_Ingredient!$N$3:$N$20,AC20),IF($H$5="Salads",COUNTIF(Helper_Ingredient!$O$3:$O$20,AC20),COUNTIF(Helper_Ingredient!$P$3:$P$19,AC20)))&gt;0),0)+IF(AE20&gt;=60,(IF($H$5="Curries/Stews",COUNTIF(Helper_Ingredient!$N$3:$N$20,AD20),IF($H$5="Salads",COUNTIF(Helper_Ingredient!$O$3:$O$20,AD20),COUNTIF(Helper_Ingredient!$P$3:$P$19,AD20)))&gt;0),0)</f>
        <v>1</v>
      </c>
      <c r="AI20">
        <f t="shared" si="1"/>
        <v>1001506.00002</v>
      </c>
      <c r="AJ20" t="str">
        <f>Data!A20</f>
        <v>Drifloon</v>
      </c>
      <c r="AK20" t="str">
        <f>Data!H20</f>
        <v>Ingredient Finder S</v>
      </c>
      <c r="AL20">
        <f>Data!B20</f>
        <v>6</v>
      </c>
      <c r="AM20">
        <f>Data!R20</f>
        <v>2</v>
      </c>
      <c r="AN20" t="str">
        <f>Data!N20</f>
        <v>Speed of Help</v>
      </c>
      <c r="AO20">
        <f t="shared" si="2"/>
        <v>2006.0000199999999</v>
      </c>
    </row>
    <row r="21" spans="1:41">
      <c r="A21" s="52">
        <v>3</v>
      </c>
      <c r="B21" s="59" t="str">
        <f>IF($D21="","",INDEX($S$2:$S$250,MATCH(LARGE($X$2:$X$250,8),$X$2:$X$250,0)))</f>
        <v/>
      </c>
      <c r="C21" s="53" t="str">
        <f>IF($D21="","",INDEX($T$2:$T$250,MATCH(LARGE($X$2:$X$250,8),$X$2:$X$250,0)))</f>
        <v/>
      </c>
      <c r="D21" s="53" t="str">
        <f>IFERROR(IF(LARGE($X$2:$X$250,8)&lt;=0,"",INDEX($V$2:$V$250,MATCH(LARGE($X$2:$X$250,8),$X$2:$X$250,0))),"")</f>
        <v/>
      </c>
      <c r="E21" s="53" t="str">
        <f>IF($D21="","",INDEX($W$2:$W$250,MATCH(LARGE($X$2:$X$250,8),$X$2:$X$250,0)))</f>
        <v/>
      </c>
      <c r="G21" s="52">
        <v>3</v>
      </c>
      <c r="H21" s="53" t="str">
        <f>IF($J21="","",INDEX($AA$2:$AA$250,MATCH(LARGE($AI$2:$AI$250,8),$AI$2:$AI$250,0)))</f>
        <v>Magnemite</v>
      </c>
      <c r="I21" s="53" t="str">
        <f>IF($J21="","",INDEX($AB$2:$AB$250,MATCH(LARGE($AI$2:$AI$250,8),$AI$2:$AI$250,0)))</f>
        <v>Pure Oil</v>
      </c>
      <c r="J21" s="53">
        <f>IFERROR(INDEX($AF$2:$AF$250,MATCH(LARGE($AI$2:$AI$250,8),$AI$2:$AI$250,0)),"")</f>
        <v>4.5</v>
      </c>
      <c r="K21" s="53" t="str">
        <f>IF($J21="","",INDEX($AG$2:$AG$250,MATCH(LARGE($AI$2:$AI$250,8),$AI$2:$AI$250,0)))</f>
        <v>Neutral</v>
      </c>
      <c r="M21" s="52">
        <v>3</v>
      </c>
      <c r="N21" s="53" t="str">
        <f>IF(P21="","",INDEX($AJ$2:$AJ$49,MATCH(LARGE($AO$2:$AO$49,8),$AO$2:$AO$49,0)))</f>
        <v>Latias</v>
      </c>
      <c r="O21" s="53" t="str">
        <f>IF(P21="","",INDEX($AK$2:$AK$49,MATCH(LARGE($AO$2:$AO$49,8),$AO$2:$AO$49,0)))</f>
        <v>Sleep EXP Bonus</v>
      </c>
      <c r="P21" s="53">
        <f>IFERROR(INDEX($AM$2:$AM$49,MATCH(LARGE($AO$2:$AO$49,8),$AO$2:$AO$49,0)),"")</f>
        <v>3</v>
      </c>
      <c r="Q21" s="53" t="str">
        <f>IF(P21="","",INDEX($AN$2:$AN$49,MATCH(LARGE($AO$2:$AO$49,8),$AO$2:$AO$49,0)))</f>
        <v>Neutral</v>
      </c>
      <c r="S21" t="str">
        <f>Data!A21</f>
        <v>Mareep</v>
      </c>
      <c r="T21" t="str">
        <f>Data!D21</f>
        <v>Grepa</v>
      </c>
      <c r="U21">
        <f>Data!B21</f>
        <v>11</v>
      </c>
      <c r="V21">
        <f>Data!P21</f>
        <v>4</v>
      </c>
      <c r="W21" t="str">
        <f>Data!N21</f>
        <v>EXP Gains</v>
      </c>
      <c r="X21">
        <f t="shared" si="0"/>
        <v>4011.0000209999998</v>
      </c>
      <c r="AA21" t="str">
        <f>Data!A21</f>
        <v>Mareep</v>
      </c>
      <c r="AB21" t="str">
        <f>Data!E21</f>
        <v>Fiery Herb</v>
      </c>
      <c r="AC21" t="str">
        <f>Data!F21</f>
        <v>Fiery Herb</v>
      </c>
      <c r="AD21" t="str">
        <f>Data!G21</f>
        <v>Fiery Herb</v>
      </c>
      <c r="AE21">
        <f>Data!B21</f>
        <v>11</v>
      </c>
      <c r="AF21">
        <f>Data!Q21</f>
        <v>4.5</v>
      </c>
      <c r="AG21" t="str">
        <f>Data!N21</f>
        <v>EXP Gains</v>
      </c>
      <c r="AH21">
        <f>(IF($H$5="Curries/Stews",COUNTIF(Helper_Ingredient!$N$3:$N$20,AB21),IF($H$5="Salads",COUNTIF(Helper_Ingredient!$O$3:$O$20,AB21),COUNTIF(Helper_Ingredient!$P$3:$P$19,AB21)))&gt;0)+IF(AE21&gt;=30,(IF($H$5="Curries/Stews",COUNTIF(Helper_Ingredient!$N$3:$N$20,AC21),IF($H$5="Salads",COUNTIF(Helper_Ingredient!$O$3:$O$20,AC21),COUNTIF(Helper_Ingredient!$P$3:$P$19,AC21)))&gt;0),0)+IF(AE21&gt;=60,(IF($H$5="Curries/Stews",COUNTIF(Helper_Ingredient!$N$3:$N$20,AD21),IF($H$5="Salads",COUNTIF(Helper_Ingredient!$O$3:$O$20,AD21),COUNTIF(Helper_Ingredient!$P$3:$P$19,AD21)))&gt;0),0)</f>
        <v>1</v>
      </c>
      <c r="AI21">
        <f t="shared" si="1"/>
        <v>1004511.000021</v>
      </c>
      <c r="AJ21" t="str">
        <f>Data!A21</f>
        <v>Mareep</v>
      </c>
      <c r="AK21" t="str">
        <f>Data!H21</f>
        <v>Helping Speed S</v>
      </c>
      <c r="AL21">
        <f>Data!B21</f>
        <v>11</v>
      </c>
      <c r="AM21">
        <f>Data!R21</f>
        <v>0</v>
      </c>
      <c r="AN21" t="str">
        <f>Data!N21</f>
        <v>EXP Gains</v>
      </c>
      <c r="AO21">
        <f t="shared" si="2"/>
        <v>11.000021</v>
      </c>
    </row>
    <row r="22" spans="1:41">
      <c r="A22" s="52">
        <v>4</v>
      </c>
      <c r="B22" s="59" t="str">
        <f>IF($D22="","",INDEX($S$2:$S$250,MATCH(LARGE($X$2:$X$250,9),$X$2:$X$250,0)))</f>
        <v/>
      </c>
      <c r="C22" s="53" t="str">
        <f>IF($D22="","",INDEX($T$2:$T$250,MATCH(LARGE($X$2:$X$250,9),$X$2:$X$250,0)))</f>
        <v/>
      </c>
      <c r="D22" s="53" t="str">
        <f>IFERROR(IF(LARGE($X$2:$X$250,9)&lt;=0,"",INDEX($V$2:$V$250,MATCH(LARGE($X$2:$X$250,9),$X$2:$X$250,0))),"")</f>
        <v/>
      </c>
      <c r="E22" s="53" t="str">
        <f>IF($D22="","",INDEX($W$2:$W$250,MATCH(LARGE($X$2:$X$250,9),$X$2:$X$250,0)))</f>
        <v/>
      </c>
      <c r="G22" s="52">
        <v>4</v>
      </c>
      <c r="H22" s="53" t="str">
        <f>IF($J22="","",INDEX($AA$2:$AA$250,MATCH(LARGE($AI$2:$AI$250,9),$AI$2:$AI$250,0)))</f>
        <v>Mareep</v>
      </c>
      <c r="I22" s="53" t="str">
        <f>IF($J22="","",INDEX($AB$2:$AB$250,MATCH(LARGE($AI$2:$AI$250,9),$AI$2:$AI$250,0)))</f>
        <v>Fiery Herb</v>
      </c>
      <c r="J22" s="53">
        <f>IFERROR(INDEX($AF$2:$AF$250,MATCH(LARGE($AI$2:$AI$250,9),$AI$2:$AI$250,0)),"")</f>
        <v>4.5</v>
      </c>
      <c r="K22" s="53" t="str">
        <f>IF($J22="","",INDEX($AG$2:$AG$250,MATCH(LARGE($AI$2:$AI$250,9),$AI$2:$AI$250,0)))</f>
        <v>EXP Gains</v>
      </c>
      <c r="M22" s="52">
        <v>4</v>
      </c>
      <c r="N22" s="53" t="str">
        <f>IF(P22="","",INDEX($AJ$2:$AJ$49,MATCH(LARGE($AO$2:$AO$49,9),$AO$2:$AO$49,0)))</f>
        <v>Cubone</v>
      </c>
      <c r="O22" s="53" t="str">
        <f>IF(P22="","",INDEX($AK$2:$AK$49,MATCH(LARGE($AO$2:$AO$49,9),$AO$2:$AO$49,0)))</f>
        <v>Helping Speed M</v>
      </c>
      <c r="P22" s="53">
        <f>IFERROR(INDEX($AM$2:$AM$49,MATCH(LARGE($AO$2:$AO$49,9),$AO$2:$AO$49,0)),"")</f>
        <v>3</v>
      </c>
      <c r="Q22" s="53" t="str">
        <f>IF(P22="","",INDEX($AN$2:$AN$49,MATCH(LARGE($AO$2:$AO$49,9),$AO$2:$AO$49,0)))</f>
        <v>Speed of Help</v>
      </c>
      <c r="S22" t="str">
        <f>Data!A22</f>
        <v>Slowpoke</v>
      </c>
      <c r="T22" t="str">
        <f>Data!D22</f>
        <v>Oran</v>
      </c>
      <c r="U22">
        <f>Data!B22</f>
        <v>5</v>
      </c>
      <c r="V22">
        <f>Data!P22</f>
        <v>1</v>
      </c>
      <c r="W22" t="str">
        <f>Data!N22</f>
        <v>Energy Recovery</v>
      </c>
      <c r="X22">
        <f t="shared" si="0"/>
        <v>0</v>
      </c>
      <c r="AA22" t="str">
        <f>Data!A22</f>
        <v>Slowpoke</v>
      </c>
      <c r="AB22" t="str">
        <f>Data!E22</f>
        <v>Soothing Cacao</v>
      </c>
      <c r="AC22" t="str">
        <f>Data!F22</f>
        <v>Slowpoke Tail</v>
      </c>
      <c r="AD22" t="str">
        <f>Data!G22</f>
        <v>Slowpoke Tail</v>
      </c>
      <c r="AE22">
        <f>Data!B22</f>
        <v>5</v>
      </c>
      <c r="AF22">
        <f>Data!Q22</f>
        <v>2.5</v>
      </c>
      <c r="AG22" t="str">
        <f>Data!N22</f>
        <v>Energy Recovery</v>
      </c>
      <c r="AH22">
        <f>(IF($H$5="Curries/Stews",COUNTIF(Helper_Ingredient!$N$3:$N$20,AB22),IF($H$5="Salads",COUNTIF(Helper_Ingredient!$O$3:$O$20,AB22),COUNTIF(Helper_Ingredient!$P$3:$P$19,AB22)))&gt;0)+IF(AE22&gt;=30,(IF($H$5="Curries/Stews",COUNTIF(Helper_Ingredient!$N$3:$N$20,AC22),IF($H$5="Salads",COUNTIF(Helper_Ingredient!$O$3:$O$20,AC22),COUNTIF(Helper_Ingredient!$P$3:$P$19,AC22)))&gt;0),0)+IF(AE22&gt;=60,(IF($H$5="Curries/Stews",COUNTIF(Helper_Ingredient!$N$3:$N$20,AD22),IF($H$5="Salads",COUNTIF(Helper_Ingredient!$O$3:$O$20,AD22),COUNTIF(Helper_Ingredient!$P$3:$P$19,AD22)))&gt;0),0)</f>
        <v>1</v>
      </c>
      <c r="AI22">
        <f t="shared" si="1"/>
        <v>1002505.0000220001</v>
      </c>
      <c r="AJ22" t="str">
        <f>Data!A22</f>
        <v>Slowpoke</v>
      </c>
      <c r="AK22" t="str">
        <f>Data!H22</f>
        <v>Skill Trigger S</v>
      </c>
      <c r="AL22">
        <f>Data!B22</f>
        <v>5</v>
      </c>
      <c r="AM22">
        <f>Data!R22</f>
        <v>1</v>
      </c>
      <c r="AN22" t="str">
        <f>Data!N22</f>
        <v>Energy Recovery</v>
      </c>
      <c r="AO22">
        <f t="shared" si="2"/>
        <v>1005.0000219999999</v>
      </c>
    </row>
    <row r="23" spans="1:41">
      <c r="A23" s="52">
        <v>5</v>
      </c>
      <c r="B23" s="59" t="str">
        <f>IF($D23="","",INDEX($S$2:$S$250,MATCH(LARGE($X$2:$X$250,10),$X$2:$X$250,0)))</f>
        <v/>
      </c>
      <c r="C23" s="53" t="str">
        <f>IF($D23="","",INDEX($T$2:$T$250,MATCH(LARGE($X$2:$X$250,10),$X$2:$X$250,0)))</f>
        <v/>
      </c>
      <c r="D23" s="53" t="str">
        <f>IFERROR(IF(LARGE($X$2:$X$250,10)&lt;=0,"",INDEX($V$2:$V$250,MATCH(LARGE($X$2:$X$250,10),$X$2:$X$250,0))),"")</f>
        <v/>
      </c>
      <c r="E23" s="53" t="str">
        <f>IF($D23="","",INDEX($W$2:$W$250,MATCH(LARGE($X$2:$X$250,10),$X$2:$X$250,0)))</f>
        <v/>
      </c>
      <c r="G23" s="52">
        <v>5</v>
      </c>
      <c r="H23" s="53" t="str">
        <f>IF($J23="","",INDEX($AA$2:$AA$250,MATCH(LARGE($AI$2:$AI$250,10),$AI$2:$AI$250,0)))</f>
        <v>Psyduck</v>
      </c>
      <c r="I23" s="53" t="str">
        <f>IF($J23="","",INDEX($AB$2:$AB$250,MATCH(LARGE($AI$2:$AI$250,10),$AI$2:$AI$250,0)))</f>
        <v>Soothing Cacao</v>
      </c>
      <c r="J23" s="53">
        <f>IFERROR(INDEX($AF$2:$AF$250,MATCH(LARGE($AI$2:$AI$250,10),$AI$2:$AI$250,0)),"")</f>
        <v>4.5</v>
      </c>
      <c r="K23" s="53" t="str">
        <f>IF($J23="","",INDEX($AG$2:$AG$250,MATCH(LARGE($AI$2:$AI$250,10),$AI$2:$AI$250,0)))</f>
        <v>Energy Recovery</v>
      </c>
      <c r="M23" s="52">
        <v>5</v>
      </c>
      <c r="N23" s="53" t="str">
        <f>IF(P23="","",INDEX($AJ$2:$AJ$49,MATCH(LARGE($AO$2:$AO$49,10),$AO$2:$AO$49,0)))</f>
        <v>Squirtle</v>
      </c>
      <c r="O23" s="53" t="str">
        <f>IF(P23="","",INDEX($AK$2:$AK$49,MATCH(LARGE($AO$2:$AO$49,10),$AO$2:$AO$49,0)))</f>
        <v>Ingredient Finder S</v>
      </c>
      <c r="P23" s="53">
        <f>IFERROR(INDEX($AM$2:$AM$49,MATCH(LARGE($AO$2:$AO$49,10),$AO$2:$AO$49,0)),"")</f>
        <v>3</v>
      </c>
      <c r="Q23" s="53" t="str">
        <f>IF(P23="","",INDEX($AN$2:$AN$49,MATCH(LARGE($AO$2:$AO$49,10),$AO$2:$AO$49,0)))</f>
        <v>Neutral</v>
      </c>
      <c r="S23" t="str">
        <f>Data!A23</f>
        <v>Igglybuff</v>
      </c>
      <c r="T23" t="str">
        <f>Data!D23</f>
        <v>Pecha</v>
      </c>
      <c r="U23">
        <f>Data!B23</f>
        <v>4</v>
      </c>
      <c r="V23">
        <f>Data!P23</f>
        <v>5</v>
      </c>
      <c r="W23" t="str">
        <f>Data!N23</f>
        <v>Speed of Help</v>
      </c>
      <c r="X23">
        <f t="shared" si="0"/>
        <v>0</v>
      </c>
      <c r="AA23" t="str">
        <f>Data!A23</f>
        <v>Igglybuff</v>
      </c>
      <c r="AB23" t="str">
        <f>Data!E23</f>
        <v>Honey</v>
      </c>
      <c r="AC23" t="str">
        <f>Data!F23</f>
        <v>Pure Oil</v>
      </c>
      <c r="AD23" t="str">
        <f>Data!G23</f>
        <v>Honey</v>
      </c>
      <c r="AE23">
        <f>Data!B23</f>
        <v>4</v>
      </c>
      <c r="AF23">
        <f>Data!Q23</f>
        <v>1</v>
      </c>
      <c r="AG23" t="str">
        <f>Data!N23</f>
        <v>Speed of Help</v>
      </c>
      <c r="AH23">
        <f>(IF($H$5="Curries/Stews",COUNTIF(Helper_Ingredient!$N$3:$N$20,AB23),IF($H$5="Salads",COUNTIF(Helper_Ingredient!$O$3:$O$20,AB23),COUNTIF(Helper_Ingredient!$P$3:$P$19,AB23)))&gt;0)+IF(AE23&gt;=30,(IF($H$5="Curries/Stews",COUNTIF(Helper_Ingredient!$N$3:$N$20,AC23),IF($H$5="Salads",COUNTIF(Helper_Ingredient!$O$3:$O$20,AC23),COUNTIF(Helper_Ingredient!$P$3:$P$19,AC23)))&gt;0),0)+IF(AE23&gt;=60,(IF($H$5="Curries/Stews",COUNTIF(Helper_Ingredient!$N$3:$N$20,AD23),IF($H$5="Salads",COUNTIF(Helper_Ingredient!$O$3:$O$20,AD23),COUNTIF(Helper_Ingredient!$P$3:$P$19,AD23)))&gt;0),0)</f>
        <v>1</v>
      </c>
      <c r="AI23">
        <f t="shared" si="1"/>
        <v>1001004.0000229999</v>
      </c>
      <c r="AJ23" t="str">
        <f>Data!A23</f>
        <v>Igglybuff</v>
      </c>
      <c r="AK23" t="str">
        <f>Data!H23</f>
        <v>Ingredient Finder S</v>
      </c>
      <c r="AL23">
        <f>Data!B23</f>
        <v>4</v>
      </c>
      <c r="AM23">
        <f>Data!R23</f>
        <v>0</v>
      </c>
      <c r="AN23" t="str">
        <f>Data!N23</f>
        <v>Speed of Help</v>
      </c>
      <c r="AO23">
        <f t="shared" si="2"/>
        <v>4.0000229999999997</v>
      </c>
    </row>
    <row r="24" spans="1:41">
      <c r="S24" t="str">
        <f>Data!A24</f>
        <v>Wynaut</v>
      </c>
      <c r="T24" t="str">
        <f>Data!D24</f>
        <v>Mago</v>
      </c>
      <c r="U24">
        <f>Data!B24</f>
        <v>9</v>
      </c>
      <c r="V24">
        <f>Data!P24</f>
        <v>4</v>
      </c>
      <c r="W24" t="str">
        <f>Data!N24</f>
        <v>EXP Gains</v>
      </c>
      <c r="X24">
        <f t="shared" si="0"/>
        <v>0</v>
      </c>
      <c r="AA24" t="str">
        <f>Data!A24</f>
        <v>Wynaut</v>
      </c>
      <c r="AB24" t="str">
        <f>Data!E24</f>
        <v>Fancy Apple</v>
      </c>
      <c r="AC24" t="str">
        <f>Data!F24</f>
        <v>Tasty Mushroom</v>
      </c>
      <c r="AD24" t="str">
        <f>Data!G24</f>
        <v>Pure Oil</v>
      </c>
      <c r="AE24">
        <f>Data!B24</f>
        <v>9</v>
      </c>
      <c r="AF24">
        <f>Data!Q24</f>
        <v>0.5</v>
      </c>
      <c r="AG24" t="str">
        <f>Data!N24</f>
        <v>EXP Gains</v>
      </c>
      <c r="AH24">
        <f>(IF($H$5="Curries/Stews",COUNTIF(Helper_Ingredient!$N$3:$N$20,AB24),IF($H$5="Salads",COUNTIF(Helper_Ingredient!$O$3:$O$20,AB24),COUNTIF(Helper_Ingredient!$P$3:$P$19,AB24)))&gt;0)+IF(AE24&gt;=30,(IF($H$5="Curries/Stews",COUNTIF(Helper_Ingredient!$N$3:$N$20,AC24),IF($H$5="Salads",COUNTIF(Helper_Ingredient!$O$3:$O$20,AC24),COUNTIF(Helper_Ingredient!$P$3:$P$19,AC24)))&gt;0),0)+IF(AE24&gt;=60,(IF($H$5="Curries/Stews",COUNTIF(Helper_Ingredient!$N$3:$N$20,AD24),IF($H$5="Salads",COUNTIF(Helper_Ingredient!$O$3:$O$20,AD24),COUNTIF(Helper_Ingredient!$P$3:$P$19,AD24)))&gt;0),0)</f>
        <v>0</v>
      </c>
      <c r="AI24">
        <f t="shared" si="1"/>
        <v>0</v>
      </c>
      <c r="AJ24" t="str">
        <f>Data!A24</f>
        <v>Wynaut</v>
      </c>
      <c r="AK24" t="str">
        <f>Data!H24</f>
        <v>Helping Speed M</v>
      </c>
      <c r="AL24">
        <f>Data!B24</f>
        <v>9</v>
      </c>
      <c r="AM24">
        <f>Data!R24</f>
        <v>2</v>
      </c>
      <c r="AN24" t="str">
        <f>Data!N24</f>
        <v>EXP Gains</v>
      </c>
      <c r="AO24">
        <f t="shared" si="2"/>
        <v>2009.0000239999999</v>
      </c>
    </row>
    <row r="25" spans="1:41">
      <c r="S25" t="str">
        <f>Data!A25</f>
        <v>Pichu</v>
      </c>
      <c r="T25" t="str">
        <f>Data!D25</f>
        <v>Grepa</v>
      </c>
      <c r="U25">
        <f>Data!B25</f>
        <v>5</v>
      </c>
      <c r="V25">
        <f>Data!P25</f>
        <v>-2</v>
      </c>
      <c r="W25" t="str">
        <f>Data!N25</f>
        <v>Energy Recovery</v>
      </c>
      <c r="X25">
        <f t="shared" si="0"/>
        <v>-1994.9999749999999</v>
      </c>
      <c r="AA25" t="str">
        <f>Data!A25</f>
        <v>Pichu</v>
      </c>
      <c r="AB25" t="str">
        <f>Data!E25</f>
        <v>Fancy Apple</v>
      </c>
      <c r="AC25" t="str">
        <f>Data!F25</f>
        <v>Warming Ginger</v>
      </c>
      <c r="AD25" t="str">
        <f>Data!G25</f>
        <v>Fancy Egg</v>
      </c>
      <c r="AE25">
        <f>Data!B25</f>
        <v>5</v>
      </c>
      <c r="AF25">
        <f>Data!Q25</f>
        <v>3.5</v>
      </c>
      <c r="AG25" t="str">
        <f>Data!N25</f>
        <v>Energy Recovery</v>
      </c>
      <c r="AH25">
        <f>(IF($H$5="Curries/Stews",COUNTIF(Helper_Ingredient!$N$3:$N$20,AB25),IF($H$5="Salads",COUNTIF(Helper_Ingredient!$O$3:$O$20,AB25),COUNTIF(Helper_Ingredient!$P$3:$P$19,AB25)))&gt;0)+IF(AE25&gt;=30,(IF($H$5="Curries/Stews",COUNTIF(Helper_Ingredient!$N$3:$N$20,AC25),IF($H$5="Salads",COUNTIF(Helper_Ingredient!$O$3:$O$20,AC25),COUNTIF(Helper_Ingredient!$P$3:$P$19,AC25)))&gt;0),0)+IF(AE25&gt;=60,(IF($H$5="Curries/Stews",COUNTIF(Helper_Ingredient!$N$3:$N$20,AD25),IF($H$5="Salads",COUNTIF(Helper_Ingredient!$O$3:$O$20,AD25),COUNTIF(Helper_Ingredient!$P$3:$P$19,AD25)))&gt;0),0)</f>
        <v>0</v>
      </c>
      <c r="AI25">
        <f t="shared" si="1"/>
        <v>0</v>
      </c>
      <c r="AJ25" t="str">
        <f>Data!A25</f>
        <v>Pichu</v>
      </c>
      <c r="AK25" t="str">
        <f>Data!H25</f>
        <v>Ingredient Finder M</v>
      </c>
      <c r="AL25">
        <f>Data!B25</f>
        <v>5</v>
      </c>
      <c r="AM25">
        <f>Data!R25</f>
        <v>2</v>
      </c>
      <c r="AN25" t="str">
        <f>Data!N25</f>
        <v>Energy Recovery</v>
      </c>
      <c r="AO25">
        <f t="shared" si="2"/>
        <v>2005.0000250000001</v>
      </c>
    </row>
    <row r="26" spans="1:41">
      <c r="S26" t="str">
        <f>Data!A26</f>
        <v>Larvitar</v>
      </c>
      <c r="T26" t="str">
        <f>Data!D26</f>
        <v>Sitrus</v>
      </c>
      <c r="U26">
        <f>Data!B26</f>
        <v>7</v>
      </c>
      <c r="V26">
        <f>Data!P26</f>
        <v>3</v>
      </c>
      <c r="W26" t="str">
        <f>Data!N26</f>
        <v>Neutral</v>
      </c>
      <c r="X26">
        <f t="shared" si="0"/>
        <v>0</v>
      </c>
      <c r="AA26" t="str">
        <f>Data!A26</f>
        <v>Larvitar</v>
      </c>
      <c r="AB26" t="str">
        <f>Data!E26</f>
        <v>Warming Ginger</v>
      </c>
      <c r="AC26" t="str">
        <f>Data!F26</f>
        <v>Greengrass Soybeans</v>
      </c>
      <c r="AD26" t="str">
        <f>Data!G26</f>
        <v>Greengrass Soybeans</v>
      </c>
      <c r="AE26">
        <f>Data!B26</f>
        <v>7</v>
      </c>
      <c r="AF26">
        <f>Data!Q26</f>
        <v>2.5</v>
      </c>
      <c r="AG26" t="str">
        <f>Data!N26</f>
        <v>Neutral</v>
      </c>
      <c r="AH26">
        <f>(IF($H$5="Curries/Stews",COUNTIF(Helper_Ingredient!$N$3:$N$20,AB26),IF($H$5="Salads",COUNTIF(Helper_Ingredient!$O$3:$O$20,AB26),COUNTIF(Helper_Ingredient!$P$3:$P$19,AB26)))&gt;0)+IF(AE26&gt;=30,(IF($H$5="Curries/Stews",COUNTIF(Helper_Ingredient!$N$3:$N$20,AC26),IF($H$5="Salads",COUNTIF(Helper_Ingredient!$O$3:$O$20,AC26),COUNTIF(Helper_Ingredient!$P$3:$P$19,AC26)))&gt;0),0)+IF(AE26&gt;=60,(IF($H$5="Curries/Stews",COUNTIF(Helper_Ingredient!$N$3:$N$20,AD26),IF($H$5="Salads",COUNTIF(Helper_Ingredient!$O$3:$O$20,AD26),COUNTIF(Helper_Ingredient!$P$3:$P$19,AD26)))&gt;0),0)</f>
        <v>1</v>
      </c>
      <c r="AI26">
        <f t="shared" si="1"/>
        <v>1002507.000026</v>
      </c>
      <c r="AJ26" t="str">
        <f>Data!A26</f>
        <v>Larvitar</v>
      </c>
      <c r="AK26" t="str">
        <f>Data!H26</f>
        <v>Helping Speed S</v>
      </c>
      <c r="AL26">
        <f>Data!B26</f>
        <v>7</v>
      </c>
      <c r="AM26">
        <f>Data!R26</f>
        <v>2</v>
      </c>
      <c r="AN26" t="str">
        <f>Data!N26</f>
        <v>Neutral</v>
      </c>
      <c r="AO26">
        <f t="shared" si="2"/>
        <v>2007.0000259999999</v>
      </c>
    </row>
    <row r="27" spans="1:41">
      <c r="S27" t="str">
        <f>Data!A27</f>
        <v>Bulbasaur</v>
      </c>
      <c r="T27" t="str">
        <f>Data!D27</f>
        <v>Durin</v>
      </c>
      <c r="U27">
        <f>Data!B27</f>
        <v>6</v>
      </c>
      <c r="V27">
        <f>Data!P27</f>
        <v>3</v>
      </c>
      <c r="W27" t="str">
        <f>Data!N27</f>
        <v>Energy Recovery</v>
      </c>
      <c r="X27">
        <f t="shared" si="0"/>
        <v>0</v>
      </c>
      <c r="AA27" t="str">
        <f>Data!A27</f>
        <v>Bulbasaur</v>
      </c>
      <c r="AB27" t="str">
        <f>Data!E27</f>
        <v>Honey</v>
      </c>
      <c r="AC27" t="str">
        <f>Data!F27</f>
        <v>Honey</v>
      </c>
      <c r="AD27" t="str">
        <f>Data!G27</f>
        <v>Honey</v>
      </c>
      <c r="AE27">
        <f>Data!B27</f>
        <v>6</v>
      </c>
      <c r="AF27">
        <f>Data!Q27</f>
        <v>1.5</v>
      </c>
      <c r="AG27" t="str">
        <f>Data!N27</f>
        <v>Energy Recovery</v>
      </c>
      <c r="AH27">
        <f>(IF($H$5="Curries/Stews",COUNTIF(Helper_Ingredient!$N$3:$N$20,AB27),IF($H$5="Salads",COUNTIF(Helper_Ingredient!$O$3:$O$20,AB27),COUNTIF(Helper_Ingredient!$P$3:$P$19,AB27)))&gt;0)+IF(AE27&gt;=30,(IF($H$5="Curries/Stews",COUNTIF(Helper_Ingredient!$N$3:$N$20,AC27),IF($H$5="Salads",COUNTIF(Helper_Ingredient!$O$3:$O$20,AC27),COUNTIF(Helper_Ingredient!$P$3:$P$19,AC27)))&gt;0),0)+IF(AE27&gt;=60,(IF($H$5="Curries/Stews",COUNTIF(Helper_Ingredient!$N$3:$N$20,AD27),IF($H$5="Salads",COUNTIF(Helper_Ingredient!$O$3:$O$20,AD27),COUNTIF(Helper_Ingredient!$P$3:$P$19,AD27)))&gt;0),0)</f>
        <v>1</v>
      </c>
      <c r="AI27">
        <f t="shared" si="1"/>
        <v>1001506.000027</v>
      </c>
      <c r="AJ27" t="str">
        <f>Data!A27</f>
        <v>Bulbasaur</v>
      </c>
      <c r="AK27" t="str">
        <f>Data!H27</f>
        <v>Helping Speed M</v>
      </c>
      <c r="AL27">
        <f>Data!B27</f>
        <v>6</v>
      </c>
      <c r="AM27">
        <f>Data!R27</f>
        <v>2</v>
      </c>
      <c r="AN27" t="str">
        <f>Data!N27</f>
        <v>Energy Recovery</v>
      </c>
      <c r="AO27">
        <f t="shared" si="2"/>
        <v>2006.000027</v>
      </c>
    </row>
    <row r="28" spans="1:41">
      <c r="S28" t="str">
        <f>Data!A28</f>
        <v>Rattata</v>
      </c>
      <c r="T28" t="str">
        <f>Data!D28</f>
        <v>Persim</v>
      </c>
      <c r="U28">
        <f>Data!B28</f>
        <v>6</v>
      </c>
      <c r="V28">
        <f>Data!P28</f>
        <v>1</v>
      </c>
      <c r="W28" t="str">
        <f>Data!N28</f>
        <v>EXP Gains</v>
      </c>
      <c r="X28">
        <f t="shared" si="0"/>
        <v>0</v>
      </c>
      <c r="AA28" t="str">
        <f>Data!A28</f>
        <v>Rattata</v>
      </c>
      <c r="AB28" t="str">
        <f>Data!E28</f>
        <v>Fancy Apple</v>
      </c>
      <c r="AC28" t="str">
        <f>Data!F28</f>
        <v>Fancy Apple</v>
      </c>
      <c r="AD28" t="str">
        <f>Data!G28</f>
        <v>Greengrass Soybeans</v>
      </c>
      <c r="AE28">
        <f>Data!B28</f>
        <v>6</v>
      </c>
      <c r="AF28">
        <f>Data!Q28</f>
        <v>6.5</v>
      </c>
      <c r="AG28" t="str">
        <f>Data!N28</f>
        <v>EXP Gains</v>
      </c>
      <c r="AH28">
        <f>(IF($H$5="Curries/Stews",COUNTIF(Helper_Ingredient!$N$3:$N$20,AB28),IF($H$5="Salads",COUNTIF(Helper_Ingredient!$O$3:$O$20,AB28),COUNTIF(Helper_Ingredient!$P$3:$P$19,AB28)))&gt;0)+IF(AE28&gt;=30,(IF($H$5="Curries/Stews",COUNTIF(Helper_Ingredient!$N$3:$N$20,AC28),IF($H$5="Salads",COUNTIF(Helper_Ingredient!$O$3:$O$20,AC28),COUNTIF(Helper_Ingredient!$P$3:$P$19,AC28)))&gt;0),0)+IF(AE28&gt;=60,(IF($H$5="Curries/Stews",COUNTIF(Helper_Ingredient!$N$3:$N$20,AD28),IF($H$5="Salads",COUNTIF(Helper_Ingredient!$O$3:$O$20,AD28),COUNTIF(Helper_Ingredient!$P$3:$P$19,AD28)))&gt;0),0)</f>
        <v>0</v>
      </c>
      <c r="AI28">
        <f t="shared" si="1"/>
        <v>0</v>
      </c>
      <c r="AJ28" t="str">
        <f>Data!A28</f>
        <v>Rattata</v>
      </c>
      <c r="AK28" t="str">
        <f>Data!H28</f>
        <v>Skill Level Up S</v>
      </c>
      <c r="AL28">
        <f>Data!B28</f>
        <v>6</v>
      </c>
      <c r="AM28">
        <f>Data!R28</f>
        <v>1</v>
      </c>
      <c r="AN28" t="str">
        <f>Data!N28</f>
        <v>EXP Gains</v>
      </c>
      <c r="AO28">
        <f t="shared" si="2"/>
        <v>1006.000028</v>
      </c>
    </row>
    <row r="29" spans="1:41">
      <c r="S29" t="str">
        <f>Data!A29</f>
        <v>Mudkip</v>
      </c>
      <c r="T29" t="str">
        <f>Data!D29</f>
        <v>Oran</v>
      </c>
      <c r="U29">
        <f>Data!B29</f>
        <v>6</v>
      </c>
      <c r="V29">
        <f>Data!P29</f>
        <v>3</v>
      </c>
      <c r="W29" t="str">
        <f>Data!N29</f>
        <v>EXP Gains</v>
      </c>
      <c r="X29">
        <f t="shared" si="0"/>
        <v>0</v>
      </c>
      <c r="AA29" t="str">
        <f>Data!A29</f>
        <v>Mudkip</v>
      </c>
      <c r="AB29" t="str">
        <f>Data!E29</f>
        <v>Greengrass Corn</v>
      </c>
      <c r="AC29" t="str">
        <f>Data!F29</f>
        <v>Moomoo Milk</v>
      </c>
      <c r="AD29" t="str">
        <f>Data!G29</f>
        <v>Greengrass Corn</v>
      </c>
      <c r="AE29">
        <f>Data!B29</f>
        <v>6</v>
      </c>
      <c r="AF29">
        <f>Data!Q29</f>
        <v>2.5</v>
      </c>
      <c r="AG29" t="str">
        <f>Data!N29</f>
        <v>EXP Gains</v>
      </c>
      <c r="AH29">
        <f>(IF($H$5="Curries/Stews",COUNTIF(Helper_Ingredient!$N$3:$N$20,AB29),IF($H$5="Salads",COUNTIF(Helper_Ingredient!$O$3:$O$20,AB29),COUNTIF(Helper_Ingredient!$P$3:$P$19,AB29)))&gt;0)+IF(AE29&gt;=30,(IF($H$5="Curries/Stews",COUNTIF(Helper_Ingredient!$N$3:$N$20,AC29),IF($H$5="Salads",COUNTIF(Helper_Ingredient!$O$3:$O$20,AC29),COUNTIF(Helper_Ingredient!$P$3:$P$19,AC29)))&gt;0),0)+IF(AE29&gt;=60,(IF($H$5="Curries/Stews",COUNTIF(Helper_Ingredient!$N$3:$N$20,AD29),IF($H$5="Salads",COUNTIF(Helper_Ingredient!$O$3:$O$20,AD29),COUNTIF(Helper_Ingredient!$P$3:$P$19,AD29)))&gt;0),0)</f>
        <v>1</v>
      </c>
      <c r="AI29">
        <f t="shared" si="1"/>
        <v>1002506.000029</v>
      </c>
      <c r="AJ29" t="str">
        <f>Data!A29</f>
        <v>Mudkip</v>
      </c>
      <c r="AK29" t="str">
        <f>Data!H29</f>
        <v>Ingredient Finder S</v>
      </c>
      <c r="AL29">
        <f>Data!B29</f>
        <v>6</v>
      </c>
      <c r="AM29">
        <f>Data!R29</f>
        <v>3</v>
      </c>
      <c r="AN29" t="str">
        <f>Data!N29</f>
        <v>EXP Gains</v>
      </c>
      <c r="AO29">
        <f t="shared" si="2"/>
        <v>3006.0000289999998</v>
      </c>
    </row>
    <row r="30" spans="1:41">
      <c r="S30" t="str">
        <f>Data!A30</f>
        <v>Cubone</v>
      </c>
      <c r="T30" t="str">
        <f>Data!D30</f>
        <v>Figy</v>
      </c>
      <c r="U30">
        <f>Data!B30</f>
        <v>5</v>
      </c>
      <c r="V30">
        <f>Data!P30</f>
        <v>2</v>
      </c>
      <c r="W30" t="str">
        <f>Data!N30</f>
        <v>Energy Recovery</v>
      </c>
      <c r="X30">
        <f t="shared" si="0"/>
        <v>0</v>
      </c>
      <c r="AA30" t="str">
        <f>Data!A30</f>
        <v>Cubone</v>
      </c>
      <c r="AB30" t="str">
        <f>Data!E30</f>
        <v>Warming Ginger</v>
      </c>
      <c r="AC30" t="str">
        <f>Data!F30</f>
        <v>Soothing Cacao</v>
      </c>
      <c r="AD30" t="str">
        <f>Data!G30</f>
        <v>Warming Ginger</v>
      </c>
      <c r="AE30">
        <f>Data!B30</f>
        <v>5</v>
      </c>
      <c r="AF30">
        <f>Data!Q30</f>
        <v>-2</v>
      </c>
      <c r="AG30" t="str">
        <f>Data!N30</f>
        <v>Energy Recovery</v>
      </c>
      <c r="AH30">
        <f>(IF($H$5="Curries/Stews",COUNTIF(Helper_Ingredient!$N$3:$N$20,AB30),IF($H$5="Salads",COUNTIF(Helper_Ingredient!$O$3:$O$20,AB30),COUNTIF(Helper_Ingredient!$P$3:$P$19,AB30)))&gt;0)+IF(AE30&gt;=30,(IF($H$5="Curries/Stews",COUNTIF(Helper_Ingredient!$N$3:$N$20,AC30),IF($H$5="Salads",COUNTIF(Helper_Ingredient!$O$3:$O$20,AC30),COUNTIF(Helper_Ingredient!$P$3:$P$19,AC30)))&gt;0),0)+IF(AE30&gt;=60,(IF($H$5="Curries/Stews",COUNTIF(Helper_Ingredient!$N$3:$N$20,AD30),IF($H$5="Salads",COUNTIF(Helper_Ingredient!$O$3:$O$20,AD30),COUNTIF(Helper_Ingredient!$P$3:$P$19,AD30)))&gt;0),0)</f>
        <v>1</v>
      </c>
      <c r="AI30">
        <f t="shared" si="1"/>
        <v>998005.00003</v>
      </c>
      <c r="AJ30" t="str">
        <f>Data!A30</f>
        <v>Cubone</v>
      </c>
      <c r="AK30" t="str">
        <f>Data!H30</f>
        <v>Skill Level Up M</v>
      </c>
      <c r="AL30">
        <f>Data!B30</f>
        <v>5</v>
      </c>
      <c r="AM30">
        <f>Data!R30</f>
        <v>5</v>
      </c>
      <c r="AN30" t="str">
        <f>Data!N30</f>
        <v>Energy Recovery</v>
      </c>
      <c r="AO30">
        <f t="shared" si="2"/>
        <v>5005.0000300000002</v>
      </c>
    </row>
    <row r="31" spans="1:41">
      <c r="S31" t="str">
        <f>Data!A31</f>
        <v>Togepi</v>
      </c>
      <c r="T31" t="str">
        <f>Data!D31</f>
        <v>Pecha</v>
      </c>
      <c r="U31">
        <f>Data!B31</f>
        <v>8</v>
      </c>
      <c r="V31">
        <f>Data!P31</f>
        <v>5</v>
      </c>
      <c r="W31" t="str">
        <f>Data!N31</f>
        <v>Speed of Help</v>
      </c>
      <c r="X31">
        <f t="shared" si="0"/>
        <v>0</v>
      </c>
      <c r="AA31" t="str">
        <f>Data!A31</f>
        <v>Togepi</v>
      </c>
      <c r="AB31" t="str">
        <f>Data!E31</f>
        <v>Fancy Egg</v>
      </c>
      <c r="AC31" t="str">
        <f>Data!F31</f>
        <v>Warming Ginger</v>
      </c>
      <c r="AD31" t="str">
        <f>Data!G31</f>
        <v>Warming Ginger</v>
      </c>
      <c r="AE31">
        <f>Data!B31</f>
        <v>8</v>
      </c>
      <c r="AF31">
        <f>Data!Q31</f>
        <v>2.5</v>
      </c>
      <c r="AG31" t="str">
        <f>Data!N31</f>
        <v>Speed of Help</v>
      </c>
      <c r="AH31">
        <f>(IF($H$5="Curries/Stews",COUNTIF(Helper_Ingredient!$N$3:$N$20,AB31),IF($H$5="Salads",COUNTIF(Helper_Ingredient!$O$3:$O$20,AB31),COUNTIF(Helper_Ingredient!$P$3:$P$19,AB31)))&gt;0)+IF(AE31&gt;=30,(IF($H$5="Curries/Stews",COUNTIF(Helper_Ingredient!$N$3:$N$20,AC31),IF($H$5="Salads",COUNTIF(Helper_Ingredient!$O$3:$O$20,AC31),COUNTIF(Helper_Ingredient!$P$3:$P$19,AC31)))&gt;0),0)+IF(AE31&gt;=60,(IF($H$5="Curries/Stews",COUNTIF(Helper_Ingredient!$N$3:$N$20,AD31),IF($H$5="Salads",COUNTIF(Helper_Ingredient!$O$3:$O$20,AD31),COUNTIF(Helper_Ingredient!$P$3:$P$19,AD31)))&gt;0),0)</f>
        <v>1</v>
      </c>
      <c r="AI31">
        <f t="shared" si="1"/>
        <v>1002508.000031</v>
      </c>
      <c r="AJ31" t="str">
        <f>Data!A31</f>
        <v>Togepi</v>
      </c>
      <c r="AK31" t="str">
        <f>Data!H31</f>
        <v>Inventory Up L</v>
      </c>
      <c r="AL31">
        <f>Data!B31</f>
        <v>8</v>
      </c>
      <c r="AM31">
        <f>Data!R31</f>
        <v>0</v>
      </c>
      <c r="AN31" t="str">
        <f>Data!N31</f>
        <v>Speed of Help</v>
      </c>
      <c r="AO31">
        <f t="shared" si="2"/>
        <v>8.0000309999999999</v>
      </c>
    </row>
    <row r="32" spans="1:41">
      <c r="S32" t="str">
        <f>Data!A32</f>
        <v>Geodude</v>
      </c>
      <c r="T32" t="str">
        <f>Data!D32</f>
        <v>Sitrus</v>
      </c>
      <c r="U32">
        <f>Data!B32</f>
        <v>8</v>
      </c>
      <c r="V32">
        <f>Data!P32</f>
        <v>1</v>
      </c>
      <c r="W32" t="str">
        <f>Data!N32</f>
        <v>Neutral</v>
      </c>
      <c r="X32">
        <f t="shared" si="0"/>
        <v>0</v>
      </c>
      <c r="AA32" t="str">
        <f>Data!A32</f>
        <v>Geodude</v>
      </c>
      <c r="AB32" t="str">
        <f>Data!E32</f>
        <v>Greengrass Soybeans</v>
      </c>
      <c r="AC32" t="str">
        <f>Data!F32</f>
        <v>Greengrass Soybeans</v>
      </c>
      <c r="AD32" t="str">
        <f>Data!G32</f>
        <v>Tasty Mushroom</v>
      </c>
      <c r="AE32">
        <f>Data!B32</f>
        <v>8</v>
      </c>
      <c r="AF32">
        <f>Data!Q32</f>
        <v>2.5</v>
      </c>
      <c r="AG32" t="str">
        <f>Data!N32</f>
        <v>Neutral</v>
      </c>
      <c r="AH32">
        <f>(IF($H$5="Curries/Stews",COUNTIF(Helper_Ingredient!$N$3:$N$20,AB32),IF($H$5="Salads",COUNTIF(Helper_Ingredient!$O$3:$O$20,AB32),COUNTIF(Helper_Ingredient!$P$3:$P$19,AB32)))&gt;0)+IF(AE32&gt;=30,(IF($H$5="Curries/Stews",COUNTIF(Helper_Ingredient!$N$3:$N$20,AC32),IF($H$5="Salads",COUNTIF(Helper_Ingredient!$O$3:$O$20,AC32),COUNTIF(Helper_Ingredient!$P$3:$P$19,AC32)))&gt;0),0)+IF(AE32&gt;=60,(IF($H$5="Curries/Stews",COUNTIF(Helper_Ingredient!$N$3:$N$20,AD32),IF($H$5="Salads",COUNTIF(Helper_Ingredient!$O$3:$O$20,AD32),COUNTIF(Helper_Ingredient!$P$3:$P$19,AD32)))&gt;0),0)</f>
        <v>1</v>
      </c>
      <c r="AI32">
        <f t="shared" si="1"/>
        <v>1002508.000032</v>
      </c>
      <c r="AJ32" t="str">
        <f>Data!A32</f>
        <v>Geodude</v>
      </c>
      <c r="AK32" t="str">
        <f>Data!H32</f>
        <v>Inventory Up S</v>
      </c>
      <c r="AL32">
        <f>Data!B32</f>
        <v>8</v>
      </c>
      <c r="AM32">
        <f>Data!R32</f>
        <v>2.5</v>
      </c>
      <c r="AN32" t="str">
        <f>Data!N32</f>
        <v>Neutral</v>
      </c>
      <c r="AO32">
        <f t="shared" si="2"/>
        <v>2508.0000319999999</v>
      </c>
    </row>
    <row r="33" spans="19:41">
      <c r="S33" t="str">
        <f>Data!A33</f>
        <v>Totodile</v>
      </c>
      <c r="T33" t="str">
        <f>Data!D33</f>
        <v>Oran</v>
      </c>
      <c r="U33">
        <f>Data!B33</f>
        <v>6</v>
      </c>
      <c r="V33">
        <f>Data!P33</f>
        <v>1</v>
      </c>
      <c r="W33" t="str">
        <f>Data!N33</f>
        <v>Ingredient Finding</v>
      </c>
      <c r="X33">
        <f t="shared" si="0"/>
        <v>0</v>
      </c>
      <c r="AA33" t="str">
        <f>Data!A33</f>
        <v>Totodile</v>
      </c>
      <c r="AB33" t="str">
        <f>Data!E33</f>
        <v>Bean Sausage</v>
      </c>
      <c r="AC33" t="str">
        <f>Data!F33</f>
        <v>Pure Oil</v>
      </c>
      <c r="AD33" t="str">
        <f>Data!G33</f>
        <v>Pure Oil</v>
      </c>
      <c r="AE33">
        <f>Data!B33</f>
        <v>6</v>
      </c>
      <c r="AF33">
        <f>Data!Q33</f>
        <v>5.5</v>
      </c>
      <c r="AG33" t="str">
        <f>Data!N33</f>
        <v>Ingredient Finding</v>
      </c>
      <c r="AH33">
        <f>(IF($H$5="Curries/Stews",COUNTIF(Helper_Ingredient!$N$3:$N$20,AB33),IF($H$5="Salads",COUNTIF(Helper_Ingredient!$O$3:$O$20,AB33),COUNTIF(Helper_Ingredient!$P$3:$P$19,AB33)))&gt;0)+IF(AE33&gt;=30,(IF($H$5="Curries/Stews",COUNTIF(Helper_Ingredient!$N$3:$N$20,AC33),IF($H$5="Salads",COUNTIF(Helper_Ingredient!$O$3:$O$20,AC33),COUNTIF(Helper_Ingredient!$P$3:$P$19,AC33)))&gt;0),0)+IF(AE33&gt;=60,(IF($H$5="Curries/Stews",COUNTIF(Helper_Ingredient!$N$3:$N$20,AD33),IF($H$5="Salads",COUNTIF(Helper_Ingredient!$O$3:$O$20,AD33),COUNTIF(Helper_Ingredient!$P$3:$P$19,AD33)))&gt;0),0)</f>
        <v>1</v>
      </c>
      <c r="AI33">
        <f t="shared" si="1"/>
        <v>1005506.000033</v>
      </c>
      <c r="AJ33" t="str">
        <f>Data!A33</f>
        <v>Totodile</v>
      </c>
      <c r="AK33" t="str">
        <f>Data!H33</f>
        <v>Skill Trigger S</v>
      </c>
      <c r="AL33">
        <f>Data!B33</f>
        <v>6</v>
      </c>
      <c r="AM33">
        <f>Data!R33</f>
        <v>1</v>
      </c>
      <c r="AN33" t="str">
        <f>Data!N33</f>
        <v>Ingredient Finding</v>
      </c>
      <c r="AO33">
        <f t="shared" si="2"/>
        <v>1006.000033</v>
      </c>
    </row>
    <row r="34" spans="19:41">
      <c r="S34" t="str">
        <f>Data!A34</f>
        <v>Houndour</v>
      </c>
      <c r="T34" t="str">
        <f>Data!D34</f>
        <v>Wiki</v>
      </c>
      <c r="U34">
        <f>Data!B34</f>
        <v>4</v>
      </c>
      <c r="V34">
        <f>Data!P34</f>
        <v>1</v>
      </c>
      <c r="W34" t="str">
        <f>Data!N34</f>
        <v>EXP Gains</v>
      </c>
      <c r="X34">
        <f t="shared" si="0"/>
        <v>0</v>
      </c>
      <c r="AA34" t="str">
        <f>Data!A34</f>
        <v>Houndour</v>
      </c>
      <c r="AB34" t="str">
        <f>Data!E34</f>
        <v>Fiery Herb</v>
      </c>
      <c r="AC34" t="str">
        <f>Data!F34</f>
        <v>Fiery Herb</v>
      </c>
      <c r="AD34" t="str">
        <f>Data!G34</f>
        <v>Warming Ginger</v>
      </c>
      <c r="AE34">
        <f>Data!B34</f>
        <v>4</v>
      </c>
      <c r="AF34">
        <f>Data!Q34</f>
        <v>3.5</v>
      </c>
      <c r="AG34" t="str">
        <f>Data!N34</f>
        <v>EXP Gains</v>
      </c>
      <c r="AH34">
        <f>(IF($H$5="Curries/Stews",COUNTIF(Helper_Ingredient!$N$3:$N$20,AB34),IF($H$5="Salads",COUNTIF(Helper_Ingredient!$O$3:$O$20,AB34),COUNTIF(Helper_Ingredient!$P$3:$P$19,AB34)))&gt;0)+IF(AE34&gt;=30,(IF($H$5="Curries/Stews",COUNTIF(Helper_Ingredient!$N$3:$N$20,AC34),IF($H$5="Salads",COUNTIF(Helper_Ingredient!$O$3:$O$20,AC34),COUNTIF(Helper_Ingredient!$P$3:$P$19,AC34)))&gt;0),0)+IF(AE34&gt;=60,(IF($H$5="Curries/Stews",COUNTIF(Helper_Ingredient!$N$3:$N$20,AD34),IF($H$5="Salads",COUNTIF(Helper_Ingredient!$O$3:$O$20,AD34),COUNTIF(Helper_Ingredient!$P$3:$P$19,AD34)))&gt;0),0)</f>
        <v>1</v>
      </c>
      <c r="AI34">
        <f t="shared" si="1"/>
        <v>1003504.000034</v>
      </c>
      <c r="AJ34" t="str">
        <f>Data!A34</f>
        <v>Houndour</v>
      </c>
      <c r="AK34" t="str">
        <f>Data!H34</f>
        <v>Skill Trigger M</v>
      </c>
      <c r="AL34">
        <f>Data!B34</f>
        <v>4</v>
      </c>
      <c r="AM34">
        <f>Data!R34</f>
        <v>3</v>
      </c>
      <c r="AN34" t="str">
        <f>Data!N34</f>
        <v>EXP Gains</v>
      </c>
      <c r="AO34">
        <f t="shared" si="2"/>
        <v>3004.0000340000001</v>
      </c>
    </row>
    <row r="35" spans="19:41">
      <c r="S35" t="str">
        <f>Data!A35</f>
        <v>Riolu</v>
      </c>
      <c r="T35" t="str">
        <f>Data!D35</f>
        <v>Cheri</v>
      </c>
      <c r="U35">
        <f>Data!B35</f>
        <v>5</v>
      </c>
      <c r="V35">
        <f>Data!P35</f>
        <v>-1</v>
      </c>
      <c r="W35" t="str">
        <f>Data!N35</f>
        <v>Main Skill Chance</v>
      </c>
      <c r="X35">
        <f t="shared" si="0"/>
        <v>0</v>
      </c>
      <c r="AA35" t="str">
        <f>Data!A35</f>
        <v>Riolu</v>
      </c>
      <c r="AB35" t="str">
        <f>Data!E35</f>
        <v>Pure Oil</v>
      </c>
      <c r="AC35" t="str">
        <f>Data!F35</f>
        <v>Soft Potato</v>
      </c>
      <c r="AD35" t="str">
        <f>Data!G35</f>
        <v>Soft Potato</v>
      </c>
      <c r="AE35">
        <f>Data!B35</f>
        <v>5</v>
      </c>
      <c r="AF35">
        <f>Data!Q35</f>
        <v>3.5</v>
      </c>
      <c r="AG35" t="str">
        <f>Data!N35</f>
        <v>Main Skill Chance</v>
      </c>
      <c r="AH35">
        <f>(IF($H$5="Curries/Stews",COUNTIF(Helper_Ingredient!$N$3:$N$20,AB35),IF($H$5="Salads",COUNTIF(Helper_Ingredient!$O$3:$O$20,AB35),COUNTIF(Helper_Ingredient!$P$3:$P$19,AB35)))&gt;0)+IF(AE35&gt;=30,(IF($H$5="Curries/Stews",COUNTIF(Helper_Ingredient!$N$3:$N$20,AC35),IF($H$5="Salads",COUNTIF(Helper_Ingredient!$O$3:$O$20,AC35),COUNTIF(Helper_Ingredient!$P$3:$P$19,AC35)))&gt;0),0)+IF(AE35&gt;=60,(IF($H$5="Curries/Stews",COUNTIF(Helper_Ingredient!$N$3:$N$20,AD35),IF($H$5="Salads",COUNTIF(Helper_Ingredient!$O$3:$O$20,AD35),COUNTIF(Helper_Ingredient!$P$3:$P$19,AD35)))&gt;0),0)</f>
        <v>1</v>
      </c>
      <c r="AI35">
        <f t="shared" si="1"/>
        <v>1003505.000035</v>
      </c>
      <c r="AJ35" t="str">
        <f>Data!A35</f>
        <v>Riolu</v>
      </c>
      <c r="AK35" t="str">
        <f>Data!H35</f>
        <v>Inventory Up L</v>
      </c>
      <c r="AL35">
        <f>Data!B35</f>
        <v>5</v>
      </c>
      <c r="AM35">
        <f>Data!R35</f>
        <v>4</v>
      </c>
      <c r="AN35" t="str">
        <f>Data!N35</f>
        <v>Main Skill Chance</v>
      </c>
      <c r="AO35">
        <f t="shared" si="2"/>
        <v>4005.000035</v>
      </c>
    </row>
    <row r="36" spans="19:41">
      <c r="S36" t="str">
        <f>Data!A36</f>
        <v>Diglett</v>
      </c>
      <c r="T36" t="str">
        <f>Data!D36</f>
        <v>Figy</v>
      </c>
      <c r="U36">
        <f>Data!B36</f>
        <v>4</v>
      </c>
      <c r="V36">
        <f>Data!P36</f>
        <v>2</v>
      </c>
      <c r="W36" t="str">
        <f>Data!N36</f>
        <v>EXP Gains</v>
      </c>
      <c r="X36">
        <f t="shared" si="0"/>
        <v>0</v>
      </c>
      <c r="AA36" t="str">
        <f>Data!A36</f>
        <v>Diglett</v>
      </c>
      <c r="AB36" t="str">
        <f>Data!E36</f>
        <v>Snoozy Tomato</v>
      </c>
      <c r="AC36" t="str">
        <f>Data!F36</f>
        <v>Snoozy Tomato</v>
      </c>
      <c r="AD36" t="str">
        <f>Data!G36</f>
        <v>Large Leek</v>
      </c>
      <c r="AE36">
        <f>Data!B36</f>
        <v>4</v>
      </c>
      <c r="AF36">
        <f>Data!Q36</f>
        <v>3.5</v>
      </c>
      <c r="AG36" t="str">
        <f>Data!N36</f>
        <v>EXP Gains</v>
      </c>
      <c r="AH36">
        <f>(IF($H$5="Curries/Stews",COUNTIF(Helper_Ingredient!$N$3:$N$20,AB36),IF($H$5="Salads",COUNTIF(Helper_Ingredient!$O$3:$O$20,AB36),COUNTIF(Helper_Ingredient!$P$3:$P$19,AB36)))&gt;0)+IF(AE36&gt;=30,(IF($H$5="Curries/Stews",COUNTIF(Helper_Ingredient!$N$3:$N$20,AC36),IF($H$5="Salads",COUNTIF(Helper_Ingredient!$O$3:$O$20,AC36),COUNTIF(Helper_Ingredient!$P$3:$P$19,AC36)))&gt;0),0)+IF(AE36&gt;=60,(IF($H$5="Curries/Stews",COUNTIF(Helper_Ingredient!$N$3:$N$20,AD36),IF($H$5="Salads",COUNTIF(Helper_Ingredient!$O$3:$O$20,AD36),COUNTIF(Helper_Ingredient!$P$3:$P$19,AD36)))&gt;0),0)</f>
        <v>1</v>
      </c>
      <c r="AI36">
        <f t="shared" si="1"/>
        <v>1003504.000036</v>
      </c>
      <c r="AJ36" t="str">
        <f>Data!A36</f>
        <v>Diglett</v>
      </c>
      <c r="AK36" t="str">
        <f>Data!H36</f>
        <v>Ingredient Finder M</v>
      </c>
      <c r="AL36">
        <f>Data!B36</f>
        <v>4</v>
      </c>
      <c r="AM36">
        <f>Data!R36</f>
        <v>2</v>
      </c>
      <c r="AN36" t="str">
        <f>Data!N36</f>
        <v>EXP Gains</v>
      </c>
      <c r="AO36">
        <f t="shared" si="2"/>
        <v>2004.0000359999999</v>
      </c>
    </row>
    <row r="37" spans="19:41">
      <c r="S37" t="str">
        <f>Data!A37</f>
        <v>Psyduck</v>
      </c>
      <c r="T37" t="str">
        <f>Data!D37</f>
        <v>Oran</v>
      </c>
      <c r="U37">
        <f>Data!B37</f>
        <v>7</v>
      </c>
      <c r="V37">
        <f>Data!P37</f>
        <v>3</v>
      </c>
      <c r="W37" t="str">
        <f>Data!N37</f>
        <v>EXP Gains</v>
      </c>
      <c r="X37">
        <f t="shared" si="0"/>
        <v>0</v>
      </c>
      <c r="AA37" t="str">
        <f>Data!A37</f>
        <v>Psyduck</v>
      </c>
      <c r="AB37" t="str">
        <f>Data!E37</f>
        <v>Soothing Cacao</v>
      </c>
      <c r="AC37" t="str">
        <f>Data!F37</f>
        <v>Soothing Cacao</v>
      </c>
      <c r="AD37" t="str">
        <f>Data!G37</f>
        <v>Fancy Apple</v>
      </c>
      <c r="AE37">
        <f>Data!B37</f>
        <v>7</v>
      </c>
      <c r="AF37">
        <f>Data!Q37</f>
        <v>6.5</v>
      </c>
      <c r="AG37" t="str">
        <f>Data!N37</f>
        <v>EXP Gains</v>
      </c>
      <c r="AH37">
        <f>(IF($H$5="Curries/Stews",COUNTIF(Helper_Ingredient!$N$3:$N$20,AB37),IF($H$5="Salads",COUNTIF(Helper_Ingredient!$O$3:$O$20,AB37),COUNTIF(Helper_Ingredient!$P$3:$P$19,AB37)))&gt;0)+IF(AE37&gt;=30,(IF($H$5="Curries/Stews",COUNTIF(Helper_Ingredient!$N$3:$N$20,AC37),IF($H$5="Salads",COUNTIF(Helper_Ingredient!$O$3:$O$20,AC37),COUNTIF(Helper_Ingredient!$P$3:$P$19,AC37)))&gt;0),0)+IF(AE37&gt;=60,(IF($H$5="Curries/Stews",COUNTIF(Helper_Ingredient!$N$3:$N$20,AD37),IF($H$5="Salads",COUNTIF(Helper_Ingredient!$O$3:$O$20,AD37),COUNTIF(Helper_Ingredient!$P$3:$P$19,AD37)))&gt;0),0)</f>
        <v>1</v>
      </c>
      <c r="AI37">
        <f t="shared" si="1"/>
        <v>1006507.000037</v>
      </c>
      <c r="AJ37" t="str">
        <f>Data!A37</f>
        <v>Psyduck</v>
      </c>
      <c r="AK37" t="str">
        <f>Data!H37</f>
        <v>Energy Recovery Bonus</v>
      </c>
      <c r="AL37">
        <f>Data!B37</f>
        <v>7</v>
      </c>
      <c r="AM37">
        <f>Data!R37</f>
        <v>0.5</v>
      </c>
      <c r="AN37" t="str">
        <f>Data!N37</f>
        <v>EXP Gains</v>
      </c>
      <c r="AO37">
        <f t="shared" si="2"/>
        <v>507.00003700000002</v>
      </c>
    </row>
    <row r="38" spans="19:41">
      <c r="S38" t="str">
        <f>Data!A38</f>
        <v>Ivysaur</v>
      </c>
      <c r="T38" t="str">
        <f>Data!D38</f>
        <v>Durin</v>
      </c>
      <c r="U38">
        <f>Data!B38</f>
        <v>15</v>
      </c>
      <c r="V38">
        <f>Data!P38</f>
        <v>0</v>
      </c>
      <c r="W38" t="str">
        <f>Data!N38</f>
        <v>Main Skill Chance</v>
      </c>
      <c r="X38">
        <f t="shared" si="0"/>
        <v>0</v>
      </c>
      <c r="AA38" t="str">
        <f>Data!A38</f>
        <v>Ivysaur</v>
      </c>
      <c r="AB38" t="str">
        <f>Data!E38</f>
        <v>Honey</v>
      </c>
      <c r="AC38" t="str">
        <f>Data!F38</f>
        <v>Snoozy Tomato</v>
      </c>
      <c r="AD38" t="str">
        <f>Data!G38</f>
        <v>Soft Potato</v>
      </c>
      <c r="AE38">
        <f>Data!B38</f>
        <v>15</v>
      </c>
      <c r="AF38">
        <f>Data!Q38</f>
        <v>0</v>
      </c>
      <c r="AG38" t="str">
        <f>Data!N38</f>
        <v>Main Skill Chance</v>
      </c>
      <c r="AH38">
        <f>(IF($H$5="Curries/Stews",COUNTIF(Helper_Ingredient!$N$3:$N$20,AB38),IF($H$5="Salads",COUNTIF(Helper_Ingredient!$O$3:$O$20,AB38),COUNTIF(Helper_Ingredient!$P$3:$P$19,AB38)))&gt;0)+IF(AE38&gt;=30,(IF($H$5="Curries/Stews",COUNTIF(Helper_Ingredient!$N$3:$N$20,AC38),IF($H$5="Salads",COUNTIF(Helper_Ingredient!$O$3:$O$20,AC38),COUNTIF(Helper_Ingredient!$P$3:$P$19,AC38)))&gt;0),0)+IF(AE38&gt;=60,(IF($H$5="Curries/Stews",COUNTIF(Helper_Ingredient!$N$3:$N$20,AD38),IF($H$5="Salads",COUNTIF(Helper_Ingredient!$O$3:$O$20,AD38),COUNTIF(Helper_Ingredient!$P$3:$P$19,AD38)))&gt;0),0)</f>
        <v>1</v>
      </c>
      <c r="AI38">
        <f t="shared" si="1"/>
        <v>1000015.0000380001</v>
      </c>
      <c r="AJ38" t="str">
        <f>Data!A38</f>
        <v>Ivysaur</v>
      </c>
      <c r="AK38" t="str">
        <f>Data!H38</f>
        <v>Skill Level Up S</v>
      </c>
      <c r="AL38">
        <f>Data!B38</f>
        <v>15</v>
      </c>
      <c r="AM38">
        <f>Data!R38</f>
        <v>4</v>
      </c>
      <c r="AN38" t="str">
        <f>Data!N38</f>
        <v>Main Skill Chance</v>
      </c>
      <c r="AO38">
        <f t="shared" si="2"/>
        <v>4015.0000380000001</v>
      </c>
    </row>
    <row r="39" spans="19:41">
      <c r="S39" t="str">
        <f>Data!A39</f>
        <v>Marshtomp</v>
      </c>
      <c r="T39" t="str">
        <f>Data!D39</f>
        <v>Figy</v>
      </c>
      <c r="U39">
        <f>Data!B39</f>
        <v>12</v>
      </c>
      <c r="V39">
        <f>Data!P39</f>
        <v>2</v>
      </c>
      <c r="W39" t="str">
        <f>Data!N39</f>
        <v>Speed of Help</v>
      </c>
      <c r="X39">
        <f t="shared" si="0"/>
        <v>0</v>
      </c>
      <c r="AA39" t="str">
        <f>Data!A39</f>
        <v>Marshtomp</v>
      </c>
      <c r="AB39" t="str">
        <f>Data!E39</f>
        <v>Greengrass Corn</v>
      </c>
      <c r="AC39" t="str">
        <f>Data!F39</f>
        <v>Moomoo Milk</v>
      </c>
      <c r="AD39" t="str">
        <f>Data!G39</f>
        <v>Moomoo Milk</v>
      </c>
      <c r="AE39">
        <f>Data!B39</f>
        <v>12</v>
      </c>
      <c r="AF39">
        <f>Data!Q39</f>
        <v>5</v>
      </c>
      <c r="AG39" t="str">
        <f>Data!N39</f>
        <v>Speed of Help</v>
      </c>
      <c r="AH39">
        <f>(IF($H$5="Curries/Stews",COUNTIF(Helper_Ingredient!$N$3:$N$20,AB39),IF($H$5="Salads",COUNTIF(Helper_Ingredient!$O$3:$O$20,AB39),COUNTIF(Helper_Ingredient!$P$3:$P$19,AB39)))&gt;0)+IF(AE39&gt;=30,(IF($H$5="Curries/Stews",COUNTIF(Helper_Ingredient!$N$3:$N$20,AC39),IF($H$5="Salads",COUNTIF(Helper_Ingredient!$O$3:$O$20,AC39),COUNTIF(Helper_Ingredient!$P$3:$P$19,AC39)))&gt;0),0)+IF(AE39&gt;=60,(IF($H$5="Curries/Stews",COUNTIF(Helper_Ingredient!$N$3:$N$20,AD39),IF($H$5="Salads",COUNTIF(Helper_Ingredient!$O$3:$O$20,AD39),COUNTIF(Helper_Ingredient!$P$3:$P$19,AD39)))&gt;0),0)</f>
        <v>1</v>
      </c>
      <c r="AI39">
        <f t="shared" si="1"/>
        <v>1005012.0000389999</v>
      </c>
      <c r="AJ39" t="str">
        <f>Data!A39</f>
        <v>Marshtomp</v>
      </c>
      <c r="AK39" t="str">
        <f>Data!H39</f>
        <v>Skill Trigger M</v>
      </c>
      <c r="AL39">
        <f>Data!B39</f>
        <v>12</v>
      </c>
      <c r="AM39">
        <f>Data!R39</f>
        <v>0</v>
      </c>
      <c r="AN39" t="str">
        <f>Data!N39</f>
        <v>Speed of Help</v>
      </c>
      <c r="AO39">
        <f t="shared" si="2"/>
        <v>12.000038999999999</v>
      </c>
    </row>
    <row r="40" spans="19:41">
      <c r="S40" t="str">
        <f>Data!A40</f>
        <v>Magnemite</v>
      </c>
      <c r="T40" t="str">
        <f>Data!D40</f>
        <v>Grepa</v>
      </c>
      <c r="U40">
        <f>Data!B40</f>
        <v>13</v>
      </c>
      <c r="V40">
        <f>Data!P40</f>
        <v>0</v>
      </c>
      <c r="W40" t="str">
        <f>Data!N40</f>
        <v>Neutral</v>
      </c>
      <c r="X40">
        <f t="shared" si="0"/>
        <v>13.00004</v>
      </c>
      <c r="AA40" t="str">
        <f>Data!A40</f>
        <v>Magnemite</v>
      </c>
      <c r="AB40" t="str">
        <f>Data!E40</f>
        <v>Pure Oil</v>
      </c>
      <c r="AC40" t="str">
        <f>Data!F40</f>
        <v>Fiery Herb</v>
      </c>
      <c r="AD40" t="str">
        <f>Data!G40</f>
        <v>Pure Oil</v>
      </c>
      <c r="AE40">
        <f>Data!B40</f>
        <v>13</v>
      </c>
      <c r="AF40">
        <f>Data!Q40</f>
        <v>4.5</v>
      </c>
      <c r="AG40" t="str">
        <f>Data!N40</f>
        <v>Neutral</v>
      </c>
      <c r="AH40">
        <f>(IF($H$5="Curries/Stews",COUNTIF(Helper_Ingredient!$N$3:$N$20,AB40),IF($H$5="Salads",COUNTIF(Helper_Ingredient!$O$3:$O$20,AB40),COUNTIF(Helper_Ingredient!$P$3:$P$19,AB40)))&gt;0)+IF(AE40&gt;=30,(IF($H$5="Curries/Stews",COUNTIF(Helper_Ingredient!$N$3:$N$20,AC40),IF($H$5="Salads",COUNTIF(Helper_Ingredient!$O$3:$O$20,AC40),COUNTIF(Helper_Ingredient!$P$3:$P$19,AC40)))&gt;0),0)+IF(AE40&gt;=60,(IF($H$5="Curries/Stews",COUNTIF(Helper_Ingredient!$N$3:$N$20,AD40),IF($H$5="Salads",COUNTIF(Helper_Ingredient!$O$3:$O$20,AD40),COUNTIF(Helper_Ingredient!$P$3:$P$19,AD40)))&gt;0),0)</f>
        <v>1</v>
      </c>
      <c r="AI40">
        <f t="shared" si="1"/>
        <v>1004513.00004</v>
      </c>
      <c r="AJ40" t="str">
        <f>Data!A40</f>
        <v>Magnemite</v>
      </c>
      <c r="AK40" t="str">
        <f>Data!H40</f>
        <v>Inventory Up L</v>
      </c>
      <c r="AL40">
        <f>Data!B40</f>
        <v>13</v>
      </c>
      <c r="AM40">
        <f>Data!R40</f>
        <v>4</v>
      </c>
      <c r="AN40" t="str">
        <f>Data!N40</f>
        <v>Neutral</v>
      </c>
      <c r="AO40">
        <f t="shared" si="2"/>
        <v>4013.0000399999999</v>
      </c>
    </row>
    <row r="41" spans="19:41">
      <c r="S41" t="str">
        <f>Data!A41</f>
        <v>Psyduck</v>
      </c>
      <c r="T41" t="str">
        <f>Data!D41</f>
        <v>Oran</v>
      </c>
      <c r="U41">
        <f>Data!B41</f>
        <v>5</v>
      </c>
      <c r="V41">
        <f>Data!P41</f>
        <v>4</v>
      </c>
      <c r="W41" t="str">
        <f>Data!N41</f>
        <v>Speed of Help</v>
      </c>
      <c r="X41">
        <f t="shared" si="0"/>
        <v>0</v>
      </c>
      <c r="AA41" t="str">
        <f>Data!A41</f>
        <v>Psyduck</v>
      </c>
      <c r="AB41" t="str">
        <f>Data!E41</f>
        <v>Soothing Cacao</v>
      </c>
      <c r="AC41" t="str">
        <f>Data!F41</f>
        <v>Fancy Apple</v>
      </c>
      <c r="AD41" t="str">
        <f>Data!G41</f>
        <v>Bean Sausage</v>
      </c>
      <c r="AE41">
        <f>Data!B41</f>
        <v>5</v>
      </c>
      <c r="AF41">
        <f>Data!Q41</f>
        <v>1.5</v>
      </c>
      <c r="AG41" t="str">
        <f>Data!N41</f>
        <v>Speed of Help</v>
      </c>
      <c r="AH41">
        <f>(IF($H$5="Curries/Stews",COUNTIF(Helper_Ingredient!$N$3:$N$20,AB41),IF($H$5="Salads",COUNTIF(Helper_Ingredient!$O$3:$O$20,AB41),COUNTIF(Helper_Ingredient!$P$3:$P$19,AB41)))&gt;0)+IF(AE41&gt;=30,(IF($H$5="Curries/Stews",COUNTIF(Helper_Ingredient!$N$3:$N$20,AC41),IF($H$5="Salads",COUNTIF(Helper_Ingredient!$O$3:$O$20,AC41),COUNTIF(Helper_Ingredient!$P$3:$P$19,AC41)))&gt;0),0)+IF(AE41&gt;=60,(IF($H$5="Curries/Stews",COUNTIF(Helper_Ingredient!$N$3:$N$20,AD41),IF($H$5="Salads",COUNTIF(Helper_Ingredient!$O$3:$O$20,AD41),COUNTIF(Helper_Ingredient!$P$3:$P$19,AD41)))&gt;0),0)</f>
        <v>1</v>
      </c>
      <c r="AI41">
        <f t="shared" si="1"/>
        <v>1001505.000041</v>
      </c>
      <c r="AJ41" t="str">
        <f>Data!A41</f>
        <v>Psyduck</v>
      </c>
      <c r="AK41" t="str">
        <f>Data!H41</f>
        <v>Ingredient Finder S</v>
      </c>
      <c r="AL41">
        <f>Data!B41</f>
        <v>5</v>
      </c>
      <c r="AM41">
        <f>Data!R41</f>
        <v>1</v>
      </c>
      <c r="AN41" t="str">
        <f>Data!N41</f>
        <v>Speed of Help</v>
      </c>
      <c r="AO41">
        <f t="shared" si="2"/>
        <v>1005.000041</v>
      </c>
    </row>
    <row r="42" spans="19:41">
      <c r="S42" t="str">
        <f>Data!A42</f>
        <v>Wynaut</v>
      </c>
      <c r="T42" t="str">
        <f>Data!D42</f>
        <v>Mago</v>
      </c>
      <c r="U42">
        <f>Data!B42</f>
        <v>5</v>
      </c>
      <c r="V42">
        <f>Data!P42</f>
        <v>0</v>
      </c>
      <c r="W42" t="str">
        <f>Data!N42</f>
        <v>Energy Recovery</v>
      </c>
      <c r="X42">
        <f t="shared" si="0"/>
        <v>0</v>
      </c>
      <c r="AA42" t="str">
        <f>Data!A42</f>
        <v>Wynaut</v>
      </c>
      <c r="AB42" t="str">
        <f>Data!E42</f>
        <v>Fancy Apple</v>
      </c>
      <c r="AC42" t="str">
        <f>Data!F42</f>
        <v>Tasty Mushroom</v>
      </c>
      <c r="AD42" t="str">
        <f>Data!G42</f>
        <v>Pure Oil</v>
      </c>
      <c r="AE42">
        <f>Data!B42</f>
        <v>5</v>
      </c>
      <c r="AF42">
        <f>Data!Q42</f>
        <v>3.5</v>
      </c>
      <c r="AG42" t="str">
        <f>Data!N42</f>
        <v>Energy Recovery</v>
      </c>
      <c r="AH42">
        <f>(IF($H$5="Curries/Stews",COUNTIF(Helper_Ingredient!$N$3:$N$20,AB42),IF($H$5="Salads",COUNTIF(Helper_Ingredient!$O$3:$O$20,AB42),COUNTIF(Helper_Ingredient!$P$3:$P$19,AB42)))&gt;0)+IF(AE42&gt;=30,(IF($H$5="Curries/Stews",COUNTIF(Helper_Ingredient!$N$3:$N$20,AC42),IF($H$5="Salads",COUNTIF(Helper_Ingredient!$O$3:$O$20,AC42),COUNTIF(Helper_Ingredient!$P$3:$P$19,AC42)))&gt;0),0)+IF(AE42&gt;=60,(IF($H$5="Curries/Stews",COUNTIF(Helper_Ingredient!$N$3:$N$20,AD42),IF($H$5="Salads",COUNTIF(Helper_Ingredient!$O$3:$O$20,AD42),COUNTIF(Helper_Ingredient!$P$3:$P$19,AD42)))&gt;0),0)</f>
        <v>0</v>
      </c>
      <c r="AI42">
        <f t="shared" si="1"/>
        <v>0</v>
      </c>
      <c r="AJ42" t="str">
        <f>Data!A42</f>
        <v>Wynaut</v>
      </c>
      <c r="AK42" t="str">
        <f>Data!H42</f>
        <v>Inventory Up S</v>
      </c>
      <c r="AL42">
        <f>Data!B42</f>
        <v>5</v>
      </c>
      <c r="AM42">
        <f>Data!R42</f>
        <v>1</v>
      </c>
      <c r="AN42" t="str">
        <f>Data!N42</f>
        <v>Energy Recovery</v>
      </c>
      <c r="AO42">
        <f t="shared" si="2"/>
        <v>1005.000042</v>
      </c>
    </row>
    <row r="43" spans="19:41">
      <c r="S43" t="str">
        <f>Data!A43</f>
        <v>Charmander</v>
      </c>
      <c r="T43" t="str">
        <f>Data!D43</f>
        <v>Leppa</v>
      </c>
      <c r="U43">
        <f>Data!B43</f>
        <v>7</v>
      </c>
      <c r="V43">
        <f>Data!P43</f>
        <v>2</v>
      </c>
      <c r="W43" t="str">
        <f>Data!N43</f>
        <v>EXP Gains</v>
      </c>
      <c r="X43">
        <f t="shared" si="0"/>
        <v>0</v>
      </c>
      <c r="AA43" t="str">
        <f>Data!A43</f>
        <v>Charmander</v>
      </c>
      <c r="AB43" t="str">
        <f>Data!E43</f>
        <v>Bean Sausage</v>
      </c>
      <c r="AC43" t="str">
        <f>Data!F43</f>
        <v>Warming Ginger</v>
      </c>
      <c r="AD43" t="str">
        <f>Data!G43</f>
        <v>Warming Ginger</v>
      </c>
      <c r="AE43">
        <f>Data!B43</f>
        <v>7</v>
      </c>
      <c r="AF43">
        <f>Data!Q43</f>
        <v>3</v>
      </c>
      <c r="AG43" t="str">
        <f>Data!N43</f>
        <v>EXP Gains</v>
      </c>
      <c r="AH43">
        <f>(IF($H$5="Curries/Stews",COUNTIF(Helper_Ingredient!$N$3:$N$20,AB43),IF($H$5="Salads",COUNTIF(Helper_Ingredient!$O$3:$O$20,AB43),COUNTIF(Helper_Ingredient!$P$3:$P$19,AB43)))&gt;0)+IF(AE43&gt;=30,(IF($H$5="Curries/Stews",COUNTIF(Helper_Ingredient!$N$3:$N$20,AC43),IF($H$5="Salads",COUNTIF(Helper_Ingredient!$O$3:$O$20,AC43),COUNTIF(Helper_Ingredient!$P$3:$P$19,AC43)))&gt;0),0)+IF(AE43&gt;=60,(IF($H$5="Curries/Stews",COUNTIF(Helper_Ingredient!$N$3:$N$20,AD43),IF($H$5="Salads",COUNTIF(Helper_Ingredient!$O$3:$O$20,AD43),COUNTIF(Helper_Ingredient!$P$3:$P$19,AD43)))&gt;0),0)</f>
        <v>1</v>
      </c>
      <c r="AI43">
        <f t="shared" si="1"/>
        <v>1003007.000043</v>
      </c>
      <c r="AJ43" t="str">
        <f>Data!A43</f>
        <v>Charmander</v>
      </c>
      <c r="AK43" t="str">
        <f>Data!H43</f>
        <v>Helping Speed S</v>
      </c>
      <c r="AL43">
        <f>Data!B43</f>
        <v>7</v>
      </c>
      <c r="AM43">
        <f>Data!R43</f>
        <v>4</v>
      </c>
      <c r="AN43" t="str">
        <f>Data!N43</f>
        <v>EXP Gains</v>
      </c>
      <c r="AO43">
        <f t="shared" si="2"/>
        <v>4007.000043</v>
      </c>
    </row>
    <row r="44" spans="19:41">
      <c r="S44" t="str">
        <f>Data!A44</f>
        <v>Eevee</v>
      </c>
      <c r="T44" t="str">
        <f>Data!D44</f>
        <v>Persim</v>
      </c>
      <c r="U44">
        <f>Data!B44</f>
        <v>8</v>
      </c>
      <c r="V44">
        <f>Data!P44</f>
        <v>3</v>
      </c>
      <c r="W44" t="str">
        <f>Data!N44</f>
        <v>Neutral</v>
      </c>
      <c r="X44">
        <f t="shared" si="0"/>
        <v>0</v>
      </c>
      <c r="AA44" t="str">
        <f>Data!A44</f>
        <v>Eevee</v>
      </c>
      <c r="AB44" t="str">
        <f>Data!E44</f>
        <v>Moomoo Milk</v>
      </c>
      <c r="AC44" t="str">
        <f>Data!F44</f>
        <v>Soothing Cacao</v>
      </c>
      <c r="AD44" t="str">
        <f>Data!G44</f>
        <v>Soothing Cacao</v>
      </c>
      <c r="AE44">
        <f>Data!B44</f>
        <v>8</v>
      </c>
      <c r="AF44">
        <f>Data!Q44</f>
        <v>2</v>
      </c>
      <c r="AG44" t="str">
        <f>Data!N44</f>
        <v>Neutral</v>
      </c>
      <c r="AH44">
        <f>(IF($H$5="Curries/Stews",COUNTIF(Helper_Ingredient!$N$3:$N$20,AB44),IF($H$5="Salads",COUNTIF(Helper_Ingredient!$O$3:$O$20,AB44),COUNTIF(Helper_Ingredient!$P$3:$P$19,AB44)))&gt;0)+IF(AE44&gt;=30,(IF($H$5="Curries/Stews",COUNTIF(Helper_Ingredient!$N$3:$N$20,AC44),IF($H$5="Salads",COUNTIF(Helper_Ingredient!$O$3:$O$20,AC44),COUNTIF(Helper_Ingredient!$P$3:$P$19,AC44)))&gt;0),0)+IF(AE44&gt;=60,(IF($H$5="Curries/Stews",COUNTIF(Helper_Ingredient!$N$3:$N$20,AD44),IF($H$5="Salads",COUNTIF(Helper_Ingredient!$O$3:$O$20,AD44),COUNTIF(Helper_Ingredient!$P$3:$P$19,AD44)))&gt;0),0)</f>
        <v>1</v>
      </c>
      <c r="AI44">
        <f t="shared" si="1"/>
        <v>1002008.000044</v>
      </c>
      <c r="AJ44" t="str">
        <f>Data!A44</f>
        <v>Eevee</v>
      </c>
      <c r="AK44" t="str">
        <f>Data!H44</f>
        <v>Ingredient Finder S</v>
      </c>
      <c r="AL44">
        <f>Data!B44</f>
        <v>8</v>
      </c>
      <c r="AM44">
        <f>Data!R44</f>
        <v>2</v>
      </c>
      <c r="AN44" t="str">
        <f>Data!N44</f>
        <v>Neutral</v>
      </c>
      <c r="AO44">
        <f t="shared" si="2"/>
        <v>2008.0000439999999</v>
      </c>
    </row>
    <row r="45" spans="19:41">
      <c r="S45" t="str">
        <f>Data!A45</f>
        <v>Igglybuff</v>
      </c>
      <c r="T45" t="str">
        <f>Data!D45</f>
        <v>Pecha</v>
      </c>
      <c r="U45">
        <f>Data!B45</f>
        <v>6</v>
      </c>
      <c r="V45">
        <f>Data!P45</f>
        <v>3</v>
      </c>
      <c r="W45" t="str">
        <f>Data!N45</f>
        <v>Speed of Help</v>
      </c>
      <c r="X45">
        <f t="shared" si="0"/>
        <v>0</v>
      </c>
      <c r="AA45" t="str">
        <f>Data!A45</f>
        <v>Igglybuff</v>
      </c>
      <c r="AB45" t="str">
        <f>Data!E45</f>
        <v>Honey</v>
      </c>
      <c r="AC45" t="str">
        <f>Data!F45</f>
        <v>Pure Oil</v>
      </c>
      <c r="AD45" t="str">
        <f>Data!G45</f>
        <v>Honey</v>
      </c>
      <c r="AE45">
        <f>Data!B45</f>
        <v>6</v>
      </c>
      <c r="AF45">
        <f>Data!Q45</f>
        <v>3</v>
      </c>
      <c r="AG45" t="str">
        <f>Data!N45</f>
        <v>Speed of Help</v>
      </c>
      <c r="AH45">
        <f>(IF($H$5="Curries/Stews",COUNTIF(Helper_Ingredient!$N$3:$N$20,AB45),IF($H$5="Salads",COUNTIF(Helper_Ingredient!$O$3:$O$20,AB45),COUNTIF(Helper_Ingredient!$P$3:$P$19,AB45)))&gt;0)+IF(AE45&gt;=30,(IF($H$5="Curries/Stews",COUNTIF(Helper_Ingredient!$N$3:$N$20,AC45),IF($H$5="Salads",COUNTIF(Helper_Ingredient!$O$3:$O$20,AC45),COUNTIF(Helper_Ingredient!$P$3:$P$19,AC45)))&gt;0),0)+IF(AE45&gt;=60,(IF($H$5="Curries/Stews",COUNTIF(Helper_Ingredient!$N$3:$N$20,AD45),IF($H$5="Salads",COUNTIF(Helper_Ingredient!$O$3:$O$20,AD45),COUNTIF(Helper_Ingredient!$P$3:$P$19,AD45)))&gt;0),0)</f>
        <v>1</v>
      </c>
      <c r="AI45">
        <f t="shared" si="1"/>
        <v>1003006.000045</v>
      </c>
      <c r="AJ45" t="str">
        <f>Data!A45</f>
        <v>Igglybuff</v>
      </c>
      <c r="AK45" t="str">
        <f>Data!H45</f>
        <v>Inventory Up M</v>
      </c>
      <c r="AL45">
        <f>Data!B45</f>
        <v>6</v>
      </c>
      <c r="AM45">
        <f>Data!R45</f>
        <v>-1</v>
      </c>
      <c r="AN45" t="str">
        <f>Data!N45</f>
        <v>Speed of Help</v>
      </c>
      <c r="AO45">
        <f t="shared" si="2"/>
        <v>-993.999955</v>
      </c>
    </row>
    <row r="46" spans="19:41">
      <c r="S46" t="str">
        <f>Data!A46</f>
        <v>Bonsly</v>
      </c>
      <c r="T46" t="str">
        <f>Data!D46</f>
        <v>Sitrus</v>
      </c>
      <c r="U46">
        <f>Data!B46</f>
        <v>7</v>
      </c>
      <c r="V46">
        <f>Data!P46</f>
        <v>3</v>
      </c>
      <c r="W46" t="str">
        <f>Data!N46</f>
        <v>Speed of Help</v>
      </c>
      <c r="X46">
        <f t="shared" si="0"/>
        <v>0</v>
      </c>
      <c r="AA46" t="str">
        <f>Data!A46</f>
        <v>Bonsly</v>
      </c>
      <c r="AB46" t="str">
        <f>Data!E46</f>
        <v>Snoozy Tomato</v>
      </c>
      <c r="AC46" t="str">
        <f>Data!F46</f>
        <v>Greengrass Soybeans</v>
      </c>
      <c r="AD46" t="str">
        <f>Data!G46</f>
        <v>Greengrass Soybeans</v>
      </c>
      <c r="AE46">
        <f>Data!B46</f>
        <v>7</v>
      </c>
      <c r="AF46">
        <f>Data!Q46</f>
        <v>1</v>
      </c>
      <c r="AG46" t="str">
        <f>Data!N46</f>
        <v>Speed of Help</v>
      </c>
      <c r="AH46">
        <f>(IF($H$5="Curries/Stews",COUNTIF(Helper_Ingredient!$N$3:$N$20,AB46),IF($H$5="Salads",COUNTIF(Helper_Ingredient!$O$3:$O$20,AB46),COUNTIF(Helper_Ingredient!$P$3:$P$19,AB46)))&gt;0)+IF(AE46&gt;=30,(IF($H$5="Curries/Stews",COUNTIF(Helper_Ingredient!$N$3:$N$20,AC46),IF($H$5="Salads",COUNTIF(Helper_Ingredient!$O$3:$O$20,AC46),COUNTIF(Helper_Ingredient!$P$3:$P$19,AC46)))&gt;0),0)+IF(AE46&gt;=60,(IF($H$5="Curries/Stews",COUNTIF(Helper_Ingredient!$N$3:$N$20,AD46),IF($H$5="Salads",COUNTIF(Helper_Ingredient!$O$3:$O$20,AD46),COUNTIF(Helper_Ingredient!$P$3:$P$19,AD46)))&gt;0),0)</f>
        <v>1</v>
      </c>
      <c r="AI46">
        <f t="shared" si="1"/>
        <v>1001007.000046</v>
      </c>
      <c r="AJ46" t="str">
        <f>Data!A46</f>
        <v>Bonsly</v>
      </c>
      <c r="AK46" t="str">
        <f>Data!H46</f>
        <v>Helping Speed S</v>
      </c>
      <c r="AL46">
        <f>Data!B46</f>
        <v>7</v>
      </c>
      <c r="AM46">
        <f>Data!R46</f>
        <v>4</v>
      </c>
      <c r="AN46" t="str">
        <f>Data!N46</f>
        <v>Speed of Help</v>
      </c>
      <c r="AO46">
        <f t="shared" si="2"/>
        <v>4007.0000460000001</v>
      </c>
    </row>
    <row r="47" spans="19:41">
      <c r="S47" t="str">
        <f>Data!A47</f>
        <v>Mareep</v>
      </c>
      <c r="T47" t="str">
        <f>Data!D47</f>
        <v>Grepa</v>
      </c>
      <c r="U47">
        <f>Data!B47</f>
        <v>6</v>
      </c>
      <c r="V47">
        <f>Data!P47</f>
        <v>3</v>
      </c>
      <c r="W47" t="str">
        <f>Data!N47</f>
        <v>Speed of Help</v>
      </c>
      <c r="X47">
        <f t="shared" si="0"/>
        <v>3006.000047</v>
      </c>
      <c r="AA47" t="str">
        <f>Data!A47</f>
        <v>Mareep</v>
      </c>
      <c r="AB47" t="str">
        <f>Data!E47</f>
        <v>Fiery Herb</v>
      </c>
      <c r="AC47" t="str">
        <f>Data!F47</f>
        <v>Fancy Egg</v>
      </c>
      <c r="AD47" t="str">
        <f>Data!G47</f>
        <v>Fancy Egg</v>
      </c>
      <c r="AE47">
        <f>Data!B47</f>
        <v>6</v>
      </c>
      <c r="AF47">
        <f>Data!Q47</f>
        <v>2.5</v>
      </c>
      <c r="AG47" t="str">
        <f>Data!N47</f>
        <v>Speed of Help</v>
      </c>
      <c r="AH47">
        <f>(IF($H$5="Curries/Stews",COUNTIF(Helper_Ingredient!$N$3:$N$20,AB47),IF($H$5="Salads",COUNTIF(Helper_Ingredient!$O$3:$O$20,AB47),COUNTIF(Helper_Ingredient!$P$3:$P$19,AB47)))&gt;0)+IF(AE47&gt;=30,(IF($H$5="Curries/Stews",COUNTIF(Helper_Ingredient!$N$3:$N$20,AC47),IF($H$5="Salads",COUNTIF(Helper_Ingredient!$O$3:$O$20,AC47),COUNTIF(Helper_Ingredient!$P$3:$P$19,AC47)))&gt;0),0)+IF(AE47&gt;=60,(IF($H$5="Curries/Stews",COUNTIF(Helper_Ingredient!$N$3:$N$20,AD47),IF($H$5="Salads",COUNTIF(Helper_Ingredient!$O$3:$O$20,AD47),COUNTIF(Helper_Ingredient!$P$3:$P$19,AD47)))&gt;0),0)</f>
        <v>1</v>
      </c>
      <c r="AI47">
        <f t="shared" si="1"/>
        <v>1002506.000047</v>
      </c>
      <c r="AJ47" t="str">
        <f>Data!A47</f>
        <v>Mareep</v>
      </c>
      <c r="AK47" t="str">
        <f>Data!H47</f>
        <v>Skill Trigger M</v>
      </c>
      <c r="AL47">
        <f>Data!B47</f>
        <v>6</v>
      </c>
      <c r="AM47">
        <f>Data!R47</f>
        <v>3</v>
      </c>
      <c r="AN47" t="str">
        <f>Data!N47</f>
        <v>Speed of Help</v>
      </c>
      <c r="AO47">
        <f t="shared" si="2"/>
        <v>3006.000047</v>
      </c>
    </row>
    <row r="48" spans="19:41">
      <c r="S48" t="str">
        <f>Data!A48</f>
        <v>Latias</v>
      </c>
      <c r="T48" t="str">
        <f>Data!D48</f>
        <v>Yache</v>
      </c>
      <c r="U48">
        <f>Data!B48</f>
        <v>18</v>
      </c>
      <c r="V48">
        <f>Data!P48</f>
        <v>1</v>
      </c>
      <c r="W48" t="str">
        <f>Data!N48</f>
        <v>Neutral</v>
      </c>
      <c r="X48">
        <f t="shared" si="0"/>
        <v>0</v>
      </c>
      <c r="AA48" t="str">
        <f>Data!A48</f>
        <v>Latias</v>
      </c>
      <c r="AB48" t="str">
        <f>Data!E48</f>
        <v>Snoozy Tomato</v>
      </c>
      <c r="AC48" t="str">
        <f>Data!F48</f>
        <v>Plump Pumpkin</v>
      </c>
      <c r="AD48" t="str">
        <f>Data!G48</f>
        <v>Plump Pumpkin</v>
      </c>
      <c r="AE48">
        <f>Data!B48</f>
        <v>18</v>
      </c>
      <c r="AF48">
        <f>Data!Q48</f>
        <v>2.5</v>
      </c>
      <c r="AG48" t="str">
        <f>Data!N48</f>
        <v>Neutral</v>
      </c>
      <c r="AH48">
        <f>(IF($H$5="Curries/Stews",COUNTIF(Helper_Ingredient!$N$3:$N$20,AB48),IF($H$5="Salads",COUNTIF(Helper_Ingredient!$O$3:$O$20,AB48),COUNTIF(Helper_Ingredient!$P$3:$P$19,AB48)))&gt;0)+IF(AE48&gt;=30,(IF($H$5="Curries/Stews",COUNTIF(Helper_Ingredient!$N$3:$N$20,AC48),IF($H$5="Salads",COUNTIF(Helper_Ingredient!$O$3:$O$20,AC48),COUNTIF(Helper_Ingredient!$P$3:$P$19,AC48)))&gt;0),0)+IF(AE48&gt;=60,(IF($H$5="Curries/Stews",COUNTIF(Helper_Ingredient!$N$3:$N$20,AD48),IF($H$5="Salads",COUNTIF(Helper_Ingredient!$O$3:$O$20,AD48),COUNTIF(Helper_Ingredient!$P$3:$P$19,AD48)))&gt;0),0)</f>
        <v>1</v>
      </c>
      <c r="AI48">
        <f t="shared" si="1"/>
        <v>1002518.000048</v>
      </c>
      <c r="AJ48" t="str">
        <f>Data!A48</f>
        <v>Latias</v>
      </c>
      <c r="AK48" t="str">
        <f>Data!H48</f>
        <v>Sleep EXP Bonus</v>
      </c>
      <c r="AL48">
        <f>Data!B48</f>
        <v>18</v>
      </c>
      <c r="AM48">
        <f>Data!R48</f>
        <v>3</v>
      </c>
      <c r="AN48" t="str">
        <f>Data!N48</f>
        <v>Neutral</v>
      </c>
      <c r="AO48">
        <f t="shared" si="2"/>
        <v>3018.0000479999999</v>
      </c>
    </row>
    <row r="49" spans="19:41">
      <c r="S49" t="str">
        <f>Data!A49</f>
        <v>Slowpoke</v>
      </c>
      <c r="T49" t="str">
        <f>Data!D49</f>
        <v>Oran</v>
      </c>
      <c r="U49">
        <f>Data!B49</f>
        <v>6</v>
      </c>
      <c r="V49">
        <f>Data!P49</f>
        <v>1</v>
      </c>
      <c r="W49" t="str">
        <f>Data!N49</f>
        <v>Neutral</v>
      </c>
      <c r="X49">
        <f t="shared" si="0"/>
        <v>0</v>
      </c>
      <c r="AA49" t="str">
        <f>Data!A49</f>
        <v>Slowpoke</v>
      </c>
      <c r="AB49" t="str">
        <f>Data!E49</f>
        <v>Soothing Cacao</v>
      </c>
      <c r="AC49" t="str">
        <f>Data!F49</f>
        <v>Slowpoke Tail</v>
      </c>
      <c r="AD49" t="str">
        <f>Data!G49</f>
        <v>Snoozy Tomato</v>
      </c>
      <c r="AE49">
        <f>Data!B49</f>
        <v>6</v>
      </c>
      <c r="AF49">
        <f>Data!Q49</f>
        <v>2.5</v>
      </c>
      <c r="AG49" t="str">
        <f>Data!N49</f>
        <v>Neutral</v>
      </c>
      <c r="AH49">
        <f>(IF($H$5="Curries/Stews",COUNTIF(Helper_Ingredient!$N$3:$N$20,AB49),IF($H$5="Salads",COUNTIF(Helper_Ingredient!$O$3:$O$20,AB49),COUNTIF(Helper_Ingredient!$P$3:$P$19,AB49)))&gt;0)+IF(AE49&gt;=30,(IF($H$5="Curries/Stews",COUNTIF(Helper_Ingredient!$N$3:$N$20,AC49),IF($H$5="Salads",COUNTIF(Helper_Ingredient!$O$3:$O$20,AC49),COUNTIF(Helper_Ingredient!$P$3:$P$19,AC49)))&gt;0),0)+IF(AE49&gt;=60,(IF($H$5="Curries/Stews",COUNTIF(Helper_Ingredient!$N$3:$N$20,AD49),IF($H$5="Salads",COUNTIF(Helper_Ingredient!$O$3:$O$20,AD49),COUNTIF(Helper_Ingredient!$P$3:$P$19,AD49)))&gt;0),0)</f>
        <v>1</v>
      </c>
      <c r="AI49">
        <f t="shared" si="1"/>
        <v>1002506.000049</v>
      </c>
      <c r="AJ49" t="str">
        <f>Data!A49</f>
        <v>Slowpoke</v>
      </c>
      <c r="AK49" t="str">
        <f>Data!H49</f>
        <v>Skill Trigger S</v>
      </c>
      <c r="AL49">
        <f>Data!B49</f>
        <v>6</v>
      </c>
      <c r="AM49">
        <f>Data!R49</f>
        <v>1</v>
      </c>
      <c r="AN49" t="str">
        <f>Data!N49</f>
        <v>Neutral</v>
      </c>
      <c r="AO49">
        <f t="shared" si="2"/>
        <v>1006.000049</v>
      </c>
    </row>
    <row r="50" spans="19:41">
      <c r="S50" t="str">
        <f>Data!A50</f>
        <v>Latias</v>
      </c>
      <c r="T50" t="str">
        <f>Data!D50</f>
        <v>Yache</v>
      </c>
      <c r="U50">
        <f>Data!B50</f>
        <v>26</v>
      </c>
      <c r="V50">
        <f>Data!P50</f>
        <v>2</v>
      </c>
      <c r="W50" t="str">
        <f>Data!N50</f>
        <v>Speed of Help</v>
      </c>
      <c r="X50">
        <f t="shared" si="0"/>
        <v>0</v>
      </c>
      <c r="AA50" t="str">
        <f>Data!A50</f>
        <v>Latias</v>
      </c>
      <c r="AB50" t="str">
        <f>Data!E50</f>
        <v>Snoozy Tomato</v>
      </c>
      <c r="AC50" t="str">
        <f>Data!F50</f>
        <v>Plump Pumpkin</v>
      </c>
      <c r="AD50" t="str">
        <f>Data!G50</f>
        <v>Plump Pumpkin</v>
      </c>
      <c r="AE50">
        <f>Data!B50</f>
        <v>26</v>
      </c>
      <c r="AF50">
        <f>Data!Q50</f>
        <v>4</v>
      </c>
      <c r="AG50" t="str">
        <f>Data!N50</f>
        <v>Speed of Help</v>
      </c>
      <c r="AH50">
        <f>(IF($H$5="Curries/Stews",COUNTIF(Helper_Ingredient!$N$3:$N$20,AB50),IF($H$5="Salads",COUNTIF(Helper_Ingredient!$O$3:$O$20,AB50),COUNTIF(Helper_Ingredient!$P$3:$P$19,AB50)))&gt;0)+IF(AE50&gt;=30,(IF($H$5="Curries/Stews",COUNTIF(Helper_Ingredient!$N$3:$N$20,AC50),IF($H$5="Salads",COUNTIF(Helper_Ingredient!$O$3:$O$20,AC50),COUNTIF(Helper_Ingredient!$P$3:$P$19,AC50)))&gt;0),0)+IF(AE50&gt;=60,(IF($H$5="Curries/Stews",COUNTIF(Helper_Ingredient!$N$3:$N$20,AD50),IF($H$5="Salads",COUNTIF(Helper_Ingredient!$O$3:$O$20,AD50),COUNTIF(Helper_Ingredient!$P$3:$P$19,AD50)))&gt;0),0)</f>
        <v>1</v>
      </c>
      <c r="AI50">
        <f t="shared" si="1"/>
        <v>1004026.00005</v>
      </c>
      <c r="AJ50" t="str">
        <f>Data!A50</f>
        <v>Latias</v>
      </c>
      <c r="AK50" t="str">
        <f>Data!H50</f>
        <v>Sleep EXP Bonus</v>
      </c>
      <c r="AL50">
        <f>Data!B50</f>
        <v>26</v>
      </c>
      <c r="AM50">
        <f>Data!R50</f>
        <v>1.5</v>
      </c>
      <c r="AN50" t="str">
        <f>Data!N50</f>
        <v>Speed of Help</v>
      </c>
      <c r="AO50">
        <f t="shared" ref="AO50:AO113" si="3">(AM50*1000)+AL50+ROW()/1000000</f>
        <v>1526.0000500000001</v>
      </c>
    </row>
    <row r="51" spans="19:41">
      <c r="S51" t="str">
        <f>Data!A51</f>
        <v>Ivysaur</v>
      </c>
      <c r="T51" t="str">
        <f>Data!D51</f>
        <v>Durin</v>
      </c>
      <c r="U51">
        <f>Data!B51</f>
        <v>24</v>
      </c>
      <c r="V51">
        <f>Data!P51</f>
        <v>3</v>
      </c>
      <c r="W51" t="str">
        <f>Data!N51</f>
        <v>Ingredient Finding</v>
      </c>
      <c r="X51">
        <f t="shared" si="0"/>
        <v>0</v>
      </c>
      <c r="AA51" t="str">
        <f>Data!A51</f>
        <v>Ivysaur</v>
      </c>
      <c r="AB51" t="str">
        <f>Data!E51</f>
        <v>Honey</v>
      </c>
      <c r="AC51" t="str">
        <f>Data!F51</f>
        <v>Honey</v>
      </c>
      <c r="AD51" t="str">
        <f>Data!G51</f>
        <v>Snoozy Tomato</v>
      </c>
      <c r="AE51">
        <f>Data!B51</f>
        <v>24</v>
      </c>
      <c r="AF51">
        <f>Data!Q51</f>
        <v>5</v>
      </c>
      <c r="AG51" t="str">
        <f>Data!N51</f>
        <v>Ingredient Finding</v>
      </c>
      <c r="AH51">
        <f>(IF($H$5="Curries/Stews",COUNTIF(Helper_Ingredient!$N$3:$N$20,AB51),IF($H$5="Salads",COUNTIF(Helper_Ingredient!$O$3:$O$20,AB51),COUNTIF(Helper_Ingredient!$P$3:$P$19,AB51)))&gt;0)+IF(AE51&gt;=30,(IF($H$5="Curries/Stews",COUNTIF(Helper_Ingredient!$N$3:$N$20,AC51),IF($H$5="Salads",COUNTIF(Helper_Ingredient!$O$3:$O$20,AC51),COUNTIF(Helper_Ingredient!$P$3:$P$19,AC51)))&gt;0),0)+IF(AE51&gt;=60,(IF($H$5="Curries/Stews",COUNTIF(Helper_Ingredient!$N$3:$N$20,AD51),IF($H$5="Salads",COUNTIF(Helper_Ingredient!$O$3:$O$20,AD51),COUNTIF(Helper_Ingredient!$P$3:$P$19,AD51)))&gt;0),0)</f>
        <v>1</v>
      </c>
      <c r="AI51">
        <f t="shared" si="1"/>
        <v>1005024.000051</v>
      </c>
      <c r="AJ51" t="str">
        <f>Data!A51</f>
        <v>Ivysaur</v>
      </c>
      <c r="AK51" t="str">
        <f>Data!H51</f>
        <v>Helping Speed S</v>
      </c>
      <c r="AL51">
        <f>Data!B51</f>
        <v>24</v>
      </c>
      <c r="AM51">
        <f>Data!R51</f>
        <v>0</v>
      </c>
      <c r="AN51" t="str">
        <f>Data!N51</f>
        <v>Ingredient Finding</v>
      </c>
      <c r="AO51">
        <f t="shared" si="3"/>
        <v>24.000050999999999</v>
      </c>
    </row>
    <row r="52" spans="19:41">
      <c r="S52" t="str">
        <f>Data!A52</f>
        <v>Wobbuffet</v>
      </c>
      <c r="T52" t="str">
        <f>Data!D52</f>
        <v>Mago</v>
      </c>
      <c r="U52">
        <f>Data!B52</f>
        <v>10</v>
      </c>
      <c r="V52">
        <f>Data!P52</f>
        <v>1</v>
      </c>
      <c r="W52" t="str">
        <f>Data!N52</f>
        <v>Neutral</v>
      </c>
      <c r="X52">
        <f t="shared" si="0"/>
        <v>0</v>
      </c>
      <c r="AA52" t="str">
        <f>Data!A52</f>
        <v>Wobbuffet</v>
      </c>
      <c r="AB52" t="str">
        <f>Data!E52</f>
        <v>Fancy Apple</v>
      </c>
      <c r="AC52" t="str">
        <f>Data!F52</f>
        <v>Fancy Apple</v>
      </c>
      <c r="AD52" t="str">
        <f>Data!G52</f>
        <v>Pure Oil</v>
      </c>
      <c r="AE52">
        <f>Data!B52</f>
        <v>10</v>
      </c>
      <c r="AF52">
        <f>Data!Q52</f>
        <v>2.5</v>
      </c>
      <c r="AG52" t="str">
        <f>Data!N52</f>
        <v>Neutral</v>
      </c>
      <c r="AH52">
        <f>(IF($H$5="Curries/Stews",COUNTIF(Helper_Ingredient!$N$3:$N$20,AB52),IF($H$5="Salads",COUNTIF(Helper_Ingredient!$O$3:$O$20,AB52),COUNTIF(Helper_Ingredient!$P$3:$P$19,AB52)))&gt;0)+IF(AE52&gt;=30,(IF($H$5="Curries/Stews",COUNTIF(Helper_Ingredient!$N$3:$N$20,AC52),IF($H$5="Salads",COUNTIF(Helper_Ingredient!$O$3:$O$20,AC52),COUNTIF(Helper_Ingredient!$P$3:$P$19,AC52)))&gt;0),0)+IF(AE52&gt;=60,(IF($H$5="Curries/Stews",COUNTIF(Helper_Ingredient!$N$3:$N$20,AD52),IF($H$5="Salads",COUNTIF(Helper_Ingredient!$O$3:$O$20,AD52),COUNTIF(Helper_Ingredient!$P$3:$P$19,AD52)))&gt;0),0)</f>
        <v>0</v>
      </c>
      <c r="AI52">
        <f t="shared" si="1"/>
        <v>0</v>
      </c>
      <c r="AJ52" t="str">
        <f>Data!A52</f>
        <v>Wobbuffet</v>
      </c>
      <c r="AK52" t="str">
        <f>Data!H52</f>
        <v>Skill Trigger S</v>
      </c>
      <c r="AL52">
        <f>Data!B52</f>
        <v>10</v>
      </c>
      <c r="AM52">
        <f>Data!R52</f>
        <v>3</v>
      </c>
      <c r="AN52" t="str">
        <f>Data!N52</f>
        <v>Neutral</v>
      </c>
      <c r="AO52">
        <f t="shared" si="3"/>
        <v>3010.0000519999999</v>
      </c>
    </row>
    <row r="53" spans="19:41">
      <c r="S53" t="str">
        <f>Data!A53</f>
        <v>Rattata</v>
      </c>
      <c r="T53" t="str">
        <f>Data!D53</f>
        <v>Persim</v>
      </c>
      <c r="U53">
        <f>Data!B53</f>
        <v>8</v>
      </c>
      <c r="V53">
        <f>Data!P53</f>
        <v>4</v>
      </c>
      <c r="W53" t="str">
        <f>Data!N53</f>
        <v>EXP Gains</v>
      </c>
      <c r="X53">
        <f t="shared" si="0"/>
        <v>0</v>
      </c>
      <c r="AA53" t="str">
        <f>Data!A53</f>
        <v>Rattata</v>
      </c>
      <c r="AB53" t="str">
        <f>Data!E53</f>
        <v>Fancy Apple</v>
      </c>
      <c r="AC53" t="str">
        <f>Data!F53</f>
        <v>Fancy Apple</v>
      </c>
      <c r="AD53" t="str">
        <f>Data!G53</f>
        <v>Fancy Apple</v>
      </c>
      <c r="AE53">
        <f>Data!B53</f>
        <v>8</v>
      </c>
      <c r="AF53">
        <f>Data!Q53</f>
        <v>7.5</v>
      </c>
      <c r="AG53" t="str">
        <f>Data!N53</f>
        <v>EXP Gains</v>
      </c>
      <c r="AH53">
        <f>(IF($H$5="Curries/Stews",COUNTIF(Helper_Ingredient!$N$3:$N$20,AB53),IF($H$5="Salads",COUNTIF(Helper_Ingredient!$O$3:$O$20,AB53),COUNTIF(Helper_Ingredient!$P$3:$P$19,AB53)))&gt;0)+IF(AE53&gt;=30,(IF($H$5="Curries/Stews",COUNTIF(Helper_Ingredient!$N$3:$N$20,AC53),IF($H$5="Salads",COUNTIF(Helper_Ingredient!$O$3:$O$20,AC53),COUNTIF(Helper_Ingredient!$P$3:$P$19,AC53)))&gt;0),0)+IF(AE53&gt;=60,(IF($H$5="Curries/Stews",COUNTIF(Helper_Ingredient!$N$3:$N$20,AD53),IF($H$5="Salads",COUNTIF(Helper_Ingredient!$O$3:$O$20,AD53),COUNTIF(Helper_Ingredient!$P$3:$P$19,AD53)))&gt;0),0)</f>
        <v>0</v>
      </c>
      <c r="AI53">
        <f t="shared" si="1"/>
        <v>0</v>
      </c>
      <c r="AJ53" t="str">
        <f>Data!A53</f>
        <v>Rattata</v>
      </c>
      <c r="AK53" t="str">
        <f>Data!H53</f>
        <v>Helping Speed M</v>
      </c>
      <c r="AL53">
        <f>Data!B53</f>
        <v>8</v>
      </c>
      <c r="AM53">
        <f>Data!R53</f>
        <v>-1</v>
      </c>
      <c r="AN53" t="str">
        <f>Data!N53</f>
        <v>EXP Gains</v>
      </c>
      <c r="AO53">
        <f t="shared" si="3"/>
        <v>-991.99994700000002</v>
      </c>
    </row>
    <row r="54" spans="19:41">
      <c r="S54" t="str">
        <f>Data!A54</f>
        <v>Treecko</v>
      </c>
      <c r="T54" t="str">
        <f>Data!D54</f>
        <v>Durin</v>
      </c>
      <c r="U54">
        <f>Data!B54</f>
        <v>9</v>
      </c>
      <c r="V54">
        <f>Data!P54</f>
        <v>0</v>
      </c>
      <c r="W54" t="str">
        <f>Data!N54</f>
        <v>Ingredient Finding</v>
      </c>
      <c r="X54">
        <f t="shared" si="0"/>
        <v>0</v>
      </c>
      <c r="AA54" t="str">
        <f>Data!A54</f>
        <v>Treecko</v>
      </c>
      <c r="AB54" t="str">
        <f>Data!E54</f>
        <v>Fancy Egg</v>
      </c>
      <c r="AC54" t="str">
        <f>Data!F54</f>
        <v>Rousing Coffee</v>
      </c>
      <c r="AD54" t="str">
        <f>Data!G54</f>
        <v>Large Leek</v>
      </c>
      <c r="AE54">
        <f>Data!B54</f>
        <v>9</v>
      </c>
      <c r="AF54">
        <f>Data!Q54</f>
        <v>3.5</v>
      </c>
      <c r="AG54" t="str">
        <f>Data!N54</f>
        <v>Ingredient Finding</v>
      </c>
      <c r="AH54">
        <f>(IF($H$5="Curries/Stews",COUNTIF(Helper_Ingredient!$N$3:$N$20,AB54),IF($H$5="Salads",COUNTIF(Helper_Ingredient!$O$3:$O$20,AB54),COUNTIF(Helper_Ingredient!$P$3:$P$19,AB54)))&gt;0)+IF(AE54&gt;=30,(IF($H$5="Curries/Stews",COUNTIF(Helper_Ingredient!$N$3:$N$20,AC54),IF($H$5="Salads",COUNTIF(Helper_Ingredient!$O$3:$O$20,AC54),COUNTIF(Helper_Ingredient!$P$3:$P$19,AC54)))&gt;0),0)+IF(AE54&gt;=60,(IF($H$5="Curries/Stews",COUNTIF(Helper_Ingredient!$N$3:$N$20,AD54),IF($H$5="Salads",COUNTIF(Helper_Ingredient!$O$3:$O$20,AD54),COUNTIF(Helper_Ingredient!$P$3:$P$19,AD54)))&gt;0),0)</f>
        <v>1</v>
      </c>
      <c r="AI54">
        <f t="shared" si="1"/>
        <v>1003509.0000539999</v>
      </c>
      <c r="AJ54" t="str">
        <f>Data!A54</f>
        <v>Treecko</v>
      </c>
      <c r="AK54" t="str">
        <f>Data!H54</f>
        <v>Skill Trigger S</v>
      </c>
      <c r="AL54">
        <f>Data!B54</f>
        <v>9</v>
      </c>
      <c r="AM54">
        <f>Data!R54</f>
        <v>2</v>
      </c>
      <c r="AN54" t="str">
        <f>Data!N54</f>
        <v>Ingredient Finding</v>
      </c>
      <c r="AO54">
        <f t="shared" si="3"/>
        <v>2009.0000540000001</v>
      </c>
    </row>
    <row r="55" spans="19:41">
      <c r="S55" t="str">
        <f>Data!A55</f>
        <v>Wynaut</v>
      </c>
      <c r="T55" t="str">
        <f>Data!D55</f>
        <v>Mago</v>
      </c>
      <c r="U55">
        <f>Data!B55</f>
        <v>8</v>
      </c>
      <c r="V55">
        <f>Data!P55</f>
        <v>1</v>
      </c>
      <c r="W55" t="str">
        <f>Data!N55</f>
        <v>Main Skill Chance</v>
      </c>
      <c r="X55">
        <f t="shared" si="0"/>
        <v>0</v>
      </c>
      <c r="AA55" t="str">
        <f>Data!A55</f>
        <v>Wynaut</v>
      </c>
      <c r="AB55" t="str">
        <f>Data!E55</f>
        <v>Fancy Apple</v>
      </c>
      <c r="AC55" t="str">
        <f>Data!F55</f>
        <v>Tasty Mushroom</v>
      </c>
      <c r="AD55" t="str">
        <f>Data!G55</f>
        <v>Pure Oil</v>
      </c>
      <c r="AE55">
        <f>Data!B55</f>
        <v>8</v>
      </c>
      <c r="AF55">
        <f>Data!Q55</f>
        <v>2</v>
      </c>
      <c r="AG55" t="str">
        <f>Data!N55</f>
        <v>Main Skill Chance</v>
      </c>
      <c r="AH55">
        <f>(IF($H$5="Curries/Stews",COUNTIF(Helper_Ingredient!$N$3:$N$20,AB55),IF($H$5="Salads",COUNTIF(Helper_Ingredient!$O$3:$O$20,AB55),COUNTIF(Helper_Ingredient!$P$3:$P$19,AB55)))&gt;0)+IF(AE55&gt;=30,(IF($H$5="Curries/Stews",COUNTIF(Helper_Ingredient!$N$3:$N$20,AC55),IF($H$5="Salads",COUNTIF(Helper_Ingredient!$O$3:$O$20,AC55),COUNTIF(Helper_Ingredient!$P$3:$P$19,AC55)))&gt;0),0)+IF(AE55&gt;=60,(IF($H$5="Curries/Stews",COUNTIF(Helper_Ingredient!$N$3:$N$20,AD55),IF($H$5="Salads",COUNTIF(Helper_Ingredient!$O$3:$O$20,AD55),COUNTIF(Helper_Ingredient!$P$3:$P$19,AD55)))&gt;0),0)</f>
        <v>0</v>
      </c>
      <c r="AI55">
        <f t="shared" si="1"/>
        <v>0</v>
      </c>
      <c r="AJ55" t="str">
        <f>Data!A55</f>
        <v>Wynaut</v>
      </c>
      <c r="AK55" t="str">
        <f>Data!H55</f>
        <v>Inventory Up L</v>
      </c>
      <c r="AL55">
        <f>Data!B55</f>
        <v>8</v>
      </c>
      <c r="AM55">
        <f>Data!R55</f>
        <v>2</v>
      </c>
      <c r="AN55" t="str">
        <f>Data!N55</f>
        <v>Main Skill Chance</v>
      </c>
      <c r="AO55">
        <f t="shared" si="3"/>
        <v>2008.000055</v>
      </c>
    </row>
    <row r="56" spans="19:41">
      <c r="S56">
        <f>Data!A56</f>
        <v>0</v>
      </c>
      <c r="T56" t="str">
        <f>Data!D56</f>
        <v/>
      </c>
      <c r="U56">
        <f>Data!B56</f>
        <v>0</v>
      </c>
      <c r="V56" t="str">
        <f>Data!P56</f>
        <v/>
      </c>
      <c r="W56" t="str">
        <f>Data!N56</f>
        <v/>
      </c>
      <c r="X56">
        <f t="shared" si="0"/>
        <v>0</v>
      </c>
      <c r="AA56">
        <f>Data!A56</f>
        <v>0</v>
      </c>
      <c r="AB56">
        <f>Data!E56</f>
        <v>0</v>
      </c>
      <c r="AC56">
        <f>Data!F56</f>
        <v>0</v>
      </c>
      <c r="AD56">
        <f>Data!G56</f>
        <v>0</v>
      </c>
      <c r="AE56">
        <f>Data!B56</f>
        <v>0</v>
      </c>
      <c r="AF56" t="str">
        <f>Data!Q56</f>
        <v/>
      </c>
      <c r="AG56" t="str">
        <f>Data!N56</f>
        <v/>
      </c>
      <c r="AH56">
        <f>(IF($H$5="Curries/Stews",COUNTIF(Helper_Ingredient!$N$3:$N$20,AB56),IF($H$5="Salads",COUNTIF(Helper_Ingredient!$O$3:$O$20,AB56),COUNTIF(Helper_Ingredient!$P$3:$P$19,AB56)))&gt;0)+IF(AE56&gt;=30,(IF($H$5="Curries/Stews",COUNTIF(Helper_Ingredient!$N$3:$N$20,AC56),IF($H$5="Salads",COUNTIF(Helper_Ingredient!$O$3:$O$20,AC56),COUNTIF(Helper_Ingredient!$P$3:$P$19,AC56)))&gt;0),0)+IF(AE56&gt;=60,(IF($H$5="Curries/Stews",COUNTIF(Helper_Ingredient!$N$3:$N$20,AD56),IF($H$5="Salads",COUNTIF(Helper_Ingredient!$O$3:$O$20,AD56),COUNTIF(Helper_Ingredient!$P$3:$P$19,AD56)))&gt;0),0)</f>
        <v>0</v>
      </c>
      <c r="AI56">
        <f t="shared" si="1"/>
        <v>0</v>
      </c>
      <c r="AJ56">
        <f>Data!A56</f>
        <v>0</v>
      </c>
      <c r="AK56">
        <f>Data!H56</f>
        <v>0</v>
      </c>
      <c r="AL56">
        <f>Data!B56</f>
        <v>0</v>
      </c>
      <c r="AM56" t="str">
        <f>Data!R56</f>
        <v/>
      </c>
      <c r="AN56" t="str">
        <f>Data!N56</f>
        <v/>
      </c>
      <c r="AO56" t="e">
        <f t="shared" si="3"/>
        <v>#VALUE!</v>
      </c>
    </row>
    <row r="57" spans="19:41">
      <c r="S57">
        <f>Data!A57</f>
        <v>0</v>
      </c>
      <c r="T57" t="str">
        <f>Data!D57</f>
        <v/>
      </c>
      <c r="U57">
        <f>Data!B57</f>
        <v>0</v>
      </c>
      <c r="V57" t="str">
        <f>Data!P57</f>
        <v/>
      </c>
      <c r="W57" t="str">
        <f>Data!N57</f>
        <v/>
      </c>
      <c r="X57">
        <f t="shared" si="0"/>
        <v>0</v>
      </c>
      <c r="AA57">
        <f>Data!A57</f>
        <v>0</v>
      </c>
      <c r="AB57">
        <f>Data!E57</f>
        <v>0</v>
      </c>
      <c r="AC57">
        <f>Data!F57</f>
        <v>0</v>
      </c>
      <c r="AD57">
        <f>Data!G57</f>
        <v>0</v>
      </c>
      <c r="AE57">
        <f>Data!B57</f>
        <v>0</v>
      </c>
      <c r="AF57" t="str">
        <f>Data!Q57</f>
        <v/>
      </c>
      <c r="AG57" t="str">
        <f>Data!N57</f>
        <v/>
      </c>
      <c r="AH57">
        <f>(IF($H$5="Curries/Stews",COUNTIF(Helper_Ingredient!$N$3:$N$20,AB57),IF($H$5="Salads",COUNTIF(Helper_Ingredient!$O$3:$O$20,AB57),COUNTIF(Helper_Ingredient!$P$3:$P$19,AB57)))&gt;0)+IF(AE57&gt;=30,(IF($H$5="Curries/Stews",COUNTIF(Helper_Ingredient!$N$3:$N$20,AC57),IF($H$5="Salads",COUNTIF(Helper_Ingredient!$O$3:$O$20,AC57),COUNTIF(Helper_Ingredient!$P$3:$P$19,AC57)))&gt;0),0)+IF(AE57&gt;=60,(IF($H$5="Curries/Stews",COUNTIF(Helper_Ingredient!$N$3:$N$20,AD57),IF($H$5="Salads",COUNTIF(Helper_Ingredient!$O$3:$O$20,AD57),COUNTIF(Helper_Ingredient!$P$3:$P$19,AD57)))&gt;0),0)</f>
        <v>0</v>
      </c>
      <c r="AI57">
        <f t="shared" si="1"/>
        <v>0</v>
      </c>
      <c r="AJ57">
        <f>Data!A57</f>
        <v>0</v>
      </c>
      <c r="AK57">
        <f>Data!H57</f>
        <v>0</v>
      </c>
      <c r="AL57">
        <f>Data!B57</f>
        <v>0</v>
      </c>
      <c r="AM57" t="str">
        <f>Data!R57</f>
        <v/>
      </c>
      <c r="AN57" t="str">
        <f>Data!N57</f>
        <v/>
      </c>
      <c r="AO57" t="e">
        <f t="shared" si="3"/>
        <v>#VALUE!</v>
      </c>
    </row>
    <row r="58" spans="19:41">
      <c r="S58">
        <f>Data!A58</f>
        <v>0</v>
      </c>
      <c r="T58" t="str">
        <f>Data!D58</f>
        <v/>
      </c>
      <c r="U58">
        <f>Data!B58</f>
        <v>0</v>
      </c>
      <c r="V58" t="str">
        <f>Data!P58</f>
        <v/>
      </c>
      <c r="W58" t="str">
        <f>Data!N58</f>
        <v/>
      </c>
      <c r="X58">
        <f t="shared" si="0"/>
        <v>0</v>
      </c>
      <c r="AA58">
        <f>Data!A58</f>
        <v>0</v>
      </c>
      <c r="AB58">
        <f>Data!E58</f>
        <v>0</v>
      </c>
      <c r="AC58">
        <f>Data!F58</f>
        <v>0</v>
      </c>
      <c r="AD58">
        <f>Data!G58</f>
        <v>0</v>
      </c>
      <c r="AE58">
        <f>Data!B58</f>
        <v>0</v>
      </c>
      <c r="AF58" t="str">
        <f>Data!Q58</f>
        <v/>
      </c>
      <c r="AG58" t="str">
        <f>Data!N58</f>
        <v/>
      </c>
      <c r="AH58">
        <f>(IF($H$5="Curries/Stews",COUNTIF(Helper_Ingredient!$N$3:$N$20,AB58),IF($H$5="Salads",COUNTIF(Helper_Ingredient!$O$3:$O$20,AB58),COUNTIF(Helper_Ingredient!$P$3:$P$19,AB58)))&gt;0)+IF(AE58&gt;=30,(IF($H$5="Curries/Stews",COUNTIF(Helper_Ingredient!$N$3:$N$20,AC58),IF($H$5="Salads",COUNTIF(Helper_Ingredient!$O$3:$O$20,AC58),COUNTIF(Helper_Ingredient!$P$3:$P$19,AC58)))&gt;0),0)+IF(AE58&gt;=60,(IF($H$5="Curries/Stews",COUNTIF(Helper_Ingredient!$N$3:$N$20,AD58),IF($H$5="Salads",COUNTIF(Helper_Ingredient!$O$3:$O$20,AD58),COUNTIF(Helper_Ingredient!$P$3:$P$19,AD58)))&gt;0),0)</f>
        <v>0</v>
      </c>
      <c r="AI58">
        <f t="shared" si="1"/>
        <v>0</v>
      </c>
      <c r="AJ58">
        <f>Data!A58</f>
        <v>0</v>
      </c>
      <c r="AK58">
        <f>Data!H58</f>
        <v>0</v>
      </c>
      <c r="AL58">
        <f>Data!B58</f>
        <v>0</v>
      </c>
      <c r="AM58" t="str">
        <f>Data!R58</f>
        <v/>
      </c>
      <c r="AN58" t="str">
        <f>Data!N58</f>
        <v/>
      </c>
      <c r="AO58" t="e">
        <f t="shared" si="3"/>
        <v>#VALUE!</v>
      </c>
    </row>
    <row r="59" spans="19:41">
      <c r="S59">
        <f>Data!A59</f>
        <v>0</v>
      </c>
      <c r="T59" t="str">
        <f>Data!D59</f>
        <v/>
      </c>
      <c r="U59">
        <f>Data!B59</f>
        <v>0</v>
      </c>
      <c r="V59" t="str">
        <f>Data!P59</f>
        <v/>
      </c>
      <c r="W59" t="str">
        <f>Data!N59</f>
        <v/>
      </c>
      <c r="X59">
        <f t="shared" si="0"/>
        <v>0</v>
      </c>
      <c r="AA59">
        <f>Data!A59</f>
        <v>0</v>
      </c>
      <c r="AB59">
        <f>Data!E59</f>
        <v>0</v>
      </c>
      <c r="AC59">
        <f>Data!F59</f>
        <v>0</v>
      </c>
      <c r="AD59">
        <f>Data!G59</f>
        <v>0</v>
      </c>
      <c r="AE59">
        <f>Data!B59</f>
        <v>0</v>
      </c>
      <c r="AF59" t="str">
        <f>Data!Q59</f>
        <v/>
      </c>
      <c r="AG59" t="str">
        <f>Data!N59</f>
        <v/>
      </c>
      <c r="AH59">
        <f>(IF($H$5="Curries/Stews",COUNTIF(Helper_Ingredient!$N$3:$N$20,AB59),IF($H$5="Salads",COUNTIF(Helper_Ingredient!$O$3:$O$20,AB59),COUNTIF(Helper_Ingredient!$P$3:$P$19,AB59)))&gt;0)+IF(AE59&gt;=30,(IF($H$5="Curries/Stews",COUNTIF(Helper_Ingredient!$N$3:$N$20,AC59),IF($H$5="Salads",COUNTIF(Helper_Ingredient!$O$3:$O$20,AC59),COUNTIF(Helper_Ingredient!$P$3:$P$19,AC59)))&gt;0),0)+IF(AE59&gt;=60,(IF($H$5="Curries/Stews",COUNTIF(Helper_Ingredient!$N$3:$N$20,AD59),IF($H$5="Salads",COUNTIF(Helper_Ingredient!$O$3:$O$20,AD59),COUNTIF(Helper_Ingredient!$P$3:$P$19,AD59)))&gt;0),0)</f>
        <v>0</v>
      </c>
      <c r="AI59">
        <f t="shared" si="1"/>
        <v>0</v>
      </c>
      <c r="AJ59">
        <f>Data!A59</f>
        <v>0</v>
      </c>
      <c r="AK59">
        <f>Data!H59</f>
        <v>0</v>
      </c>
      <c r="AL59">
        <f>Data!B59</f>
        <v>0</v>
      </c>
      <c r="AM59" t="str">
        <f>Data!R59</f>
        <v/>
      </c>
      <c r="AN59" t="str">
        <f>Data!N59</f>
        <v/>
      </c>
      <c r="AO59" t="e">
        <f t="shared" si="3"/>
        <v>#VALUE!</v>
      </c>
    </row>
    <row r="60" spans="19:41">
      <c r="S60">
        <f>Data!A60</f>
        <v>0</v>
      </c>
      <c r="T60" t="str">
        <f>Data!D60</f>
        <v/>
      </c>
      <c r="U60">
        <f>Data!B60</f>
        <v>0</v>
      </c>
      <c r="V60" t="str">
        <f>Data!P60</f>
        <v/>
      </c>
      <c r="W60" t="str">
        <f>Data!N60</f>
        <v/>
      </c>
      <c r="X60">
        <f t="shared" si="0"/>
        <v>0</v>
      </c>
      <c r="AA60">
        <f>Data!A60</f>
        <v>0</v>
      </c>
      <c r="AB60">
        <f>Data!E60</f>
        <v>0</v>
      </c>
      <c r="AC60">
        <f>Data!F60</f>
        <v>0</v>
      </c>
      <c r="AD60">
        <f>Data!G60</f>
        <v>0</v>
      </c>
      <c r="AE60">
        <f>Data!B60</f>
        <v>0</v>
      </c>
      <c r="AF60" t="str">
        <f>Data!Q60</f>
        <v/>
      </c>
      <c r="AG60" t="str">
        <f>Data!N60</f>
        <v/>
      </c>
      <c r="AH60">
        <f>(IF($H$5="Curries/Stews",COUNTIF(Helper_Ingredient!$N$3:$N$20,AB60),IF($H$5="Salads",COUNTIF(Helper_Ingredient!$O$3:$O$20,AB60),COUNTIF(Helper_Ingredient!$P$3:$P$19,AB60)))&gt;0)+IF(AE60&gt;=30,(IF($H$5="Curries/Stews",COUNTIF(Helper_Ingredient!$N$3:$N$20,AC60),IF($H$5="Salads",COUNTIF(Helper_Ingredient!$O$3:$O$20,AC60),COUNTIF(Helper_Ingredient!$P$3:$P$19,AC60)))&gt;0),0)+IF(AE60&gt;=60,(IF($H$5="Curries/Stews",COUNTIF(Helper_Ingredient!$N$3:$N$20,AD60),IF($H$5="Salads",COUNTIF(Helper_Ingredient!$O$3:$O$20,AD60),COUNTIF(Helper_Ingredient!$P$3:$P$19,AD60)))&gt;0),0)</f>
        <v>0</v>
      </c>
      <c r="AI60">
        <f t="shared" si="1"/>
        <v>0</v>
      </c>
      <c r="AJ60">
        <f>Data!A60</f>
        <v>0</v>
      </c>
      <c r="AK60">
        <f>Data!H60</f>
        <v>0</v>
      </c>
      <c r="AL60">
        <f>Data!B60</f>
        <v>0</v>
      </c>
      <c r="AM60" t="str">
        <f>Data!R60</f>
        <v/>
      </c>
      <c r="AN60" t="str">
        <f>Data!N60</f>
        <v/>
      </c>
      <c r="AO60" t="e">
        <f t="shared" si="3"/>
        <v>#VALUE!</v>
      </c>
    </row>
    <row r="61" spans="19:41">
      <c r="S61">
        <f>Data!A61</f>
        <v>0</v>
      </c>
      <c r="T61" t="str">
        <f>Data!D61</f>
        <v/>
      </c>
      <c r="U61">
        <f>Data!B61</f>
        <v>0</v>
      </c>
      <c r="V61" t="str">
        <f>Data!P61</f>
        <v/>
      </c>
      <c r="W61" t="str">
        <f>Data!N61</f>
        <v/>
      </c>
      <c r="X61">
        <f t="shared" si="0"/>
        <v>0</v>
      </c>
      <c r="AA61">
        <f>Data!A61</f>
        <v>0</v>
      </c>
      <c r="AB61">
        <f>Data!E61</f>
        <v>0</v>
      </c>
      <c r="AC61">
        <f>Data!F61</f>
        <v>0</v>
      </c>
      <c r="AD61">
        <f>Data!G61</f>
        <v>0</v>
      </c>
      <c r="AE61">
        <f>Data!B61</f>
        <v>0</v>
      </c>
      <c r="AF61" t="str">
        <f>Data!Q61</f>
        <v/>
      </c>
      <c r="AG61" t="str">
        <f>Data!N61</f>
        <v/>
      </c>
      <c r="AH61">
        <f>(IF($H$5="Curries/Stews",COUNTIF(Helper_Ingredient!$N$3:$N$20,AB61),IF($H$5="Salads",COUNTIF(Helper_Ingredient!$O$3:$O$20,AB61),COUNTIF(Helper_Ingredient!$P$3:$P$19,AB61)))&gt;0)+IF(AE61&gt;=30,(IF($H$5="Curries/Stews",COUNTIF(Helper_Ingredient!$N$3:$N$20,AC61),IF($H$5="Salads",COUNTIF(Helper_Ingredient!$O$3:$O$20,AC61),COUNTIF(Helper_Ingredient!$P$3:$P$19,AC61)))&gt;0),0)+IF(AE61&gt;=60,(IF($H$5="Curries/Stews",COUNTIF(Helper_Ingredient!$N$3:$N$20,AD61),IF($H$5="Salads",COUNTIF(Helper_Ingredient!$O$3:$O$20,AD61),COUNTIF(Helper_Ingredient!$P$3:$P$19,AD61)))&gt;0),0)</f>
        <v>0</v>
      </c>
      <c r="AI61">
        <f t="shared" si="1"/>
        <v>0</v>
      </c>
      <c r="AJ61">
        <f>Data!A61</f>
        <v>0</v>
      </c>
      <c r="AK61">
        <f>Data!H61</f>
        <v>0</v>
      </c>
      <c r="AL61">
        <f>Data!B61</f>
        <v>0</v>
      </c>
      <c r="AM61" t="str">
        <f>Data!R61</f>
        <v/>
      </c>
      <c r="AN61" t="str">
        <f>Data!N61</f>
        <v/>
      </c>
      <c r="AO61" t="e">
        <f t="shared" si="3"/>
        <v>#VALUE!</v>
      </c>
    </row>
    <row r="62" spans="19:41">
      <c r="S62">
        <f>Data!A62</f>
        <v>0</v>
      </c>
      <c r="T62" t="str">
        <f>Data!D62</f>
        <v/>
      </c>
      <c r="U62">
        <f>Data!B62</f>
        <v>0</v>
      </c>
      <c r="V62" t="str">
        <f>Data!P62</f>
        <v/>
      </c>
      <c r="W62" t="str">
        <f>Data!N62</f>
        <v/>
      </c>
      <c r="X62">
        <f t="shared" si="0"/>
        <v>0</v>
      </c>
      <c r="AA62">
        <f>Data!A62</f>
        <v>0</v>
      </c>
      <c r="AB62">
        <f>Data!E62</f>
        <v>0</v>
      </c>
      <c r="AC62">
        <f>Data!F62</f>
        <v>0</v>
      </c>
      <c r="AD62">
        <f>Data!G62</f>
        <v>0</v>
      </c>
      <c r="AE62">
        <f>Data!B62</f>
        <v>0</v>
      </c>
      <c r="AF62" t="str">
        <f>Data!Q62</f>
        <v/>
      </c>
      <c r="AG62" t="str">
        <f>Data!N62</f>
        <v/>
      </c>
      <c r="AH62">
        <f>(IF($H$5="Curries/Stews",COUNTIF(Helper_Ingredient!$N$3:$N$20,AB62),IF($H$5="Salads",COUNTIF(Helper_Ingredient!$O$3:$O$20,AB62),COUNTIF(Helper_Ingredient!$P$3:$P$19,AB62)))&gt;0)+IF(AE62&gt;=30,(IF($H$5="Curries/Stews",COUNTIF(Helper_Ingredient!$N$3:$N$20,AC62),IF($H$5="Salads",COUNTIF(Helper_Ingredient!$O$3:$O$20,AC62),COUNTIF(Helper_Ingredient!$P$3:$P$19,AC62)))&gt;0),0)+IF(AE62&gt;=60,(IF($H$5="Curries/Stews",COUNTIF(Helper_Ingredient!$N$3:$N$20,AD62),IF($H$5="Salads",COUNTIF(Helper_Ingredient!$O$3:$O$20,AD62),COUNTIF(Helper_Ingredient!$P$3:$P$19,AD62)))&gt;0),0)</f>
        <v>0</v>
      </c>
      <c r="AI62">
        <f t="shared" si="1"/>
        <v>0</v>
      </c>
      <c r="AJ62">
        <f>Data!A62</f>
        <v>0</v>
      </c>
      <c r="AK62">
        <f>Data!H62</f>
        <v>0</v>
      </c>
      <c r="AL62">
        <f>Data!B62</f>
        <v>0</v>
      </c>
      <c r="AM62" t="str">
        <f>Data!R62</f>
        <v/>
      </c>
      <c r="AN62" t="str">
        <f>Data!N62</f>
        <v/>
      </c>
      <c r="AO62" t="e">
        <f t="shared" si="3"/>
        <v>#VALUE!</v>
      </c>
    </row>
    <row r="63" spans="19:41">
      <c r="S63">
        <f>Data!A63</f>
        <v>0</v>
      </c>
      <c r="T63" t="str">
        <f>Data!D63</f>
        <v/>
      </c>
      <c r="U63">
        <f>Data!B63</f>
        <v>0</v>
      </c>
      <c r="V63" t="str">
        <f>Data!P63</f>
        <v/>
      </c>
      <c r="W63" t="str">
        <f>Data!N63</f>
        <v/>
      </c>
      <c r="X63">
        <f t="shared" si="0"/>
        <v>0</v>
      </c>
      <c r="AA63">
        <f>Data!A63</f>
        <v>0</v>
      </c>
      <c r="AB63">
        <f>Data!E63</f>
        <v>0</v>
      </c>
      <c r="AC63">
        <f>Data!F63</f>
        <v>0</v>
      </c>
      <c r="AD63">
        <f>Data!G63</f>
        <v>0</v>
      </c>
      <c r="AE63">
        <f>Data!B63</f>
        <v>0</v>
      </c>
      <c r="AF63" t="str">
        <f>Data!Q63</f>
        <v/>
      </c>
      <c r="AG63" t="str">
        <f>Data!N63</f>
        <v/>
      </c>
      <c r="AH63">
        <f>(IF($H$5="Curries/Stews",COUNTIF(Helper_Ingredient!$N$3:$N$20,AB63),IF($H$5="Salads",COUNTIF(Helper_Ingredient!$O$3:$O$20,AB63),COUNTIF(Helper_Ingredient!$P$3:$P$19,AB63)))&gt;0)+IF(AE63&gt;=30,(IF($H$5="Curries/Stews",COUNTIF(Helper_Ingredient!$N$3:$N$20,AC63),IF($H$5="Salads",COUNTIF(Helper_Ingredient!$O$3:$O$20,AC63),COUNTIF(Helper_Ingredient!$P$3:$P$19,AC63)))&gt;0),0)+IF(AE63&gt;=60,(IF($H$5="Curries/Stews",COUNTIF(Helper_Ingredient!$N$3:$N$20,AD63),IF($H$5="Salads",COUNTIF(Helper_Ingredient!$O$3:$O$20,AD63),COUNTIF(Helper_Ingredient!$P$3:$P$19,AD63)))&gt;0),0)</f>
        <v>0</v>
      </c>
      <c r="AI63">
        <f t="shared" si="1"/>
        <v>0</v>
      </c>
      <c r="AJ63">
        <f>Data!A63</f>
        <v>0</v>
      </c>
      <c r="AK63">
        <f>Data!H63</f>
        <v>0</v>
      </c>
      <c r="AL63">
        <f>Data!B63</f>
        <v>0</v>
      </c>
      <c r="AM63" t="str">
        <f>Data!R63</f>
        <v/>
      </c>
      <c r="AN63" t="str">
        <f>Data!N63</f>
        <v/>
      </c>
      <c r="AO63" t="e">
        <f t="shared" si="3"/>
        <v>#VALUE!</v>
      </c>
    </row>
    <row r="64" spans="19:41">
      <c r="S64">
        <f>Data!A64</f>
        <v>0</v>
      </c>
      <c r="T64" t="str">
        <f>Data!D64</f>
        <v/>
      </c>
      <c r="U64">
        <f>Data!B64</f>
        <v>0</v>
      </c>
      <c r="V64" t="str">
        <f>Data!P64</f>
        <v/>
      </c>
      <c r="W64" t="str">
        <f>Data!N64</f>
        <v/>
      </c>
      <c r="X64">
        <f t="shared" si="0"/>
        <v>0</v>
      </c>
      <c r="AA64">
        <f>Data!A64</f>
        <v>0</v>
      </c>
      <c r="AB64">
        <f>Data!E64</f>
        <v>0</v>
      </c>
      <c r="AC64">
        <f>Data!F64</f>
        <v>0</v>
      </c>
      <c r="AD64">
        <f>Data!G64</f>
        <v>0</v>
      </c>
      <c r="AE64">
        <f>Data!B64</f>
        <v>0</v>
      </c>
      <c r="AF64" t="str">
        <f>Data!Q64</f>
        <v/>
      </c>
      <c r="AG64" t="str">
        <f>Data!N64</f>
        <v/>
      </c>
      <c r="AH64">
        <f>(IF($H$5="Curries/Stews",COUNTIF(Helper_Ingredient!$N$3:$N$20,AB64),IF($H$5="Salads",COUNTIF(Helper_Ingredient!$O$3:$O$20,AB64),COUNTIF(Helper_Ingredient!$P$3:$P$19,AB64)))&gt;0)+IF(AE64&gt;=30,(IF($H$5="Curries/Stews",COUNTIF(Helper_Ingredient!$N$3:$N$20,AC64),IF($H$5="Salads",COUNTIF(Helper_Ingredient!$O$3:$O$20,AC64),COUNTIF(Helper_Ingredient!$P$3:$P$19,AC64)))&gt;0),0)+IF(AE64&gt;=60,(IF($H$5="Curries/Stews",COUNTIF(Helper_Ingredient!$N$3:$N$20,AD64),IF($H$5="Salads",COUNTIF(Helper_Ingredient!$O$3:$O$20,AD64),COUNTIF(Helper_Ingredient!$P$3:$P$19,AD64)))&gt;0),0)</f>
        <v>0</v>
      </c>
      <c r="AI64">
        <f t="shared" si="1"/>
        <v>0</v>
      </c>
      <c r="AJ64">
        <f>Data!A64</f>
        <v>0</v>
      </c>
      <c r="AK64">
        <f>Data!H64</f>
        <v>0</v>
      </c>
      <c r="AL64">
        <f>Data!B64</f>
        <v>0</v>
      </c>
      <c r="AM64" t="str">
        <f>Data!R64</f>
        <v/>
      </c>
      <c r="AN64" t="str">
        <f>Data!N64</f>
        <v/>
      </c>
      <c r="AO64" t="e">
        <f t="shared" si="3"/>
        <v>#VALUE!</v>
      </c>
    </row>
    <row r="65" spans="19:41">
      <c r="S65">
        <f>Data!A65</f>
        <v>0</v>
      </c>
      <c r="T65" t="str">
        <f>Data!D65</f>
        <v/>
      </c>
      <c r="U65">
        <f>Data!B65</f>
        <v>0</v>
      </c>
      <c r="V65" t="str">
        <f>Data!P65</f>
        <v/>
      </c>
      <c r="W65" t="str">
        <f>Data!N65</f>
        <v/>
      </c>
      <c r="X65">
        <f t="shared" si="0"/>
        <v>0</v>
      </c>
      <c r="AA65">
        <f>Data!A65</f>
        <v>0</v>
      </c>
      <c r="AB65">
        <f>Data!E65</f>
        <v>0</v>
      </c>
      <c r="AC65">
        <f>Data!F65</f>
        <v>0</v>
      </c>
      <c r="AD65">
        <f>Data!G65</f>
        <v>0</v>
      </c>
      <c r="AE65">
        <f>Data!B65</f>
        <v>0</v>
      </c>
      <c r="AF65" t="str">
        <f>Data!Q65</f>
        <v/>
      </c>
      <c r="AG65" t="str">
        <f>Data!N65</f>
        <v/>
      </c>
      <c r="AH65">
        <f>(IF($H$5="Curries/Stews",COUNTIF(Helper_Ingredient!$N$3:$N$20,AB65),IF($H$5="Salads",COUNTIF(Helper_Ingredient!$O$3:$O$20,AB65),COUNTIF(Helper_Ingredient!$P$3:$P$19,AB65)))&gt;0)+IF(AE65&gt;=30,(IF($H$5="Curries/Stews",COUNTIF(Helper_Ingredient!$N$3:$N$20,AC65),IF($H$5="Salads",COUNTIF(Helper_Ingredient!$O$3:$O$20,AC65),COUNTIF(Helper_Ingredient!$P$3:$P$19,AC65)))&gt;0),0)+IF(AE65&gt;=60,(IF($H$5="Curries/Stews",COUNTIF(Helper_Ingredient!$N$3:$N$20,AD65),IF($H$5="Salads",COUNTIF(Helper_Ingredient!$O$3:$O$20,AD65),COUNTIF(Helper_Ingredient!$P$3:$P$19,AD65)))&gt;0),0)</f>
        <v>0</v>
      </c>
      <c r="AI65">
        <f t="shared" si="1"/>
        <v>0</v>
      </c>
      <c r="AJ65">
        <f>Data!A65</f>
        <v>0</v>
      </c>
      <c r="AK65">
        <f>Data!H65</f>
        <v>0</v>
      </c>
      <c r="AL65">
        <f>Data!B65</f>
        <v>0</v>
      </c>
      <c r="AM65" t="str">
        <f>Data!R65</f>
        <v/>
      </c>
      <c r="AN65" t="str">
        <f>Data!N65</f>
        <v/>
      </c>
      <c r="AO65" t="e">
        <f t="shared" si="3"/>
        <v>#VALUE!</v>
      </c>
    </row>
    <row r="66" spans="19:41">
      <c r="S66">
        <f>Data!A66</f>
        <v>0</v>
      </c>
      <c r="T66" t="str">
        <f>Data!D66</f>
        <v/>
      </c>
      <c r="U66">
        <f>Data!B66</f>
        <v>0</v>
      </c>
      <c r="V66" t="str">
        <f>Data!P66</f>
        <v/>
      </c>
      <c r="W66" t="str">
        <f>Data!N66</f>
        <v/>
      </c>
      <c r="X66">
        <f t="shared" ref="X66:X129" si="4">IF(OR(T66=$B$5,T66=$B$6,T66=$B$7),(V66*1000)+U66+ROW()/1000000,0)</f>
        <v>0</v>
      </c>
      <c r="AA66">
        <f>Data!A66</f>
        <v>0</v>
      </c>
      <c r="AB66">
        <f>Data!E66</f>
        <v>0</v>
      </c>
      <c r="AC66">
        <f>Data!F66</f>
        <v>0</v>
      </c>
      <c r="AD66">
        <f>Data!G66</f>
        <v>0</v>
      </c>
      <c r="AE66">
        <f>Data!B66</f>
        <v>0</v>
      </c>
      <c r="AF66" t="str">
        <f>Data!Q66</f>
        <v/>
      </c>
      <c r="AG66" t="str">
        <f>Data!N66</f>
        <v/>
      </c>
      <c r="AH66">
        <f>(IF($H$5="Curries/Stews",COUNTIF(Helper_Ingredient!$N$3:$N$20,AB66),IF($H$5="Salads",COUNTIF(Helper_Ingredient!$O$3:$O$20,AB66),COUNTIF(Helper_Ingredient!$P$3:$P$19,AB66)))&gt;0)+IF(AE66&gt;=30,(IF($H$5="Curries/Stews",COUNTIF(Helper_Ingredient!$N$3:$N$20,AC66),IF($H$5="Salads",COUNTIF(Helper_Ingredient!$O$3:$O$20,AC66),COUNTIF(Helper_Ingredient!$P$3:$P$19,AC66)))&gt;0),0)+IF(AE66&gt;=60,(IF($H$5="Curries/Stews",COUNTIF(Helper_Ingredient!$N$3:$N$20,AD66),IF($H$5="Salads",COUNTIF(Helper_Ingredient!$O$3:$O$20,AD66),COUNTIF(Helper_Ingredient!$P$3:$P$19,AD66)))&gt;0),0)</f>
        <v>0</v>
      </c>
      <c r="AI66">
        <f t="shared" ref="AI66:AI129" si="5">IF(AH66&gt;0,(AH66*1000000)+(AF66*1000)+AE66+ROW()/1000000,0)</f>
        <v>0</v>
      </c>
      <c r="AJ66">
        <f>Data!A66</f>
        <v>0</v>
      </c>
      <c r="AK66">
        <f>Data!H66</f>
        <v>0</v>
      </c>
      <c r="AL66">
        <f>Data!B66</f>
        <v>0</v>
      </c>
      <c r="AM66" t="str">
        <f>Data!R66</f>
        <v/>
      </c>
      <c r="AN66" t="str">
        <f>Data!N66</f>
        <v/>
      </c>
      <c r="AO66" t="e">
        <f t="shared" si="3"/>
        <v>#VALUE!</v>
      </c>
    </row>
    <row r="67" spans="19:41">
      <c r="S67">
        <f>Data!A67</f>
        <v>0</v>
      </c>
      <c r="T67" t="str">
        <f>Data!D67</f>
        <v/>
      </c>
      <c r="U67">
        <f>Data!B67</f>
        <v>0</v>
      </c>
      <c r="V67" t="str">
        <f>Data!P67</f>
        <v/>
      </c>
      <c r="W67" t="str">
        <f>Data!N67</f>
        <v/>
      </c>
      <c r="X67">
        <f t="shared" si="4"/>
        <v>0</v>
      </c>
      <c r="AA67">
        <f>Data!A67</f>
        <v>0</v>
      </c>
      <c r="AB67">
        <f>Data!E67</f>
        <v>0</v>
      </c>
      <c r="AC67">
        <f>Data!F67</f>
        <v>0</v>
      </c>
      <c r="AD67">
        <f>Data!G67</f>
        <v>0</v>
      </c>
      <c r="AE67">
        <f>Data!B67</f>
        <v>0</v>
      </c>
      <c r="AF67" t="str">
        <f>Data!Q67</f>
        <v/>
      </c>
      <c r="AG67" t="str">
        <f>Data!N67</f>
        <v/>
      </c>
      <c r="AH67">
        <f>(IF($H$5="Curries/Stews",COUNTIF(Helper_Ingredient!$N$3:$N$20,AB67),IF($H$5="Salads",COUNTIF(Helper_Ingredient!$O$3:$O$20,AB67),COUNTIF(Helper_Ingredient!$P$3:$P$19,AB67)))&gt;0)+IF(AE67&gt;=30,(IF($H$5="Curries/Stews",COUNTIF(Helper_Ingredient!$N$3:$N$20,AC67),IF($H$5="Salads",COUNTIF(Helper_Ingredient!$O$3:$O$20,AC67),COUNTIF(Helper_Ingredient!$P$3:$P$19,AC67)))&gt;0),0)+IF(AE67&gt;=60,(IF($H$5="Curries/Stews",COUNTIF(Helper_Ingredient!$N$3:$N$20,AD67),IF($H$5="Salads",COUNTIF(Helper_Ingredient!$O$3:$O$20,AD67),COUNTIF(Helper_Ingredient!$P$3:$P$19,AD67)))&gt;0),0)</f>
        <v>0</v>
      </c>
      <c r="AI67">
        <f t="shared" si="5"/>
        <v>0</v>
      </c>
      <c r="AJ67">
        <f>Data!A67</f>
        <v>0</v>
      </c>
      <c r="AK67">
        <f>Data!H67</f>
        <v>0</v>
      </c>
      <c r="AL67">
        <f>Data!B67</f>
        <v>0</v>
      </c>
      <c r="AM67" t="str">
        <f>Data!R67</f>
        <v/>
      </c>
      <c r="AN67" t="str">
        <f>Data!N67</f>
        <v/>
      </c>
      <c r="AO67" t="e">
        <f t="shared" si="3"/>
        <v>#VALUE!</v>
      </c>
    </row>
    <row r="68" spans="19:41">
      <c r="S68">
        <f>Data!A68</f>
        <v>0</v>
      </c>
      <c r="T68" t="str">
        <f>Data!D68</f>
        <v/>
      </c>
      <c r="U68">
        <f>Data!B68</f>
        <v>0</v>
      </c>
      <c r="V68" t="str">
        <f>Data!P68</f>
        <v/>
      </c>
      <c r="W68" t="str">
        <f>Data!N68</f>
        <v/>
      </c>
      <c r="X68">
        <f t="shared" si="4"/>
        <v>0</v>
      </c>
      <c r="AA68">
        <f>Data!A68</f>
        <v>0</v>
      </c>
      <c r="AB68">
        <f>Data!E68</f>
        <v>0</v>
      </c>
      <c r="AC68">
        <f>Data!F68</f>
        <v>0</v>
      </c>
      <c r="AD68">
        <f>Data!G68</f>
        <v>0</v>
      </c>
      <c r="AE68">
        <f>Data!B68</f>
        <v>0</v>
      </c>
      <c r="AF68" t="str">
        <f>Data!Q68</f>
        <v/>
      </c>
      <c r="AG68" t="str">
        <f>Data!N68</f>
        <v/>
      </c>
      <c r="AH68">
        <f>(IF($H$5="Curries/Stews",COUNTIF(Helper_Ingredient!$N$3:$N$20,AB68),IF($H$5="Salads",COUNTIF(Helper_Ingredient!$O$3:$O$20,AB68),COUNTIF(Helper_Ingredient!$P$3:$P$19,AB68)))&gt;0)+IF(AE68&gt;=30,(IF($H$5="Curries/Stews",COUNTIF(Helper_Ingredient!$N$3:$N$20,AC68),IF($H$5="Salads",COUNTIF(Helper_Ingredient!$O$3:$O$20,AC68),COUNTIF(Helper_Ingredient!$P$3:$P$19,AC68)))&gt;0),0)+IF(AE68&gt;=60,(IF($H$5="Curries/Stews",COUNTIF(Helper_Ingredient!$N$3:$N$20,AD68),IF($H$5="Salads",COUNTIF(Helper_Ingredient!$O$3:$O$20,AD68),COUNTIF(Helper_Ingredient!$P$3:$P$19,AD68)))&gt;0),0)</f>
        <v>0</v>
      </c>
      <c r="AI68">
        <f t="shared" si="5"/>
        <v>0</v>
      </c>
      <c r="AJ68">
        <f>Data!A68</f>
        <v>0</v>
      </c>
      <c r="AK68">
        <f>Data!H68</f>
        <v>0</v>
      </c>
      <c r="AL68">
        <f>Data!B68</f>
        <v>0</v>
      </c>
      <c r="AM68" t="str">
        <f>Data!R68</f>
        <v/>
      </c>
      <c r="AN68" t="str">
        <f>Data!N68</f>
        <v/>
      </c>
      <c r="AO68" t="e">
        <f t="shared" si="3"/>
        <v>#VALUE!</v>
      </c>
    </row>
    <row r="69" spans="19:41">
      <c r="S69">
        <f>Data!A69</f>
        <v>0</v>
      </c>
      <c r="T69" t="str">
        <f>Data!D69</f>
        <v/>
      </c>
      <c r="U69">
        <f>Data!B69</f>
        <v>0</v>
      </c>
      <c r="V69" t="str">
        <f>Data!P69</f>
        <v/>
      </c>
      <c r="W69" t="str">
        <f>Data!N69</f>
        <v/>
      </c>
      <c r="X69">
        <f t="shared" si="4"/>
        <v>0</v>
      </c>
      <c r="AA69">
        <f>Data!A69</f>
        <v>0</v>
      </c>
      <c r="AB69">
        <f>Data!E69</f>
        <v>0</v>
      </c>
      <c r="AC69">
        <f>Data!F69</f>
        <v>0</v>
      </c>
      <c r="AD69">
        <f>Data!G69</f>
        <v>0</v>
      </c>
      <c r="AE69">
        <f>Data!B69</f>
        <v>0</v>
      </c>
      <c r="AF69" t="str">
        <f>Data!Q69</f>
        <v/>
      </c>
      <c r="AG69" t="str">
        <f>Data!N69</f>
        <v/>
      </c>
      <c r="AH69">
        <f>(IF($H$5="Curries/Stews",COUNTIF(Helper_Ingredient!$N$3:$N$20,AB69),IF($H$5="Salads",COUNTIF(Helper_Ingredient!$O$3:$O$20,AB69),COUNTIF(Helper_Ingredient!$P$3:$P$19,AB69)))&gt;0)+IF(AE69&gt;=30,(IF($H$5="Curries/Stews",COUNTIF(Helper_Ingredient!$N$3:$N$20,AC69),IF($H$5="Salads",COUNTIF(Helper_Ingredient!$O$3:$O$20,AC69),COUNTIF(Helper_Ingredient!$P$3:$P$19,AC69)))&gt;0),0)+IF(AE69&gt;=60,(IF($H$5="Curries/Stews",COUNTIF(Helper_Ingredient!$N$3:$N$20,AD69),IF($H$5="Salads",COUNTIF(Helper_Ingredient!$O$3:$O$20,AD69),COUNTIF(Helper_Ingredient!$P$3:$P$19,AD69)))&gt;0),0)</f>
        <v>0</v>
      </c>
      <c r="AI69">
        <f t="shared" si="5"/>
        <v>0</v>
      </c>
      <c r="AJ69">
        <f>Data!A69</f>
        <v>0</v>
      </c>
      <c r="AK69">
        <f>Data!H69</f>
        <v>0</v>
      </c>
      <c r="AL69">
        <f>Data!B69</f>
        <v>0</v>
      </c>
      <c r="AM69" t="str">
        <f>Data!R69</f>
        <v/>
      </c>
      <c r="AN69" t="str">
        <f>Data!N69</f>
        <v/>
      </c>
      <c r="AO69" t="e">
        <f t="shared" si="3"/>
        <v>#VALUE!</v>
      </c>
    </row>
    <row r="70" spans="19:41">
      <c r="S70">
        <f>Data!A70</f>
        <v>0</v>
      </c>
      <c r="T70" t="str">
        <f>Data!D70</f>
        <v/>
      </c>
      <c r="U70">
        <f>Data!B70</f>
        <v>0</v>
      </c>
      <c r="V70" t="str">
        <f>Data!P70</f>
        <v/>
      </c>
      <c r="W70" t="str">
        <f>Data!N70</f>
        <v/>
      </c>
      <c r="X70">
        <f t="shared" si="4"/>
        <v>0</v>
      </c>
      <c r="AA70">
        <f>Data!A70</f>
        <v>0</v>
      </c>
      <c r="AB70">
        <f>Data!E70</f>
        <v>0</v>
      </c>
      <c r="AC70">
        <f>Data!F70</f>
        <v>0</v>
      </c>
      <c r="AD70">
        <f>Data!G70</f>
        <v>0</v>
      </c>
      <c r="AE70">
        <f>Data!B70</f>
        <v>0</v>
      </c>
      <c r="AF70" t="str">
        <f>Data!Q70</f>
        <v/>
      </c>
      <c r="AG70" t="str">
        <f>Data!N70</f>
        <v/>
      </c>
      <c r="AH70">
        <f>(IF($H$5="Curries/Stews",COUNTIF(Helper_Ingredient!$N$3:$N$20,AB70),IF($H$5="Salads",COUNTIF(Helper_Ingredient!$O$3:$O$20,AB70),COUNTIF(Helper_Ingredient!$P$3:$P$19,AB70)))&gt;0)+IF(AE70&gt;=30,(IF($H$5="Curries/Stews",COUNTIF(Helper_Ingredient!$N$3:$N$20,AC70),IF($H$5="Salads",COUNTIF(Helper_Ingredient!$O$3:$O$20,AC70),COUNTIF(Helper_Ingredient!$P$3:$P$19,AC70)))&gt;0),0)+IF(AE70&gt;=60,(IF($H$5="Curries/Stews",COUNTIF(Helper_Ingredient!$N$3:$N$20,AD70),IF($H$5="Salads",COUNTIF(Helper_Ingredient!$O$3:$O$20,AD70),COUNTIF(Helper_Ingredient!$P$3:$P$19,AD70)))&gt;0),0)</f>
        <v>0</v>
      </c>
      <c r="AI70">
        <f t="shared" si="5"/>
        <v>0</v>
      </c>
      <c r="AJ70">
        <f>Data!A70</f>
        <v>0</v>
      </c>
      <c r="AK70">
        <f>Data!H70</f>
        <v>0</v>
      </c>
      <c r="AL70">
        <f>Data!B70</f>
        <v>0</v>
      </c>
      <c r="AM70" t="str">
        <f>Data!R70</f>
        <v/>
      </c>
      <c r="AN70" t="str">
        <f>Data!N70</f>
        <v/>
      </c>
      <c r="AO70" t="e">
        <f t="shared" si="3"/>
        <v>#VALUE!</v>
      </c>
    </row>
    <row r="71" spans="19:41">
      <c r="S71">
        <f>Data!A71</f>
        <v>0</v>
      </c>
      <c r="T71" t="str">
        <f>Data!D71</f>
        <v/>
      </c>
      <c r="U71">
        <f>Data!B71</f>
        <v>0</v>
      </c>
      <c r="V71" t="str">
        <f>Data!P71</f>
        <v/>
      </c>
      <c r="W71" t="str">
        <f>Data!N71</f>
        <v/>
      </c>
      <c r="X71">
        <f t="shared" si="4"/>
        <v>0</v>
      </c>
      <c r="AA71">
        <f>Data!A71</f>
        <v>0</v>
      </c>
      <c r="AB71">
        <f>Data!E71</f>
        <v>0</v>
      </c>
      <c r="AC71">
        <f>Data!F71</f>
        <v>0</v>
      </c>
      <c r="AD71">
        <f>Data!G71</f>
        <v>0</v>
      </c>
      <c r="AE71">
        <f>Data!B71</f>
        <v>0</v>
      </c>
      <c r="AF71" t="str">
        <f>Data!Q71</f>
        <v/>
      </c>
      <c r="AG71" t="str">
        <f>Data!N71</f>
        <v/>
      </c>
      <c r="AH71">
        <f>(IF($H$5="Curries/Stews",COUNTIF(Helper_Ingredient!$N$3:$N$20,AB71),IF($H$5="Salads",COUNTIF(Helper_Ingredient!$O$3:$O$20,AB71),COUNTIF(Helper_Ingredient!$P$3:$P$19,AB71)))&gt;0)+IF(AE71&gt;=30,(IF($H$5="Curries/Stews",COUNTIF(Helper_Ingredient!$N$3:$N$20,AC71),IF($H$5="Salads",COUNTIF(Helper_Ingredient!$O$3:$O$20,AC71),COUNTIF(Helper_Ingredient!$P$3:$P$19,AC71)))&gt;0),0)+IF(AE71&gt;=60,(IF($H$5="Curries/Stews",COUNTIF(Helper_Ingredient!$N$3:$N$20,AD71),IF($H$5="Salads",COUNTIF(Helper_Ingredient!$O$3:$O$20,AD71),COUNTIF(Helper_Ingredient!$P$3:$P$19,AD71)))&gt;0),0)</f>
        <v>0</v>
      </c>
      <c r="AI71">
        <f t="shared" si="5"/>
        <v>0</v>
      </c>
      <c r="AJ71">
        <f>Data!A71</f>
        <v>0</v>
      </c>
      <c r="AK71">
        <f>Data!H71</f>
        <v>0</v>
      </c>
      <c r="AL71">
        <f>Data!B71</f>
        <v>0</v>
      </c>
      <c r="AM71" t="str">
        <f>Data!R71</f>
        <v/>
      </c>
      <c r="AN71" t="str">
        <f>Data!N71</f>
        <v/>
      </c>
      <c r="AO71" t="e">
        <f t="shared" si="3"/>
        <v>#VALUE!</v>
      </c>
    </row>
    <row r="72" spans="19:41">
      <c r="S72">
        <f>Data!A72</f>
        <v>0</v>
      </c>
      <c r="T72" t="str">
        <f>Data!D72</f>
        <v/>
      </c>
      <c r="U72">
        <f>Data!B72</f>
        <v>0</v>
      </c>
      <c r="V72" t="str">
        <f>Data!P72</f>
        <v/>
      </c>
      <c r="W72" t="str">
        <f>Data!N72</f>
        <v/>
      </c>
      <c r="X72">
        <f t="shared" si="4"/>
        <v>0</v>
      </c>
      <c r="AA72">
        <f>Data!A72</f>
        <v>0</v>
      </c>
      <c r="AB72">
        <f>Data!E72</f>
        <v>0</v>
      </c>
      <c r="AC72">
        <f>Data!F72</f>
        <v>0</v>
      </c>
      <c r="AD72">
        <f>Data!G72</f>
        <v>0</v>
      </c>
      <c r="AE72">
        <f>Data!B72</f>
        <v>0</v>
      </c>
      <c r="AF72" t="str">
        <f>Data!Q72</f>
        <v/>
      </c>
      <c r="AG72" t="str">
        <f>Data!N72</f>
        <v/>
      </c>
      <c r="AH72">
        <f>(IF($H$5="Curries/Stews",COUNTIF(Helper_Ingredient!$N$3:$N$20,AB72),IF($H$5="Salads",COUNTIF(Helper_Ingredient!$O$3:$O$20,AB72),COUNTIF(Helper_Ingredient!$P$3:$P$19,AB72)))&gt;0)+IF(AE72&gt;=30,(IF($H$5="Curries/Stews",COUNTIF(Helper_Ingredient!$N$3:$N$20,AC72),IF($H$5="Salads",COUNTIF(Helper_Ingredient!$O$3:$O$20,AC72),COUNTIF(Helper_Ingredient!$P$3:$P$19,AC72)))&gt;0),0)+IF(AE72&gt;=60,(IF($H$5="Curries/Stews",COUNTIF(Helper_Ingredient!$N$3:$N$20,AD72),IF($H$5="Salads",COUNTIF(Helper_Ingredient!$O$3:$O$20,AD72),COUNTIF(Helper_Ingredient!$P$3:$P$19,AD72)))&gt;0),0)</f>
        <v>0</v>
      </c>
      <c r="AI72">
        <f t="shared" si="5"/>
        <v>0</v>
      </c>
      <c r="AJ72">
        <f>Data!A72</f>
        <v>0</v>
      </c>
      <c r="AK72">
        <f>Data!H72</f>
        <v>0</v>
      </c>
      <c r="AL72">
        <f>Data!B72</f>
        <v>0</v>
      </c>
      <c r="AM72" t="str">
        <f>Data!R72</f>
        <v/>
      </c>
      <c r="AN72" t="str">
        <f>Data!N72</f>
        <v/>
      </c>
      <c r="AO72" t="e">
        <f t="shared" si="3"/>
        <v>#VALUE!</v>
      </c>
    </row>
    <row r="73" spans="19:41">
      <c r="S73">
        <f>Data!A73</f>
        <v>0</v>
      </c>
      <c r="T73" t="str">
        <f>Data!D73</f>
        <v/>
      </c>
      <c r="U73">
        <f>Data!B73</f>
        <v>0</v>
      </c>
      <c r="V73" t="str">
        <f>Data!P73</f>
        <v/>
      </c>
      <c r="W73" t="str">
        <f>Data!N73</f>
        <v/>
      </c>
      <c r="X73">
        <f t="shared" si="4"/>
        <v>0</v>
      </c>
      <c r="AA73">
        <f>Data!A73</f>
        <v>0</v>
      </c>
      <c r="AB73">
        <f>Data!E73</f>
        <v>0</v>
      </c>
      <c r="AC73">
        <f>Data!F73</f>
        <v>0</v>
      </c>
      <c r="AD73">
        <f>Data!G73</f>
        <v>0</v>
      </c>
      <c r="AE73">
        <f>Data!B73</f>
        <v>0</v>
      </c>
      <c r="AF73" t="str">
        <f>Data!Q73</f>
        <v/>
      </c>
      <c r="AG73" t="str">
        <f>Data!N73</f>
        <v/>
      </c>
      <c r="AH73">
        <f>(IF($H$5="Curries/Stews",COUNTIF(Helper_Ingredient!$N$3:$N$20,AB73),IF($H$5="Salads",COUNTIF(Helper_Ingredient!$O$3:$O$20,AB73),COUNTIF(Helper_Ingredient!$P$3:$P$19,AB73)))&gt;0)+IF(AE73&gt;=30,(IF($H$5="Curries/Stews",COUNTIF(Helper_Ingredient!$N$3:$N$20,AC73),IF($H$5="Salads",COUNTIF(Helper_Ingredient!$O$3:$O$20,AC73),COUNTIF(Helper_Ingredient!$P$3:$P$19,AC73)))&gt;0),0)+IF(AE73&gt;=60,(IF($H$5="Curries/Stews",COUNTIF(Helper_Ingredient!$N$3:$N$20,AD73),IF($H$5="Salads",COUNTIF(Helper_Ingredient!$O$3:$O$20,AD73),COUNTIF(Helper_Ingredient!$P$3:$P$19,AD73)))&gt;0),0)</f>
        <v>0</v>
      </c>
      <c r="AI73">
        <f t="shared" si="5"/>
        <v>0</v>
      </c>
      <c r="AJ73">
        <f>Data!A73</f>
        <v>0</v>
      </c>
      <c r="AK73">
        <f>Data!H73</f>
        <v>0</v>
      </c>
      <c r="AL73">
        <f>Data!B73</f>
        <v>0</v>
      </c>
      <c r="AM73" t="str">
        <f>Data!R73</f>
        <v/>
      </c>
      <c r="AN73" t="str">
        <f>Data!N73</f>
        <v/>
      </c>
      <c r="AO73" t="e">
        <f t="shared" si="3"/>
        <v>#VALUE!</v>
      </c>
    </row>
    <row r="74" spans="19:41">
      <c r="S74">
        <f>Data!A74</f>
        <v>0</v>
      </c>
      <c r="T74" t="str">
        <f>Data!D74</f>
        <v/>
      </c>
      <c r="U74">
        <f>Data!B74</f>
        <v>0</v>
      </c>
      <c r="V74" t="str">
        <f>Data!P74</f>
        <v/>
      </c>
      <c r="W74" t="str">
        <f>Data!N74</f>
        <v/>
      </c>
      <c r="X74">
        <f t="shared" si="4"/>
        <v>0</v>
      </c>
      <c r="AA74">
        <f>Data!A74</f>
        <v>0</v>
      </c>
      <c r="AB74">
        <f>Data!E74</f>
        <v>0</v>
      </c>
      <c r="AC74">
        <f>Data!F74</f>
        <v>0</v>
      </c>
      <c r="AD74">
        <f>Data!G74</f>
        <v>0</v>
      </c>
      <c r="AE74">
        <f>Data!B74</f>
        <v>0</v>
      </c>
      <c r="AF74" t="str">
        <f>Data!Q74</f>
        <v/>
      </c>
      <c r="AG74" t="str">
        <f>Data!N74</f>
        <v/>
      </c>
      <c r="AH74">
        <f>(IF($H$5="Curries/Stews",COUNTIF(Helper_Ingredient!$N$3:$N$20,AB74),IF($H$5="Salads",COUNTIF(Helper_Ingredient!$O$3:$O$20,AB74),COUNTIF(Helper_Ingredient!$P$3:$P$19,AB74)))&gt;0)+IF(AE74&gt;=30,(IF($H$5="Curries/Stews",COUNTIF(Helper_Ingredient!$N$3:$N$20,AC74),IF($H$5="Salads",COUNTIF(Helper_Ingredient!$O$3:$O$20,AC74),COUNTIF(Helper_Ingredient!$P$3:$P$19,AC74)))&gt;0),0)+IF(AE74&gt;=60,(IF($H$5="Curries/Stews",COUNTIF(Helper_Ingredient!$N$3:$N$20,AD74),IF($H$5="Salads",COUNTIF(Helper_Ingredient!$O$3:$O$20,AD74),COUNTIF(Helper_Ingredient!$P$3:$P$19,AD74)))&gt;0),0)</f>
        <v>0</v>
      </c>
      <c r="AI74">
        <f t="shared" si="5"/>
        <v>0</v>
      </c>
      <c r="AJ74">
        <f>Data!A74</f>
        <v>0</v>
      </c>
      <c r="AK74">
        <f>Data!H74</f>
        <v>0</v>
      </c>
      <c r="AL74">
        <f>Data!B74</f>
        <v>0</v>
      </c>
      <c r="AM74" t="str">
        <f>Data!R74</f>
        <v/>
      </c>
      <c r="AN74" t="str">
        <f>Data!N74</f>
        <v/>
      </c>
      <c r="AO74" t="e">
        <f t="shared" si="3"/>
        <v>#VALUE!</v>
      </c>
    </row>
    <row r="75" spans="19:41">
      <c r="S75">
        <f>Data!A75</f>
        <v>0</v>
      </c>
      <c r="T75" t="str">
        <f>Data!D75</f>
        <v/>
      </c>
      <c r="U75">
        <f>Data!B75</f>
        <v>0</v>
      </c>
      <c r="V75" t="str">
        <f>Data!P75</f>
        <v/>
      </c>
      <c r="W75" t="str">
        <f>Data!N75</f>
        <v/>
      </c>
      <c r="X75">
        <f t="shared" si="4"/>
        <v>0</v>
      </c>
      <c r="AA75">
        <f>Data!A75</f>
        <v>0</v>
      </c>
      <c r="AB75">
        <f>Data!E75</f>
        <v>0</v>
      </c>
      <c r="AC75">
        <f>Data!F75</f>
        <v>0</v>
      </c>
      <c r="AD75">
        <f>Data!G75</f>
        <v>0</v>
      </c>
      <c r="AE75">
        <f>Data!B75</f>
        <v>0</v>
      </c>
      <c r="AF75" t="str">
        <f>Data!Q75</f>
        <v/>
      </c>
      <c r="AG75" t="str">
        <f>Data!N75</f>
        <v/>
      </c>
      <c r="AH75">
        <f>(IF($H$5="Curries/Stews",COUNTIF(Helper_Ingredient!$N$3:$N$20,AB75),IF($H$5="Salads",COUNTIF(Helper_Ingredient!$O$3:$O$20,AB75),COUNTIF(Helper_Ingredient!$P$3:$P$19,AB75)))&gt;0)+IF(AE75&gt;=30,(IF($H$5="Curries/Stews",COUNTIF(Helper_Ingredient!$N$3:$N$20,AC75),IF($H$5="Salads",COUNTIF(Helper_Ingredient!$O$3:$O$20,AC75),COUNTIF(Helper_Ingredient!$P$3:$P$19,AC75)))&gt;0),0)+IF(AE75&gt;=60,(IF($H$5="Curries/Stews",COUNTIF(Helper_Ingredient!$N$3:$N$20,AD75),IF($H$5="Salads",COUNTIF(Helper_Ingredient!$O$3:$O$20,AD75),COUNTIF(Helper_Ingredient!$P$3:$P$19,AD75)))&gt;0),0)</f>
        <v>0</v>
      </c>
      <c r="AI75">
        <f t="shared" si="5"/>
        <v>0</v>
      </c>
      <c r="AJ75">
        <f>Data!A75</f>
        <v>0</v>
      </c>
      <c r="AK75">
        <f>Data!H75</f>
        <v>0</v>
      </c>
      <c r="AL75">
        <f>Data!B75</f>
        <v>0</v>
      </c>
      <c r="AM75" t="str">
        <f>Data!R75</f>
        <v/>
      </c>
      <c r="AN75" t="str">
        <f>Data!N75</f>
        <v/>
      </c>
      <c r="AO75" t="e">
        <f t="shared" si="3"/>
        <v>#VALUE!</v>
      </c>
    </row>
    <row r="76" spans="19:41">
      <c r="S76">
        <f>Data!A76</f>
        <v>0</v>
      </c>
      <c r="T76" t="str">
        <f>Data!D76</f>
        <v/>
      </c>
      <c r="U76">
        <f>Data!B76</f>
        <v>0</v>
      </c>
      <c r="V76" t="str">
        <f>Data!P76</f>
        <v/>
      </c>
      <c r="W76" t="str">
        <f>Data!N76</f>
        <v/>
      </c>
      <c r="X76">
        <f t="shared" si="4"/>
        <v>0</v>
      </c>
      <c r="AA76">
        <f>Data!A76</f>
        <v>0</v>
      </c>
      <c r="AB76">
        <f>Data!E76</f>
        <v>0</v>
      </c>
      <c r="AC76">
        <f>Data!F76</f>
        <v>0</v>
      </c>
      <c r="AD76">
        <f>Data!G76</f>
        <v>0</v>
      </c>
      <c r="AE76">
        <f>Data!B76</f>
        <v>0</v>
      </c>
      <c r="AF76" t="str">
        <f>Data!Q76</f>
        <v/>
      </c>
      <c r="AG76" t="str">
        <f>Data!N76</f>
        <v/>
      </c>
      <c r="AH76">
        <f>(IF($H$5="Curries/Stews",COUNTIF(Helper_Ingredient!$N$3:$N$20,AB76),IF($H$5="Salads",COUNTIF(Helper_Ingredient!$O$3:$O$20,AB76),COUNTIF(Helper_Ingredient!$P$3:$P$19,AB76)))&gt;0)+IF(AE76&gt;=30,(IF($H$5="Curries/Stews",COUNTIF(Helper_Ingredient!$N$3:$N$20,AC76),IF($H$5="Salads",COUNTIF(Helper_Ingredient!$O$3:$O$20,AC76),COUNTIF(Helper_Ingredient!$P$3:$P$19,AC76)))&gt;0),0)+IF(AE76&gt;=60,(IF($H$5="Curries/Stews",COUNTIF(Helper_Ingredient!$N$3:$N$20,AD76),IF($H$5="Salads",COUNTIF(Helper_Ingredient!$O$3:$O$20,AD76),COUNTIF(Helper_Ingredient!$P$3:$P$19,AD76)))&gt;0),0)</f>
        <v>0</v>
      </c>
      <c r="AI76">
        <f t="shared" si="5"/>
        <v>0</v>
      </c>
      <c r="AJ76">
        <f>Data!A76</f>
        <v>0</v>
      </c>
      <c r="AK76">
        <f>Data!H76</f>
        <v>0</v>
      </c>
      <c r="AL76">
        <f>Data!B76</f>
        <v>0</v>
      </c>
      <c r="AM76" t="str">
        <f>Data!R76</f>
        <v/>
      </c>
      <c r="AN76" t="str">
        <f>Data!N76</f>
        <v/>
      </c>
      <c r="AO76" t="e">
        <f t="shared" si="3"/>
        <v>#VALUE!</v>
      </c>
    </row>
    <row r="77" spans="19:41">
      <c r="S77">
        <f>Data!A77</f>
        <v>0</v>
      </c>
      <c r="T77" t="str">
        <f>Data!D77</f>
        <v/>
      </c>
      <c r="U77">
        <f>Data!B77</f>
        <v>0</v>
      </c>
      <c r="V77" t="str">
        <f>Data!P77</f>
        <v/>
      </c>
      <c r="W77" t="str">
        <f>Data!N77</f>
        <v/>
      </c>
      <c r="X77">
        <f t="shared" si="4"/>
        <v>0</v>
      </c>
      <c r="AA77">
        <f>Data!A77</f>
        <v>0</v>
      </c>
      <c r="AB77">
        <f>Data!E77</f>
        <v>0</v>
      </c>
      <c r="AC77">
        <f>Data!F77</f>
        <v>0</v>
      </c>
      <c r="AD77">
        <f>Data!G77</f>
        <v>0</v>
      </c>
      <c r="AE77">
        <f>Data!B77</f>
        <v>0</v>
      </c>
      <c r="AF77" t="str">
        <f>Data!Q77</f>
        <v/>
      </c>
      <c r="AG77" t="str">
        <f>Data!N77</f>
        <v/>
      </c>
      <c r="AH77">
        <f>(IF($H$5="Curries/Stews",COUNTIF(Helper_Ingredient!$N$3:$N$20,AB77),IF($H$5="Salads",COUNTIF(Helper_Ingredient!$O$3:$O$20,AB77),COUNTIF(Helper_Ingredient!$P$3:$P$19,AB77)))&gt;0)+IF(AE77&gt;=30,(IF($H$5="Curries/Stews",COUNTIF(Helper_Ingredient!$N$3:$N$20,AC77),IF($H$5="Salads",COUNTIF(Helper_Ingredient!$O$3:$O$20,AC77),COUNTIF(Helper_Ingredient!$P$3:$P$19,AC77)))&gt;0),0)+IF(AE77&gt;=60,(IF($H$5="Curries/Stews",COUNTIF(Helper_Ingredient!$N$3:$N$20,AD77),IF($H$5="Salads",COUNTIF(Helper_Ingredient!$O$3:$O$20,AD77),COUNTIF(Helper_Ingredient!$P$3:$P$19,AD77)))&gt;0),0)</f>
        <v>0</v>
      </c>
      <c r="AI77">
        <f t="shared" si="5"/>
        <v>0</v>
      </c>
      <c r="AJ77">
        <f>Data!A77</f>
        <v>0</v>
      </c>
      <c r="AK77">
        <f>Data!H77</f>
        <v>0</v>
      </c>
      <c r="AL77">
        <f>Data!B77</f>
        <v>0</v>
      </c>
      <c r="AM77" t="str">
        <f>Data!R77</f>
        <v/>
      </c>
      <c r="AN77" t="str">
        <f>Data!N77</f>
        <v/>
      </c>
      <c r="AO77" t="e">
        <f t="shared" si="3"/>
        <v>#VALUE!</v>
      </c>
    </row>
    <row r="78" spans="19:41">
      <c r="S78">
        <f>Data!A78</f>
        <v>0</v>
      </c>
      <c r="T78" t="str">
        <f>Data!D78</f>
        <v/>
      </c>
      <c r="U78">
        <f>Data!B78</f>
        <v>0</v>
      </c>
      <c r="V78" t="str">
        <f>Data!P78</f>
        <v/>
      </c>
      <c r="W78" t="str">
        <f>Data!N78</f>
        <v/>
      </c>
      <c r="X78">
        <f t="shared" si="4"/>
        <v>0</v>
      </c>
      <c r="AA78">
        <f>Data!A78</f>
        <v>0</v>
      </c>
      <c r="AB78">
        <f>Data!E78</f>
        <v>0</v>
      </c>
      <c r="AC78">
        <f>Data!F78</f>
        <v>0</v>
      </c>
      <c r="AD78">
        <f>Data!G78</f>
        <v>0</v>
      </c>
      <c r="AE78">
        <f>Data!B78</f>
        <v>0</v>
      </c>
      <c r="AF78" t="str">
        <f>Data!Q78</f>
        <v/>
      </c>
      <c r="AG78" t="str">
        <f>Data!N78</f>
        <v/>
      </c>
      <c r="AH78">
        <f>(IF($H$5="Curries/Stews",COUNTIF(Helper_Ingredient!$N$3:$N$20,AB78),IF($H$5="Salads",COUNTIF(Helper_Ingredient!$O$3:$O$20,AB78),COUNTIF(Helper_Ingredient!$P$3:$P$19,AB78)))&gt;0)+IF(AE78&gt;=30,(IF($H$5="Curries/Stews",COUNTIF(Helper_Ingredient!$N$3:$N$20,AC78),IF($H$5="Salads",COUNTIF(Helper_Ingredient!$O$3:$O$20,AC78),COUNTIF(Helper_Ingredient!$P$3:$P$19,AC78)))&gt;0),0)+IF(AE78&gt;=60,(IF($H$5="Curries/Stews",COUNTIF(Helper_Ingredient!$N$3:$N$20,AD78),IF($H$5="Salads",COUNTIF(Helper_Ingredient!$O$3:$O$20,AD78),COUNTIF(Helper_Ingredient!$P$3:$P$19,AD78)))&gt;0),0)</f>
        <v>0</v>
      </c>
      <c r="AI78">
        <f t="shared" si="5"/>
        <v>0</v>
      </c>
      <c r="AJ78">
        <f>Data!A78</f>
        <v>0</v>
      </c>
      <c r="AK78">
        <f>Data!H78</f>
        <v>0</v>
      </c>
      <c r="AL78">
        <f>Data!B78</f>
        <v>0</v>
      </c>
      <c r="AM78" t="str">
        <f>Data!R78</f>
        <v/>
      </c>
      <c r="AN78" t="str">
        <f>Data!N78</f>
        <v/>
      </c>
      <c r="AO78" t="e">
        <f t="shared" si="3"/>
        <v>#VALUE!</v>
      </c>
    </row>
    <row r="79" spans="19:41">
      <c r="S79">
        <f>Data!A79</f>
        <v>0</v>
      </c>
      <c r="T79" t="str">
        <f>Data!D79</f>
        <v/>
      </c>
      <c r="U79">
        <f>Data!B79</f>
        <v>0</v>
      </c>
      <c r="V79" t="str">
        <f>Data!P79</f>
        <v/>
      </c>
      <c r="W79" t="str">
        <f>Data!N79</f>
        <v/>
      </c>
      <c r="X79">
        <f t="shared" si="4"/>
        <v>0</v>
      </c>
      <c r="AA79">
        <f>Data!A79</f>
        <v>0</v>
      </c>
      <c r="AB79">
        <f>Data!E79</f>
        <v>0</v>
      </c>
      <c r="AC79">
        <f>Data!F79</f>
        <v>0</v>
      </c>
      <c r="AD79">
        <f>Data!G79</f>
        <v>0</v>
      </c>
      <c r="AE79">
        <f>Data!B79</f>
        <v>0</v>
      </c>
      <c r="AF79" t="str">
        <f>Data!Q79</f>
        <v/>
      </c>
      <c r="AG79" t="str">
        <f>Data!N79</f>
        <v/>
      </c>
      <c r="AH79">
        <f>(IF($H$5="Curries/Stews",COUNTIF(Helper_Ingredient!$N$3:$N$20,AB79),IF($H$5="Salads",COUNTIF(Helper_Ingredient!$O$3:$O$20,AB79),COUNTIF(Helper_Ingredient!$P$3:$P$19,AB79)))&gt;0)+IF(AE79&gt;=30,(IF($H$5="Curries/Stews",COUNTIF(Helper_Ingredient!$N$3:$N$20,AC79),IF($H$5="Salads",COUNTIF(Helper_Ingredient!$O$3:$O$20,AC79),COUNTIF(Helper_Ingredient!$P$3:$P$19,AC79)))&gt;0),0)+IF(AE79&gt;=60,(IF($H$5="Curries/Stews",COUNTIF(Helper_Ingredient!$N$3:$N$20,AD79),IF($H$5="Salads",COUNTIF(Helper_Ingredient!$O$3:$O$20,AD79),COUNTIF(Helper_Ingredient!$P$3:$P$19,AD79)))&gt;0),0)</f>
        <v>0</v>
      </c>
      <c r="AI79">
        <f t="shared" si="5"/>
        <v>0</v>
      </c>
      <c r="AJ79">
        <f>Data!A79</f>
        <v>0</v>
      </c>
      <c r="AK79">
        <f>Data!H79</f>
        <v>0</v>
      </c>
      <c r="AL79">
        <f>Data!B79</f>
        <v>0</v>
      </c>
      <c r="AM79" t="str">
        <f>Data!R79</f>
        <v/>
      </c>
      <c r="AN79" t="str">
        <f>Data!N79</f>
        <v/>
      </c>
      <c r="AO79" t="e">
        <f t="shared" si="3"/>
        <v>#VALUE!</v>
      </c>
    </row>
    <row r="80" spans="19:41">
      <c r="S80">
        <f>Data!A80</f>
        <v>0</v>
      </c>
      <c r="T80" t="str">
        <f>Data!D80</f>
        <v/>
      </c>
      <c r="U80">
        <f>Data!B80</f>
        <v>0</v>
      </c>
      <c r="V80" t="str">
        <f>Data!P80</f>
        <v/>
      </c>
      <c r="W80" t="str">
        <f>Data!N80</f>
        <v/>
      </c>
      <c r="X80">
        <f t="shared" si="4"/>
        <v>0</v>
      </c>
      <c r="AA80">
        <f>Data!A80</f>
        <v>0</v>
      </c>
      <c r="AB80">
        <f>Data!E80</f>
        <v>0</v>
      </c>
      <c r="AC80">
        <f>Data!F80</f>
        <v>0</v>
      </c>
      <c r="AD80">
        <f>Data!G80</f>
        <v>0</v>
      </c>
      <c r="AE80">
        <f>Data!B80</f>
        <v>0</v>
      </c>
      <c r="AF80" t="str">
        <f>Data!Q80</f>
        <v/>
      </c>
      <c r="AG80" t="str">
        <f>Data!N80</f>
        <v/>
      </c>
      <c r="AH80">
        <f>(IF($H$5="Curries/Stews",COUNTIF(Helper_Ingredient!$N$3:$N$20,AB80),IF($H$5="Salads",COUNTIF(Helper_Ingredient!$O$3:$O$20,AB80),COUNTIF(Helper_Ingredient!$P$3:$P$19,AB80)))&gt;0)+IF(AE80&gt;=30,(IF($H$5="Curries/Stews",COUNTIF(Helper_Ingredient!$N$3:$N$20,AC80),IF($H$5="Salads",COUNTIF(Helper_Ingredient!$O$3:$O$20,AC80),COUNTIF(Helper_Ingredient!$P$3:$P$19,AC80)))&gt;0),0)+IF(AE80&gt;=60,(IF($H$5="Curries/Stews",COUNTIF(Helper_Ingredient!$N$3:$N$20,AD80),IF($H$5="Salads",COUNTIF(Helper_Ingredient!$O$3:$O$20,AD80),COUNTIF(Helper_Ingredient!$P$3:$P$19,AD80)))&gt;0),0)</f>
        <v>0</v>
      </c>
      <c r="AI80">
        <f t="shared" si="5"/>
        <v>0</v>
      </c>
      <c r="AJ80">
        <f>Data!A80</f>
        <v>0</v>
      </c>
      <c r="AK80">
        <f>Data!H80</f>
        <v>0</v>
      </c>
      <c r="AL80">
        <f>Data!B80</f>
        <v>0</v>
      </c>
      <c r="AM80" t="str">
        <f>Data!R80</f>
        <v/>
      </c>
      <c r="AN80" t="str">
        <f>Data!N80</f>
        <v/>
      </c>
      <c r="AO80" t="e">
        <f t="shared" si="3"/>
        <v>#VALUE!</v>
      </c>
    </row>
    <row r="81" spans="19:41">
      <c r="S81">
        <f>Data!A81</f>
        <v>0</v>
      </c>
      <c r="T81" t="str">
        <f>Data!D81</f>
        <v/>
      </c>
      <c r="U81">
        <f>Data!B81</f>
        <v>0</v>
      </c>
      <c r="V81" t="str">
        <f>Data!P81</f>
        <v/>
      </c>
      <c r="W81" t="str">
        <f>Data!N81</f>
        <v/>
      </c>
      <c r="X81">
        <f t="shared" si="4"/>
        <v>0</v>
      </c>
      <c r="AA81">
        <f>Data!A81</f>
        <v>0</v>
      </c>
      <c r="AB81">
        <f>Data!E81</f>
        <v>0</v>
      </c>
      <c r="AC81">
        <f>Data!F81</f>
        <v>0</v>
      </c>
      <c r="AD81">
        <f>Data!G81</f>
        <v>0</v>
      </c>
      <c r="AE81">
        <f>Data!B81</f>
        <v>0</v>
      </c>
      <c r="AF81" t="str">
        <f>Data!Q81</f>
        <v/>
      </c>
      <c r="AG81" t="str">
        <f>Data!N81</f>
        <v/>
      </c>
      <c r="AH81">
        <f>(IF($H$5="Curries/Stews",COUNTIF(Helper_Ingredient!$N$3:$N$20,AB81),IF($H$5="Salads",COUNTIF(Helper_Ingredient!$O$3:$O$20,AB81),COUNTIF(Helper_Ingredient!$P$3:$P$19,AB81)))&gt;0)+IF(AE81&gt;=30,(IF($H$5="Curries/Stews",COUNTIF(Helper_Ingredient!$N$3:$N$20,AC81),IF($H$5="Salads",COUNTIF(Helper_Ingredient!$O$3:$O$20,AC81),COUNTIF(Helper_Ingredient!$P$3:$P$19,AC81)))&gt;0),0)+IF(AE81&gt;=60,(IF($H$5="Curries/Stews",COUNTIF(Helper_Ingredient!$N$3:$N$20,AD81),IF($H$5="Salads",COUNTIF(Helper_Ingredient!$O$3:$O$20,AD81),COUNTIF(Helper_Ingredient!$P$3:$P$19,AD81)))&gt;0),0)</f>
        <v>0</v>
      </c>
      <c r="AI81">
        <f t="shared" si="5"/>
        <v>0</v>
      </c>
      <c r="AJ81">
        <f>Data!A81</f>
        <v>0</v>
      </c>
      <c r="AK81">
        <f>Data!H81</f>
        <v>0</v>
      </c>
      <c r="AL81">
        <f>Data!B81</f>
        <v>0</v>
      </c>
      <c r="AM81" t="str">
        <f>Data!R81</f>
        <v/>
      </c>
      <c r="AN81" t="str">
        <f>Data!N81</f>
        <v/>
      </c>
      <c r="AO81" t="e">
        <f t="shared" si="3"/>
        <v>#VALUE!</v>
      </c>
    </row>
    <row r="82" spans="19:41">
      <c r="S82">
        <f>Data!A82</f>
        <v>0</v>
      </c>
      <c r="T82" t="str">
        <f>Data!D82</f>
        <v/>
      </c>
      <c r="U82">
        <f>Data!B82</f>
        <v>0</v>
      </c>
      <c r="V82" t="str">
        <f>Data!P82</f>
        <v/>
      </c>
      <c r="W82" t="str">
        <f>Data!N82</f>
        <v/>
      </c>
      <c r="X82">
        <f t="shared" si="4"/>
        <v>0</v>
      </c>
      <c r="AA82">
        <f>Data!A82</f>
        <v>0</v>
      </c>
      <c r="AB82">
        <f>Data!E82</f>
        <v>0</v>
      </c>
      <c r="AC82">
        <f>Data!F82</f>
        <v>0</v>
      </c>
      <c r="AD82">
        <f>Data!G82</f>
        <v>0</v>
      </c>
      <c r="AE82">
        <f>Data!B82</f>
        <v>0</v>
      </c>
      <c r="AF82" t="str">
        <f>Data!Q82</f>
        <v/>
      </c>
      <c r="AG82" t="str">
        <f>Data!N82</f>
        <v/>
      </c>
      <c r="AH82">
        <f>(IF($H$5="Curries/Stews",COUNTIF(Helper_Ingredient!$N$3:$N$20,AB82),IF($H$5="Salads",COUNTIF(Helper_Ingredient!$O$3:$O$20,AB82),COUNTIF(Helper_Ingredient!$P$3:$P$19,AB82)))&gt;0)+IF(AE82&gt;=30,(IF($H$5="Curries/Stews",COUNTIF(Helper_Ingredient!$N$3:$N$20,AC82),IF($H$5="Salads",COUNTIF(Helper_Ingredient!$O$3:$O$20,AC82),COUNTIF(Helper_Ingredient!$P$3:$P$19,AC82)))&gt;0),0)+IF(AE82&gt;=60,(IF($H$5="Curries/Stews",COUNTIF(Helper_Ingredient!$N$3:$N$20,AD82),IF($H$5="Salads",COUNTIF(Helper_Ingredient!$O$3:$O$20,AD82),COUNTIF(Helper_Ingredient!$P$3:$P$19,AD82)))&gt;0),0)</f>
        <v>0</v>
      </c>
      <c r="AI82">
        <f t="shared" si="5"/>
        <v>0</v>
      </c>
      <c r="AJ82">
        <f>Data!A82</f>
        <v>0</v>
      </c>
      <c r="AK82">
        <f>Data!H82</f>
        <v>0</v>
      </c>
      <c r="AL82">
        <f>Data!B82</f>
        <v>0</v>
      </c>
      <c r="AM82" t="str">
        <f>Data!R82</f>
        <v/>
      </c>
      <c r="AN82" t="str">
        <f>Data!N82</f>
        <v/>
      </c>
      <c r="AO82" t="e">
        <f t="shared" si="3"/>
        <v>#VALUE!</v>
      </c>
    </row>
    <row r="83" spans="19:41">
      <c r="S83">
        <f>Data!A83</f>
        <v>0</v>
      </c>
      <c r="T83" t="str">
        <f>Data!D83</f>
        <v/>
      </c>
      <c r="U83">
        <f>Data!B83</f>
        <v>0</v>
      </c>
      <c r="V83" t="str">
        <f>Data!P83</f>
        <v/>
      </c>
      <c r="W83" t="str">
        <f>Data!N83</f>
        <v/>
      </c>
      <c r="X83">
        <f t="shared" si="4"/>
        <v>0</v>
      </c>
      <c r="AA83">
        <f>Data!A83</f>
        <v>0</v>
      </c>
      <c r="AB83">
        <f>Data!E83</f>
        <v>0</v>
      </c>
      <c r="AC83">
        <f>Data!F83</f>
        <v>0</v>
      </c>
      <c r="AD83">
        <f>Data!G83</f>
        <v>0</v>
      </c>
      <c r="AE83">
        <f>Data!B83</f>
        <v>0</v>
      </c>
      <c r="AF83" t="str">
        <f>Data!Q83</f>
        <v/>
      </c>
      <c r="AG83" t="str">
        <f>Data!N83</f>
        <v/>
      </c>
      <c r="AH83">
        <f>(IF($H$5="Curries/Stews",COUNTIF(Helper_Ingredient!$N$3:$N$20,AB83),IF($H$5="Salads",COUNTIF(Helper_Ingredient!$O$3:$O$20,AB83),COUNTIF(Helper_Ingredient!$P$3:$P$19,AB83)))&gt;0)+IF(AE83&gt;=30,(IF($H$5="Curries/Stews",COUNTIF(Helper_Ingredient!$N$3:$N$20,AC83),IF($H$5="Salads",COUNTIF(Helper_Ingredient!$O$3:$O$20,AC83),COUNTIF(Helper_Ingredient!$P$3:$P$19,AC83)))&gt;0),0)+IF(AE83&gt;=60,(IF($H$5="Curries/Stews",COUNTIF(Helper_Ingredient!$N$3:$N$20,AD83),IF($H$5="Salads",COUNTIF(Helper_Ingredient!$O$3:$O$20,AD83),COUNTIF(Helper_Ingredient!$P$3:$P$19,AD83)))&gt;0),0)</f>
        <v>0</v>
      </c>
      <c r="AI83">
        <f t="shared" si="5"/>
        <v>0</v>
      </c>
      <c r="AJ83">
        <f>Data!A83</f>
        <v>0</v>
      </c>
      <c r="AK83">
        <f>Data!H83</f>
        <v>0</v>
      </c>
      <c r="AL83">
        <f>Data!B83</f>
        <v>0</v>
      </c>
      <c r="AM83" t="str">
        <f>Data!R83</f>
        <v/>
      </c>
      <c r="AN83" t="str">
        <f>Data!N83</f>
        <v/>
      </c>
      <c r="AO83" t="e">
        <f t="shared" si="3"/>
        <v>#VALUE!</v>
      </c>
    </row>
    <row r="84" spans="19:41">
      <c r="S84">
        <f>Data!A84</f>
        <v>0</v>
      </c>
      <c r="T84" t="str">
        <f>Data!D84</f>
        <v/>
      </c>
      <c r="U84">
        <f>Data!B84</f>
        <v>0</v>
      </c>
      <c r="V84" t="str">
        <f>Data!P84</f>
        <v/>
      </c>
      <c r="W84" t="str">
        <f>Data!N84</f>
        <v/>
      </c>
      <c r="X84">
        <f t="shared" si="4"/>
        <v>0</v>
      </c>
      <c r="AA84">
        <f>Data!A84</f>
        <v>0</v>
      </c>
      <c r="AB84">
        <f>Data!E84</f>
        <v>0</v>
      </c>
      <c r="AC84">
        <f>Data!F84</f>
        <v>0</v>
      </c>
      <c r="AD84">
        <f>Data!G84</f>
        <v>0</v>
      </c>
      <c r="AE84">
        <f>Data!B84</f>
        <v>0</v>
      </c>
      <c r="AF84" t="str">
        <f>Data!Q84</f>
        <v/>
      </c>
      <c r="AG84" t="str">
        <f>Data!N84</f>
        <v/>
      </c>
      <c r="AH84">
        <f>(IF($H$5="Curries/Stews",COUNTIF(Helper_Ingredient!$N$3:$N$20,AB84),IF($H$5="Salads",COUNTIF(Helper_Ingredient!$O$3:$O$20,AB84),COUNTIF(Helper_Ingredient!$P$3:$P$19,AB84)))&gt;0)+IF(AE84&gt;=30,(IF($H$5="Curries/Stews",COUNTIF(Helper_Ingredient!$N$3:$N$20,AC84),IF($H$5="Salads",COUNTIF(Helper_Ingredient!$O$3:$O$20,AC84),COUNTIF(Helper_Ingredient!$P$3:$P$19,AC84)))&gt;0),0)+IF(AE84&gt;=60,(IF($H$5="Curries/Stews",COUNTIF(Helper_Ingredient!$N$3:$N$20,AD84),IF($H$5="Salads",COUNTIF(Helper_Ingredient!$O$3:$O$20,AD84),COUNTIF(Helper_Ingredient!$P$3:$P$19,AD84)))&gt;0),0)</f>
        <v>0</v>
      </c>
      <c r="AI84">
        <f t="shared" si="5"/>
        <v>0</v>
      </c>
      <c r="AJ84">
        <f>Data!A84</f>
        <v>0</v>
      </c>
      <c r="AK84">
        <f>Data!H84</f>
        <v>0</v>
      </c>
      <c r="AL84">
        <f>Data!B84</f>
        <v>0</v>
      </c>
      <c r="AM84" t="str">
        <f>Data!R84</f>
        <v/>
      </c>
      <c r="AN84" t="str">
        <f>Data!N84</f>
        <v/>
      </c>
      <c r="AO84" t="e">
        <f t="shared" si="3"/>
        <v>#VALUE!</v>
      </c>
    </row>
    <row r="85" spans="19:41">
      <c r="S85">
        <f>Data!A85</f>
        <v>0</v>
      </c>
      <c r="T85" t="str">
        <f>Data!D85</f>
        <v/>
      </c>
      <c r="U85">
        <f>Data!B85</f>
        <v>0</v>
      </c>
      <c r="V85" t="str">
        <f>Data!P85</f>
        <v/>
      </c>
      <c r="W85" t="str">
        <f>Data!N85</f>
        <v/>
      </c>
      <c r="X85">
        <f t="shared" si="4"/>
        <v>0</v>
      </c>
      <c r="AA85">
        <f>Data!A85</f>
        <v>0</v>
      </c>
      <c r="AB85">
        <f>Data!E85</f>
        <v>0</v>
      </c>
      <c r="AC85">
        <f>Data!F85</f>
        <v>0</v>
      </c>
      <c r="AD85">
        <f>Data!G85</f>
        <v>0</v>
      </c>
      <c r="AE85">
        <f>Data!B85</f>
        <v>0</v>
      </c>
      <c r="AF85" t="str">
        <f>Data!Q85</f>
        <v/>
      </c>
      <c r="AG85" t="str">
        <f>Data!N85</f>
        <v/>
      </c>
      <c r="AH85">
        <f>(IF($H$5="Curries/Stews",COUNTIF(Helper_Ingredient!$N$3:$N$20,AB85),IF($H$5="Salads",COUNTIF(Helper_Ingredient!$O$3:$O$20,AB85),COUNTIF(Helper_Ingredient!$P$3:$P$19,AB85)))&gt;0)+IF(AE85&gt;=30,(IF($H$5="Curries/Stews",COUNTIF(Helper_Ingredient!$N$3:$N$20,AC85),IF($H$5="Salads",COUNTIF(Helper_Ingredient!$O$3:$O$20,AC85),COUNTIF(Helper_Ingredient!$P$3:$P$19,AC85)))&gt;0),0)+IF(AE85&gt;=60,(IF($H$5="Curries/Stews",COUNTIF(Helper_Ingredient!$N$3:$N$20,AD85),IF($H$5="Salads",COUNTIF(Helper_Ingredient!$O$3:$O$20,AD85),COUNTIF(Helper_Ingredient!$P$3:$P$19,AD85)))&gt;0),0)</f>
        <v>0</v>
      </c>
      <c r="AI85">
        <f t="shared" si="5"/>
        <v>0</v>
      </c>
      <c r="AJ85">
        <f>Data!A85</f>
        <v>0</v>
      </c>
      <c r="AK85">
        <f>Data!H85</f>
        <v>0</v>
      </c>
      <c r="AL85">
        <f>Data!B85</f>
        <v>0</v>
      </c>
      <c r="AM85" t="str">
        <f>Data!R85</f>
        <v/>
      </c>
      <c r="AN85" t="str">
        <f>Data!N85</f>
        <v/>
      </c>
      <c r="AO85" t="e">
        <f t="shared" si="3"/>
        <v>#VALUE!</v>
      </c>
    </row>
    <row r="86" spans="19:41">
      <c r="S86">
        <f>Data!A86</f>
        <v>0</v>
      </c>
      <c r="T86" t="str">
        <f>Data!D86</f>
        <v/>
      </c>
      <c r="U86">
        <f>Data!B86</f>
        <v>0</v>
      </c>
      <c r="V86" t="str">
        <f>Data!P86</f>
        <v/>
      </c>
      <c r="W86" t="str">
        <f>Data!N86</f>
        <v/>
      </c>
      <c r="X86">
        <f t="shared" si="4"/>
        <v>0</v>
      </c>
      <c r="AA86">
        <f>Data!A86</f>
        <v>0</v>
      </c>
      <c r="AB86">
        <f>Data!E86</f>
        <v>0</v>
      </c>
      <c r="AC86">
        <f>Data!F86</f>
        <v>0</v>
      </c>
      <c r="AD86">
        <f>Data!G86</f>
        <v>0</v>
      </c>
      <c r="AE86">
        <f>Data!B86</f>
        <v>0</v>
      </c>
      <c r="AF86" t="str">
        <f>Data!Q86</f>
        <v/>
      </c>
      <c r="AG86" t="str">
        <f>Data!N86</f>
        <v/>
      </c>
      <c r="AH86">
        <f>(IF($H$5="Curries/Stews",COUNTIF(Helper_Ingredient!$N$3:$N$20,AB86),IF($H$5="Salads",COUNTIF(Helper_Ingredient!$O$3:$O$20,AB86),COUNTIF(Helper_Ingredient!$P$3:$P$19,AB86)))&gt;0)+IF(AE86&gt;=30,(IF($H$5="Curries/Stews",COUNTIF(Helper_Ingredient!$N$3:$N$20,AC86),IF($H$5="Salads",COUNTIF(Helper_Ingredient!$O$3:$O$20,AC86),COUNTIF(Helper_Ingredient!$P$3:$P$19,AC86)))&gt;0),0)+IF(AE86&gt;=60,(IF($H$5="Curries/Stews",COUNTIF(Helper_Ingredient!$N$3:$N$20,AD86),IF($H$5="Salads",COUNTIF(Helper_Ingredient!$O$3:$O$20,AD86),COUNTIF(Helper_Ingredient!$P$3:$P$19,AD86)))&gt;0),0)</f>
        <v>0</v>
      </c>
      <c r="AI86">
        <f t="shared" si="5"/>
        <v>0</v>
      </c>
      <c r="AJ86">
        <f>Data!A86</f>
        <v>0</v>
      </c>
      <c r="AK86">
        <f>Data!H86</f>
        <v>0</v>
      </c>
      <c r="AL86">
        <f>Data!B86</f>
        <v>0</v>
      </c>
      <c r="AM86" t="str">
        <f>Data!R86</f>
        <v/>
      </c>
      <c r="AN86" t="str">
        <f>Data!N86</f>
        <v/>
      </c>
      <c r="AO86" t="e">
        <f t="shared" si="3"/>
        <v>#VALUE!</v>
      </c>
    </row>
    <row r="87" spans="19:41">
      <c r="S87">
        <f>Data!A87</f>
        <v>0</v>
      </c>
      <c r="T87" t="str">
        <f>Data!D87</f>
        <v/>
      </c>
      <c r="U87">
        <f>Data!B87</f>
        <v>0</v>
      </c>
      <c r="V87" t="str">
        <f>Data!P87</f>
        <v/>
      </c>
      <c r="W87" t="str">
        <f>Data!N87</f>
        <v/>
      </c>
      <c r="X87">
        <f t="shared" si="4"/>
        <v>0</v>
      </c>
      <c r="AA87">
        <f>Data!A87</f>
        <v>0</v>
      </c>
      <c r="AB87">
        <f>Data!E87</f>
        <v>0</v>
      </c>
      <c r="AC87">
        <f>Data!F87</f>
        <v>0</v>
      </c>
      <c r="AD87">
        <f>Data!G87</f>
        <v>0</v>
      </c>
      <c r="AE87">
        <f>Data!B87</f>
        <v>0</v>
      </c>
      <c r="AF87" t="str">
        <f>Data!Q87</f>
        <v/>
      </c>
      <c r="AG87" t="str">
        <f>Data!N87</f>
        <v/>
      </c>
      <c r="AH87">
        <f>(IF($H$5="Curries/Stews",COUNTIF(Helper_Ingredient!$N$3:$N$20,AB87),IF($H$5="Salads",COUNTIF(Helper_Ingredient!$O$3:$O$20,AB87),COUNTIF(Helper_Ingredient!$P$3:$P$19,AB87)))&gt;0)+IF(AE87&gt;=30,(IF($H$5="Curries/Stews",COUNTIF(Helper_Ingredient!$N$3:$N$20,AC87),IF($H$5="Salads",COUNTIF(Helper_Ingredient!$O$3:$O$20,AC87),COUNTIF(Helper_Ingredient!$P$3:$P$19,AC87)))&gt;0),0)+IF(AE87&gt;=60,(IF($H$5="Curries/Stews",COUNTIF(Helper_Ingredient!$N$3:$N$20,AD87),IF($H$5="Salads",COUNTIF(Helper_Ingredient!$O$3:$O$20,AD87),COUNTIF(Helper_Ingredient!$P$3:$P$19,AD87)))&gt;0),0)</f>
        <v>0</v>
      </c>
      <c r="AI87">
        <f t="shared" si="5"/>
        <v>0</v>
      </c>
      <c r="AJ87">
        <f>Data!A87</f>
        <v>0</v>
      </c>
      <c r="AK87">
        <f>Data!H87</f>
        <v>0</v>
      </c>
      <c r="AL87">
        <f>Data!B87</f>
        <v>0</v>
      </c>
      <c r="AM87" t="str">
        <f>Data!R87</f>
        <v/>
      </c>
      <c r="AN87" t="str">
        <f>Data!N87</f>
        <v/>
      </c>
      <c r="AO87" t="e">
        <f t="shared" si="3"/>
        <v>#VALUE!</v>
      </c>
    </row>
    <row r="88" spans="19:41">
      <c r="S88">
        <f>Data!A88</f>
        <v>0</v>
      </c>
      <c r="T88" t="str">
        <f>Data!D88</f>
        <v/>
      </c>
      <c r="U88">
        <f>Data!B88</f>
        <v>0</v>
      </c>
      <c r="V88" t="str">
        <f>Data!P88</f>
        <v/>
      </c>
      <c r="W88" t="str">
        <f>Data!N88</f>
        <v/>
      </c>
      <c r="X88">
        <f t="shared" si="4"/>
        <v>0</v>
      </c>
      <c r="AA88">
        <f>Data!A88</f>
        <v>0</v>
      </c>
      <c r="AB88">
        <f>Data!E88</f>
        <v>0</v>
      </c>
      <c r="AC88">
        <f>Data!F88</f>
        <v>0</v>
      </c>
      <c r="AD88">
        <f>Data!G88</f>
        <v>0</v>
      </c>
      <c r="AE88">
        <f>Data!B88</f>
        <v>0</v>
      </c>
      <c r="AF88" t="str">
        <f>Data!Q88</f>
        <v/>
      </c>
      <c r="AG88" t="str">
        <f>Data!N88</f>
        <v/>
      </c>
      <c r="AH88">
        <f>(IF($H$5="Curries/Stews",COUNTIF(Helper_Ingredient!$N$3:$N$20,AB88),IF($H$5="Salads",COUNTIF(Helper_Ingredient!$O$3:$O$20,AB88),COUNTIF(Helper_Ingredient!$P$3:$P$19,AB88)))&gt;0)+IF(AE88&gt;=30,(IF($H$5="Curries/Stews",COUNTIF(Helper_Ingredient!$N$3:$N$20,AC88),IF($H$5="Salads",COUNTIF(Helper_Ingredient!$O$3:$O$20,AC88),COUNTIF(Helper_Ingredient!$P$3:$P$19,AC88)))&gt;0),0)+IF(AE88&gt;=60,(IF($H$5="Curries/Stews",COUNTIF(Helper_Ingredient!$N$3:$N$20,AD88),IF($H$5="Salads",COUNTIF(Helper_Ingredient!$O$3:$O$20,AD88),COUNTIF(Helper_Ingredient!$P$3:$P$19,AD88)))&gt;0),0)</f>
        <v>0</v>
      </c>
      <c r="AI88">
        <f t="shared" si="5"/>
        <v>0</v>
      </c>
      <c r="AJ88">
        <f>Data!A88</f>
        <v>0</v>
      </c>
      <c r="AK88">
        <f>Data!H88</f>
        <v>0</v>
      </c>
      <c r="AL88">
        <f>Data!B88</f>
        <v>0</v>
      </c>
      <c r="AM88" t="str">
        <f>Data!R88</f>
        <v/>
      </c>
      <c r="AN88" t="str">
        <f>Data!N88</f>
        <v/>
      </c>
      <c r="AO88" t="e">
        <f t="shared" si="3"/>
        <v>#VALUE!</v>
      </c>
    </row>
    <row r="89" spans="19:41">
      <c r="S89">
        <f>Data!A89</f>
        <v>0</v>
      </c>
      <c r="T89" t="str">
        <f>Data!D89</f>
        <v/>
      </c>
      <c r="U89">
        <f>Data!B89</f>
        <v>0</v>
      </c>
      <c r="V89" t="str">
        <f>Data!P89</f>
        <v/>
      </c>
      <c r="W89" t="str">
        <f>Data!N89</f>
        <v/>
      </c>
      <c r="X89">
        <f t="shared" si="4"/>
        <v>0</v>
      </c>
      <c r="AA89">
        <f>Data!A89</f>
        <v>0</v>
      </c>
      <c r="AB89">
        <f>Data!E89</f>
        <v>0</v>
      </c>
      <c r="AC89">
        <f>Data!F89</f>
        <v>0</v>
      </c>
      <c r="AD89">
        <f>Data!G89</f>
        <v>0</v>
      </c>
      <c r="AE89">
        <f>Data!B89</f>
        <v>0</v>
      </c>
      <c r="AF89" t="str">
        <f>Data!Q89</f>
        <v/>
      </c>
      <c r="AG89" t="str">
        <f>Data!N89</f>
        <v/>
      </c>
      <c r="AH89">
        <f>(IF($H$5="Curries/Stews",COUNTIF(Helper_Ingredient!$N$3:$N$20,AB89),IF($H$5="Salads",COUNTIF(Helper_Ingredient!$O$3:$O$20,AB89),COUNTIF(Helper_Ingredient!$P$3:$P$19,AB89)))&gt;0)+IF(AE89&gt;=30,(IF($H$5="Curries/Stews",COUNTIF(Helper_Ingredient!$N$3:$N$20,AC89),IF($H$5="Salads",COUNTIF(Helper_Ingredient!$O$3:$O$20,AC89),COUNTIF(Helper_Ingredient!$P$3:$P$19,AC89)))&gt;0),0)+IF(AE89&gt;=60,(IF($H$5="Curries/Stews",COUNTIF(Helper_Ingredient!$N$3:$N$20,AD89),IF($H$5="Salads",COUNTIF(Helper_Ingredient!$O$3:$O$20,AD89),COUNTIF(Helper_Ingredient!$P$3:$P$19,AD89)))&gt;0),0)</f>
        <v>0</v>
      </c>
      <c r="AI89">
        <f t="shared" si="5"/>
        <v>0</v>
      </c>
      <c r="AJ89">
        <f>Data!A89</f>
        <v>0</v>
      </c>
      <c r="AK89">
        <f>Data!H89</f>
        <v>0</v>
      </c>
      <c r="AL89">
        <f>Data!B89</f>
        <v>0</v>
      </c>
      <c r="AM89" t="str">
        <f>Data!R89</f>
        <v/>
      </c>
      <c r="AN89" t="str">
        <f>Data!N89</f>
        <v/>
      </c>
      <c r="AO89" t="e">
        <f t="shared" si="3"/>
        <v>#VALUE!</v>
      </c>
    </row>
    <row r="90" spans="19:41">
      <c r="S90">
        <f>Data!A90</f>
        <v>0</v>
      </c>
      <c r="T90" t="str">
        <f>Data!D90</f>
        <v/>
      </c>
      <c r="U90">
        <f>Data!B90</f>
        <v>0</v>
      </c>
      <c r="V90" t="str">
        <f>Data!P90</f>
        <v/>
      </c>
      <c r="W90" t="str">
        <f>Data!N90</f>
        <v/>
      </c>
      <c r="X90">
        <f t="shared" si="4"/>
        <v>0</v>
      </c>
      <c r="AA90">
        <f>Data!A90</f>
        <v>0</v>
      </c>
      <c r="AB90">
        <f>Data!E90</f>
        <v>0</v>
      </c>
      <c r="AC90">
        <f>Data!F90</f>
        <v>0</v>
      </c>
      <c r="AD90">
        <f>Data!G90</f>
        <v>0</v>
      </c>
      <c r="AE90">
        <f>Data!B90</f>
        <v>0</v>
      </c>
      <c r="AF90" t="str">
        <f>Data!Q90</f>
        <v/>
      </c>
      <c r="AG90" t="str">
        <f>Data!N90</f>
        <v/>
      </c>
      <c r="AH90">
        <f>(IF($H$5="Curries/Stews",COUNTIF(Helper_Ingredient!$N$3:$N$20,AB90),IF($H$5="Salads",COUNTIF(Helper_Ingredient!$O$3:$O$20,AB90),COUNTIF(Helper_Ingredient!$P$3:$P$19,AB90)))&gt;0)+IF(AE90&gt;=30,(IF($H$5="Curries/Stews",COUNTIF(Helper_Ingredient!$N$3:$N$20,AC90),IF($H$5="Salads",COUNTIF(Helper_Ingredient!$O$3:$O$20,AC90),COUNTIF(Helper_Ingredient!$P$3:$P$19,AC90)))&gt;0),0)+IF(AE90&gt;=60,(IF($H$5="Curries/Stews",COUNTIF(Helper_Ingredient!$N$3:$N$20,AD90),IF($H$5="Salads",COUNTIF(Helper_Ingredient!$O$3:$O$20,AD90),COUNTIF(Helper_Ingredient!$P$3:$P$19,AD90)))&gt;0),0)</f>
        <v>0</v>
      </c>
      <c r="AI90">
        <f t="shared" si="5"/>
        <v>0</v>
      </c>
      <c r="AJ90">
        <f>Data!A90</f>
        <v>0</v>
      </c>
      <c r="AK90">
        <f>Data!H90</f>
        <v>0</v>
      </c>
      <c r="AL90">
        <f>Data!B90</f>
        <v>0</v>
      </c>
      <c r="AM90" t="str">
        <f>Data!R90</f>
        <v/>
      </c>
      <c r="AN90" t="str">
        <f>Data!N90</f>
        <v/>
      </c>
      <c r="AO90" t="e">
        <f t="shared" si="3"/>
        <v>#VALUE!</v>
      </c>
    </row>
    <row r="91" spans="19:41">
      <c r="S91">
        <f>Data!A91</f>
        <v>0</v>
      </c>
      <c r="T91" t="str">
        <f>Data!D91</f>
        <v/>
      </c>
      <c r="U91">
        <f>Data!B91</f>
        <v>0</v>
      </c>
      <c r="V91" t="str">
        <f>Data!P91</f>
        <v/>
      </c>
      <c r="W91" t="str">
        <f>Data!N91</f>
        <v/>
      </c>
      <c r="X91">
        <f t="shared" si="4"/>
        <v>0</v>
      </c>
      <c r="AA91">
        <f>Data!A91</f>
        <v>0</v>
      </c>
      <c r="AB91">
        <f>Data!E91</f>
        <v>0</v>
      </c>
      <c r="AC91">
        <f>Data!F91</f>
        <v>0</v>
      </c>
      <c r="AD91">
        <f>Data!G91</f>
        <v>0</v>
      </c>
      <c r="AE91">
        <f>Data!B91</f>
        <v>0</v>
      </c>
      <c r="AF91" t="str">
        <f>Data!Q91</f>
        <v/>
      </c>
      <c r="AG91" t="str">
        <f>Data!N91</f>
        <v/>
      </c>
      <c r="AH91">
        <f>(IF($H$5="Curries/Stews",COUNTIF(Helper_Ingredient!$N$3:$N$20,AB91),IF($H$5="Salads",COUNTIF(Helper_Ingredient!$O$3:$O$20,AB91),COUNTIF(Helper_Ingredient!$P$3:$P$19,AB91)))&gt;0)+IF(AE91&gt;=30,(IF($H$5="Curries/Stews",COUNTIF(Helper_Ingredient!$N$3:$N$20,AC91),IF($H$5="Salads",COUNTIF(Helper_Ingredient!$O$3:$O$20,AC91),COUNTIF(Helper_Ingredient!$P$3:$P$19,AC91)))&gt;0),0)+IF(AE91&gt;=60,(IF($H$5="Curries/Stews",COUNTIF(Helper_Ingredient!$N$3:$N$20,AD91),IF($H$5="Salads",COUNTIF(Helper_Ingredient!$O$3:$O$20,AD91),COUNTIF(Helper_Ingredient!$P$3:$P$19,AD91)))&gt;0),0)</f>
        <v>0</v>
      </c>
      <c r="AI91">
        <f t="shared" si="5"/>
        <v>0</v>
      </c>
      <c r="AJ91">
        <f>Data!A91</f>
        <v>0</v>
      </c>
      <c r="AK91">
        <f>Data!H91</f>
        <v>0</v>
      </c>
      <c r="AL91">
        <f>Data!B91</f>
        <v>0</v>
      </c>
      <c r="AM91" t="str">
        <f>Data!R91</f>
        <v/>
      </c>
      <c r="AN91" t="str">
        <f>Data!N91</f>
        <v/>
      </c>
      <c r="AO91" t="e">
        <f t="shared" si="3"/>
        <v>#VALUE!</v>
      </c>
    </row>
    <row r="92" spans="19:41">
      <c r="S92">
        <f>Data!A92</f>
        <v>0</v>
      </c>
      <c r="T92" t="str">
        <f>Data!D92</f>
        <v/>
      </c>
      <c r="U92">
        <f>Data!B92</f>
        <v>0</v>
      </c>
      <c r="V92" t="str">
        <f>Data!P92</f>
        <v/>
      </c>
      <c r="W92" t="str">
        <f>Data!N92</f>
        <v/>
      </c>
      <c r="X92">
        <f t="shared" si="4"/>
        <v>0</v>
      </c>
      <c r="AA92">
        <f>Data!A92</f>
        <v>0</v>
      </c>
      <c r="AB92">
        <f>Data!E92</f>
        <v>0</v>
      </c>
      <c r="AC92">
        <f>Data!F92</f>
        <v>0</v>
      </c>
      <c r="AD92">
        <f>Data!G92</f>
        <v>0</v>
      </c>
      <c r="AE92">
        <f>Data!B92</f>
        <v>0</v>
      </c>
      <c r="AF92" t="str">
        <f>Data!Q92</f>
        <v/>
      </c>
      <c r="AG92" t="str">
        <f>Data!N92</f>
        <v/>
      </c>
      <c r="AH92">
        <f>(IF($H$5="Curries/Stews",COUNTIF(Helper_Ingredient!$N$3:$N$20,AB92),IF($H$5="Salads",COUNTIF(Helper_Ingredient!$O$3:$O$20,AB92),COUNTIF(Helper_Ingredient!$P$3:$P$19,AB92)))&gt;0)+IF(AE92&gt;=30,(IF($H$5="Curries/Stews",COUNTIF(Helper_Ingredient!$N$3:$N$20,AC92),IF($H$5="Salads",COUNTIF(Helper_Ingredient!$O$3:$O$20,AC92),COUNTIF(Helper_Ingredient!$P$3:$P$19,AC92)))&gt;0),0)+IF(AE92&gt;=60,(IF($H$5="Curries/Stews",COUNTIF(Helper_Ingredient!$N$3:$N$20,AD92),IF($H$5="Salads",COUNTIF(Helper_Ingredient!$O$3:$O$20,AD92),COUNTIF(Helper_Ingredient!$P$3:$P$19,AD92)))&gt;0),0)</f>
        <v>0</v>
      </c>
      <c r="AI92">
        <f t="shared" si="5"/>
        <v>0</v>
      </c>
      <c r="AJ92">
        <f>Data!A92</f>
        <v>0</v>
      </c>
      <c r="AK92">
        <f>Data!H92</f>
        <v>0</v>
      </c>
      <c r="AL92">
        <f>Data!B92</f>
        <v>0</v>
      </c>
      <c r="AM92" t="str">
        <f>Data!R92</f>
        <v/>
      </c>
      <c r="AN92" t="str">
        <f>Data!N92</f>
        <v/>
      </c>
      <c r="AO92" t="e">
        <f t="shared" si="3"/>
        <v>#VALUE!</v>
      </c>
    </row>
    <row r="93" spans="19:41">
      <c r="S93">
        <f>Data!A93</f>
        <v>0</v>
      </c>
      <c r="T93" t="str">
        <f>Data!D93</f>
        <v/>
      </c>
      <c r="U93">
        <f>Data!B93</f>
        <v>0</v>
      </c>
      <c r="V93" t="str">
        <f>Data!P93</f>
        <v/>
      </c>
      <c r="W93" t="str">
        <f>Data!N93</f>
        <v/>
      </c>
      <c r="X93">
        <f t="shared" si="4"/>
        <v>0</v>
      </c>
      <c r="AA93">
        <f>Data!A93</f>
        <v>0</v>
      </c>
      <c r="AB93">
        <f>Data!E93</f>
        <v>0</v>
      </c>
      <c r="AC93">
        <f>Data!F93</f>
        <v>0</v>
      </c>
      <c r="AD93">
        <f>Data!G93</f>
        <v>0</v>
      </c>
      <c r="AE93">
        <f>Data!B93</f>
        <v>0</v>
      </c>
      <c r="AF93" t="str">
        <f>Data!Q93</f>
        <v/>
      </c>
      <c r="AG93" t="str">
        <f>Data!N93</f>
        <v/>
      </c>
      <c r="AH93">
        <f>(IF($H$5="Curries/Stews",COUNTIF(Helper_Ingredient!$N$3:$N$20,AB93),IF($H$5="Salads",COUNTIF(Helper_Ingredient!$O$3:$O$20,AB93),COUNTIF(Helper_Ingredient!$P$3:$P$19,AB93)))&gt;0)+IF(AE93&gt;=30,(IF($H$5="Curries/Stews",COUNTIF(Helper_Ingredient!$N$3:$N$20,AC93),IF($H$5="Salads",COUNTIF(Helper_Ingredient!$O$3:$O$20,AC93),COUNTIF(Helper_Ingredient!$P$3:$P$19,AC93)))&gt;0),0)+IF(AE93&gt;=60,(IF($H$5="Curries/Stews",COUNTIF(Helper_Ingredient!$N$3:$N$20,AD93),IF($H$5="Salads",COUNTIF(Helper_Ingredient!$O$3:$O$20,AD93),COUNTIF(Helper_Ingredient!$P$3:$P$19,AD93)))&gt;0),0)</f>
        <v>0</v>
      </c>
      <c r="AI93">
        <f t="shared" si="5"/>
        <v>0</v>
      </c>
      <c r="AJ93">
        <f>Data!A93</f>
        <v>0</v>
      </c>
      <c r="AK93">
        <f>Data!H93</f>
        <v>0</v>
      </c>
      <c r="AL93">
        <f>Data!B93</f>
        <v>0</v>
      </c>
      <c r="AM93" t="str">
        <f>Data!R93</f>
        <v/>
      </c>
      <c r="AN93" t="str">
        <f>Data!N93</f>
        <v/>
      </c>
      <c r="AO93" t="e">
        <f t="shared" si="3"/>
        <v>#VALUE!</v>
      </c>
    </row>
    <row r="94" spans="19:41">
      <c r="S94">
        <f>Data!A94</f>
        <v>0</v>
      </c>
      <c r="T94" t="str">
        <f>Data!D94</f>
        <v/>
      </c>
      <c r="U94">
        <f>Data!B94</f>
        <v>0</v>
      </c>
      <c r="V94" t="str">
        <f>Data!P94</f>
        <v/>
      </c>
      <c r="W94" t="str">
        <f>Data!N94</f>
        <v/>
      </c>
      <c r="X94">
        <f t="shared" si="4"/>
        <v>0</v>
      </c>
      <c r="AA94">
        <f>Data!A94</f>
        <v>0</v>
      </c>
      <c r="AB94">
        <f>Data!E94</f>
        <v>0</v>
      </c>
      <c r="AC94">
        <f>Data!F94</f>
        <v>0</v>
      </c>
      <c r="AD94">
        <f>Data!G94</f>
        <v>0</v>
      </c>
      <c r="AE94">
        <f>Data!B94</f>
        <v>0</v>
      </c>
      <c r="AF94" t="str">
        <f>Data!Q94</f>
        <v/>
      </c>
      <c r="AG94" t="str">
        <f>Data!N94</f>
        <v/>
      </c>
      <c r="AH94">
        <f>(IF($H$5="Curries/Stews",COUNTIF(Helper_Ingredient!$N$3:$N$20,AB94),IF($H$5="Salads",COUNTIF(Helper_Ingredient!$O$3:$O$20,AB94),COUNTIF(Helper_Ingredient!$P$3:$P$19,AB94)))&gt;0)+IF(AE94&gt;=30,(IF($H$5="Curries/Stews",COUNTIF(Helper_Ingredient!$N$3:$N$20,AC94),IF($H$5="Salads",COUNTIF(Helper_Ingredient!$O$3:$O$20,AC94),COUNTIF(Helper_Ingredient!$P$3:$P$19,AC94)))&gt;0),0)+IF(AE94&gt;=60,(IF($H$5="Curries/Stews",COUNTIF(Helper_Ingredient!$N$3:$N$20,AD94),IF($H$5="Salads",COUNTIF(Helper_Ingredient!$O$3:$O$20,AD94),COUNTIF(Helper_Ingredient!$P$3:$P$19,AD94)))&gt;0),0)</f>
        <v>0</v>
      </c>
      <c r="AI94">
        <f t="shared" si="5"/>
        <v>0</v>
      </c>
      <c r="AJ94">
        <f>Data!A94</f>
        <v>0</v>
      </c>
      <c r="AK94">
        <f>Data!H94</f>
        <v>0</v>
      </c>
      <c r="AL94">
        <f>Data!B94</f>
        <v>0</v>
      </c>
      <c r="AM94" t="str">
        <f>Data!R94</f>
        <v/>
      </c>
      <c r="AN94" t="str">
        <f>Data!N94</f>
        <v/>
      </c>
      <c r="AO94" t="e">
        <f t="shared" si="3"/>
        <v>#VALUE!</v>
      </c>
    </row>
    <row r="95" spans="19:41">
      <c r="S95">
        <f>Data!A95</f>
        <v>0</v>
      </c>
      <c r="T95" t="str">
        <f>Data!D95</f>
        <v/>
      </c>
      <c r="U95">
        <f>Data!B95</f>
        <v>0</v>
      </c>
      <c r="V95" t="str">
        <f>Data!P95</f>
        <v/>
      </c>
      <c r="W95" t="str">
        <f>Data!N95</f>
        <v/>
      </c>
      <c r="X95">
        <f t="shared" si="4"/>
        <v>0</v>
      </c>
      <c r="AA95">
        <f>Data!A95</f>
        <v>0</v>
      </c>
      <c r="AB95">
        <f>Data!E95</f>
        <v>0</v>
      </c>
      <c r="AC95">
        <f>Data!F95</f>
        <v>0</v>
      </c>
      <c r="AD95">
        <f>Data!G95</f>
        <v>0</v>
      </c>
      <c r="AE95">
        <f>Data!B95</f>
        <v>0</v>
      </c>
      <c r="AF95" t="str">
        <f>Data!Q95</f>
        <v/>
      </c>
      <c r="AG95" t="str">
        <f>Data!N95</f>
        <v/>
      </c>
      <c r="AH95">
        <f>(IF($H$5="Curries/Stews",COUNTIF(Helper_Ingredient!$N$3:$N$20,AB95),IF($H$5="Salads",COUNTIF(Helper_Ingredient!$O$3:$O$20,AB95),COUNTIF(Helper_Ingredient!$P$3:$P$19,AB95)))&gt;0)+IF(AE95&gt;=30,(IF($H$5="Curries/Stews",COUNTIF(Helper_Ingredient!$N$3:$N$20,AC95),IF($H$5="Salads",COUNTIF(Helper_Ingredient!$O$3:$O$20,AC95),COUNTIF(Helper_Ingredient!$P$3:$P$19,AC95)))&gt;0),0)+IF(AE95&gt;=60,(IF($H$5="Curries/Stews",COUNTIF(Helper_Ingredient!$N$3:$N$20,AD95),IF($H$5="Salads",COUNTIF(Helper_Ingredient!$O$3:$O$20,AD95),COUNTIF(Helper_Ingredient!$P$3:$P$19,AD95)))&gt;0),0)</f>
        <v>0</v>
      </c>
      <c r="AI95">
        <f t="shared" si="5"/>
        <v>0</v>
      </c>
      <c r="AJ95">
        <f>Data!A95</f>
        <v>0</v>
      </c>
      <c r="AK95">
        <f>Data!H95</f>
        <v>0</v>
      </c>
      <c r="AL95">
        <f>Data!B95</f>
        <v>0</v>
      </c>
      <c r="AM95" t="str">
        <f>Data!R95</f>
        <v/>
      </c>
      <c r="AN95" t="str">
        <f>Data!N95</f>
        <v/>
      </c>
      <c r="AO95" t="e">
        <f t="shared" si="3"/>
        <v>#VALUE!</v>
      </c>
    </row>
    <row r="96" spans="19:41">
      <c r="S96">
        <f>Data!A96</f>
        <v>0</v>
      </c>
      <c r="T96" t="str">
        <f>Data!D96</f>
        <v/>
      </c>
      <c r="U96">
        <f>Data!B96</f>
        <v>0</v>
      </c>
      <c r="V96" t="str">
        <f>Data!P96</f>
        <v/>
      </c>
      <c r="W96" t="str">
        <f>Data!N96</f>
        <v/>
      </c>
      <c r="X96">
        <f t="shared" si="4"/>
        <v>0</v>
      </c>
      <c r="AA96">
        <f>Data!A96</f>
        <v>0</v>
      </c>
      <c r="AB96">
        <f>Data!E96</f>
        <v>0</v>
      </c>
      <c r="AC96">
        <f>Data!F96</f>
        <v>0</v>
      </c>
      <c r="AD96">
        <f>Data!G96</f>
        <v>0</v>
      </c>
      <c r="AE96">
        <f>Data!B96</f>
        <v>0</v>
      </c>
      <c r="AF96" t="str">
        <f>Data!Q96</f>
        <v/>
      </c>
      <c r="AG96" t="str">
        <f>Data!N96</f>
        <v/>
      </c>
      <c r="AH96">
        <f>(IF($H$5="Curries/Stews",COUNTIF(Helper_Ingredient!$N$3:$N$20,AB96),IF($H$5="Salads",COUNTIF(Helper_Ingredient!$O$3:$O$20,AB96),COUNTIF(Helper_Ingredient!$P$3:$P$19,AB96)))&gt;0)+IF(AE96&gt;=30,(IF($H$5="Curries/Stews",COUNTIF(Helper_Ingredient!$N$3:$N$20,AC96),IF($H$5="Salads",COUNTIF(Helper_Ingredient!$O$3:$O$20,AC96),COUNTIF(Helper_Ingredient!$P$3:$P$19,AC96)))&gt;0),0)+IF(AE96&gt;=60,(IF($H$5="Curries/Stews",COUNTIF(Helper_Ingredient!$N$3:$N$20,AD96),IF($H$5="Salads",COUNTIF(Helper_Ingredient!$O$3:$O$20,AD96),COUNTIF(Helper_Ingredient!$P$3:$P$19,AD96)))&gt;0),0)</f>
        <v>0</v>
      </c>
      <c r="AI96">
        <f t="shared" si="5"/>
        <v>0</v>
      </c>
      <c r="AJ96">
        <f>Data!A96</f>
        <v>0</v>
      </c>
      <c r="AK96">
        <f>Data!H96</f>
        <v>0</v>
      </c>
      <c r="AL96">
        <f>Data!B96</f>
        <v>0</v>
      </c>
      <c r="AM96" t="str">
        <f>Data!R96</f>
        <v/>
      </c>
      <c r="AN96" t="str">
        <f>Data!N96</f>
        <v/>
      </c>
      <c r="AO96" t="e">
        <f t="shared" si="3"/>
        <v>#VALUE!</v>
      </c>
    </row>
    <row r="97" spans="19:41">
      <c r="S97">
        <f>Data!A97</f>
        <v>0</v>
      </c>
      <c r="T97" t="str">
        <f>Data!D97</f>
        <v/>
      </c>
      <c r="U97">
        <f>Data!B97</f>
        <v>0</v>
      </c>
      <c r="V97" t="str">
        <f>Data!P97</f>
        <v/>
      </c>
      <c r="W97" t="str">
        <f>Data!N97</f>
        <v/>
      </c>
      <c r="X97">
        <f t="shared" si="4"/>
        <v>0</v>
      </c>
      <c r="AA97">
        <f>Data!A97</f>
        <v>0</v>
      </c>
      <c r="AB97">
        <f>Data!E97</f>
        <v>0</v>
      </c>
      <c r="AC97">
        <f>Data!F97</f>
        <v>0</v>
      </c>
      <c r="AD97">
        <f>Data!G97</f>
        <v>0</v>
      </c>
      <c r="AE97">
        <f>Data!B97</f>
        <v>0</v>
      </c>
      <c r="AF97" t="str">
        <f>Data!Q97</f>
        <v/>
      </c>
      <c r="AG97" t="str">
        <f>Data!N97</f>
        <v/>
      </c>
      <c r="AH97">
        <f>(IF($H$5="Curries/Stews",COUNTIF(Helper_Ingredient!$N$3:$N$20,AB97),IF($H$5="Salads",COUNTIF(Helper_Ingredient!$O$3:$O$20,AB97),COUNTIF(Helper_Ingredient!$P$3:$P$19,AB97)))&gt;0)+IF(AE97&gt;=30,(IF($H$5="Curries/Stews",COUNTIF(Helper_Ingredient!$N$3:$N$20,AC97),IF($H$5="Salads",COUNTIF(Helper_Ingredient!$O$3:$O$20,AC97),COUNTIF(Helper_Ingredient!$P$3:$P$19,AC97)))&gt;0),0)+IF(AE97&gt;=60,(IF($H$5="Curries/Stews",COUNTIF(Helper_Ingredient!$N$3:$N$20,AD97),IF($H$5="Salads",COUNTIF(Helper_Ingredient!$O$3:$O$20,AD97),COUNTIF(Helper_Ingredient!$P$3:$P$19,AD97)))&gt;0),0)</f>
        <v>0</v>
      </c>
      <c r="AI97">
        <f t="shared" si="5"/>
        <v>0</v>
      </c>
      <c r="AJ97">
        <f>Data!A97</f>
        <v>0</v>
      </c>
      <c r="AK97">
        <f>Data!H97</f>
        <v>0</v>
      </c>
      <c r="AL97">
        <f>Data!B97</f>
        <v>0</v>
      </c>
      <c r="AM97" t="str">
        <f>Data!R97</f>
        <v/>
      </c>
      <c r="AN97" t="str">
        <f>Data!N97</f>
        <v/>
      </c>
      <c r="AO97" t="e">
        <f t="shared" si="3"/>
        <v>#VALUE!</v>
      </c>
    </row>
    <row r="98" spans="19:41">
      <c r="S98">
        <f>Data!A98</f>
        <v>0</v>
      </c>
      <c r="T98" t="str">
        <f>Data!D98</f>
        <v/>
      </c>
      <c r="U98">
        <f>Data!B98</f>
        <v>0</v>
      </c>
      <c r="V98" t="str">
        <f>Data!P98</f>
        <v/>
      </c>
      <c r="W98" t="str">
        <f>Data!N98</f>
        <v/>
      </c>
      <c r="X98">
        <f t="shared" si="4"/>
        <v>0</v>
      </c>
      <c r="AA98">
        <f>Data!A98</f>
        <v>0</v>
      </c>
      <c r="AB98">
        <f>Data!E98</f>
        <v>0</v>
      </c>
      <c r="AC98">
        <f>Data!F98</f>
        <v>0</v>
      </c>
      <c r="AD98">
        <f>Data!G98</f>
        <v>0</v>
      </c>
      <c r="AE98">
        <f>Data!B98</f>
        <v>0</v>
      </c>
      <c r="AF98" t="str">
        <f>Data!Q98</f>
        <v/>
      </c>
      <c r="AG98" t="str">
        <f>Data!N98</f>
        <v/>
      </c>
      <c r="AH98">
        <f>(IF($H$5="Curries/Stews",COUNTIF(Helper_Ingredient!$N$3:$N$20,AB98),IF($H$5="Salads",COUNTIF(Helper_Ingredient!$O$3:$O$20,AB98),COUNTIF(Helper_Ingredient!$P$3:$P$19,AB98)))&gt;0)+IF(AE98&gt;=30,(IF($H$5="Curries/Stews",COUNTIF(Helper_Ingredient!$N$3:$N$20,AC98),IF($H$5="Salads",COUNTIF(Helper_Ingredient!$O$3:$O$20,AC98),COUNTIF(Helper_Ingredient!$P$3:$P$19,AC98)))&gt;0),0)+IF(AE98&gt;=60,(IF($H$5="Curries/Stews",COUNTIF(Helper_Ingredient!$N$3:$N$20,AD98),IF($H$5="Salads",COUNTIF(Helper_Ingredient!$O$3:$O$20,AD98),COUNTIF(Helper_Ingredient!$P$3:$P$19,AD98)))&gt;0),0)</f>
        <v>0</v>
      </c>
      <c r="AI98">
        <f t="shared" si="5"/>
        <v>0</v>
      </c>
      <c r="AJ98">
        <f>Data!A98</f>
        <v>0</v>
      </c>
      <c r="AK98">
        <f>Data!H98</f>
        <v>0</v>
      </c>
      <c r="AL98">
        <f>Data!B98</f>
        <v>0</v>
      </c>
      <c r="AM98" t="str">
        <f>Data!R98</f>
        <v/>
      </c>
      <c r="AN98" t="str">
        <f>Data!N98</f>
        <v/>
      </c>
      <c r="AO98" t="e">
        <f t="shared" si="3"/>
        <v>#VALUE!</v>
      </c>
    </row>
    <row r="99" spans="19:41">
      <c r="S99">
        <f>Data!A99</f>
        <v>0</v>
      </c>
      <c r="T99" t="str">
        <f>Data!D99</f>
        <v/>
      </c>
      <c r="U99">
        <f>Data!B99</f>
        <v>0</v>
      </c>
      <c r="V99" t="str">
        <f>Data!P99</f>
        <v/>
      </c>
      <c r="W99" t="str">
        <f>Data!N99</f>
        <v/>
      </c>
      <c r="X99">
        <f t="shared" si="4"/>
        <v>0</v>
      </c>
      <c r="AA99">
        <f>Data!A99</f>
        <v>0</v>
      </c>
      <c r="AB99">
        <f>Data!E99</f>
        <v>0</v>
      </c>
      <c r="AC99">
        <f>Data!F99</f>
        <v>0</v>
      </c>
      <c r="AD99">
        <f>Data!G99</f>
        <v>0</v>
      </c>
      <c r="AE99">
        <f>Data!B99</f>
        <v>0</v>
      </c>
      <c r="AF99" t="str">
        <f>Data!Q99</f>
        <v/>
      </c>
      <c r="AG99" t="str">
        <f>Data!N99</f>
        <v/>
      </c>
      <c r="AH99">
        <f>(IF($H$5="Curries/Stews",COUNTIF(Helper_Ingredient!$N$3:$N$20,AB99),IF($H$5="Salads",COUNTIF(Helper_Ingredient!$O$3:$O$20,AB99),COUNTIF(Helper_Ingredient!$P$3:$P$19,AB99)))&gt;0)+IF(AE99&gt;=30,(IF($H$5="Curries/Stews",COUNTIF(Helper_Ingredient!$N$3:$N$20,AC99),IF($H$5="Salads",COUNTIF(Helper_Ingredient!$O$3:$O$20,AC99),COUNTIF(Helper_Ingredient!$P$3:$P$19,AC99)))&gt;0),0)+IF(AE99&gt;=60,(IF($H$5="Curries/Stews",COUNTIF(Helper_Ingredient!$N$3:$N$20,AD99),IF($H$5="Salads",COUNTIF(Helper_Ingredient!$O$3:$O$20,AD99),COUNTIF(Helper_Ingredient!$P$3:$P$19,AD99)))&gt;0),0)</f>
        <v>0</v>
      </c>
      <c r="AI99">
        <f t="shared" si="5"/>
        <v>0</v>
      </c>
      <c r="AJ99">
        <f>Data!A99</f>
        <v>0</v>
      </c>
      <c r="AK99">
        <f>Data!H99</f>
        <v>0</v>
      </c>
      <c r="AL99">
        <f>Data!B99</f>
        <v>0</v>
      </c>
      <c r="AM99" t="str">
        <f>Data!R99</f>
        <v/>
      </c>
      <c r="AN99" t="str">
        <f>Data!N99</f>
        <v/>
      </c>
      <c r="AO99" t="e">
        <f t="shared" si="3"/>
        <v>#VALUE!</v>
      </c>
    </row>
    <row r="100" spans="19:41">
      <c r="S100">
        <f>Data!A100</f>
        <v>0</v>
      </c>
      <c r="T100" t="str">
        <f>Data!D100</f>
        <v/>
      </c>
      <c r="U100">
        <f>Data!B100</f>
        <v>0</v>
      </c>
      <c r="V100" t="str">
        <f>Data!P100</f>
        <v/>
      </c>
      <c r="W100" t="str">
        <f>Data!N100</f>
        <v/>
      </c>
      <c r="X100">
        <f t="shared" si="4"/>
        <v>0</v>
      </c>
      <c r="AA100">
        <f>Data!A100</f>
        <v>0</v>
      </c>
      <c r="AB100">
        <f>Data!E100</f>
        <v>0</v>
      </c>
      <c r="AC100">
        <f>Data!F100</f>
        <v>0</v>
      </c>
      <c r="AD100">
        <f>Data!G100</f>
        <v>0</v>
      </c>
      <c r="AE100">
        <f>Data!B100</f>
        <v>0</v>
      </c>
      <c r="AF100" t="str">
        <f>Data!Q100</f>
        <v/>
      </c>
      <c r="AG100" t="str">
        <f>Data!N100</f>
        <v/>
      </c>
      <c r="AH100">
        <f>(IF($H$5="Curries/Stews",COUNTIF(Helper_Ingredient!$N$3:$N$20,AB100),IF($H$5="Salads",COUNTIF(Helper_Ingredient!$O$3:$O$20,AB100),COUNTIF(Helper_Ingredient!$P$3:$P$19,AB100)))&gt;0)+IF(AE100&gt;=30,(IF($H$5="Curries/Stews",COUNTIF(Helper_Ingredient!$N$3:$N$20,AC100),IF($H$5="Salads",COUNTIF(Helper_Ingredient!$O$3:$O$20,AC100),COUNTIF(Helper_Ingredient!$P$3:$P$19,AC100)))&gt;0),0)+IF(AE100&gt;=60,(IF($H$5="Curries/Stews",COUNTIF(Helper_Ingredient!$N$3:$N$20,AD100),IF($H$5="Salads",COUNTIF(Helper_Ingredient!$O$3:$O$20,AD100),COUNTIF(Helper_Ingredient!$P$3:$P$19,AD100)))&gt;0),0)</f>
        <v>0</v>
      </c>
      <c r="AI100">
        <f t="shared" si="5"/>
        <v>0</v>
      </c>
      <c r="AJ100">
        <f>Data!A100</f>
        <v>0</v>
      </c>
      <c r="AK100">
        <f>Data!H100</f>
        <v>0</v>
      </c>
      <c r="AL100">
        <f>Data!B100</f>
        <v>0</v>
      </c>
      <c r="AM100" t="str">
        <f>Data!R100</f>
        <v/>
      </c>
      <c r="AN100" t="str">
        <f>Data!N100</f>
        <v/>
      </c>
      <c r="AO100" t="e">
        <f t="shared" si="3"/>
        <v>#VALUE!</v>
      </c>
    </row>
    <row r="101" spans="19:41">
      <c r="S101">
        <f>Data!A101</f>
        <v>0</v>
      </c>
      <c r="T101" t="str">
        <f>Data!D101</f>
        <v/>
      </c>
      <c r="U101">
        <f>Data!B101</f>
        <v>0</v>
      </c>
      <c r="V101" t="str">
        <f>Data!P101</f>
        <v/>
      </c>
      <c r="W101" t="str">
        <f>Data!N101</f>
        <v/>
      </c>
      <c r="X101">
        <f t="shared" si="4"/>
        <v>0</v>
      </c>
      <c r="AA101">
        <f>Data!A101</f>
        <v>0</v>
      </c>
      <c r="AB101">
        <f>Data!E101</f>
        <v>0</v>
      </c>
      <c r="AC101">
        <f>Data!F101</f>
        <v>0</v>
      </c>
      <c r="AD101">
        <f>Data!G101</f>
        <v>0</v>
      </c>
      <c r="AE101">
        <f>Data!B101</f>
        <v>0</v>
      </c>
      <c r="AF101" t="str">
        <f>Data!Q101</f>
        <v/>
      </c>
      <c r="AG101" t="str">
        <f>Data!N101</f>
        <v/>
      </c>
      <c r="AH101">
        <f>(IF($H$5="Curries/Stews",COUNTIF(Helper_Ingredient!$N$3:$N$20,AB101),IF($H$5="Salads",COUNTIF(Helper_Ingredient!$O$3:$O$20,AB101),COUNTIF(Helper_Ingredient!$P$3:$P$19,AB101)))&gt;0)+IF(AE101&gt;=30,(IF($H$5="Curries/Stews",COUNTIF(Helper_Ingredient!$N$3:$N$20,AC101),IF($H$5="Salads",COUNTIF(Helper_Ingredient!$O$3:$O$20,AC101),COUNTIF(Helper_Ingredient!$P$3:$P$19,AC101)))&gt;0),0)+IF(AE101&gt;=60,(IF($H$5="Curries/Stews",COUNTIF(Helper_Ingredient!$N$3:$N$20,AD101),IF($H$5="Salads",COUNTIF(Helper_Ingredient!$O$3:$O$20,AD101),COUNTIF(Helper_Ingredient!$P$3:$P$19,AD101)))&gt;0),0)</f>
        <v>0</v>
      </c>
      <c r="AI101">
        <f t="shared" si="5"/>
        <v>0</v>
      </c>
      <c r="AJ101">
        <f>Data!A101</f>
        <v>0</v>
      </c>
      <c r="AK101">
        <f>Data!H101</f>
        <v>0</v>
      </c>
      <c r="AL101">
        <f>Data!B101</f>
        <v>0</v>
      </c>
      <c r="AM101" t="str">
        <f>Data!R101</f>
        <v/>
      </c>
      <c r="AN101" t="str">
        <f>Data!N101</f>
        <v/>
      </c>
      <c r="AO101" t="e">
        <f t="shared" si="3"/>
        <v>#VALUE!</v>
      </c>
    </row>
    <row r="102" spans="19:41">
      <c r="S102">
        <f>Data!A102</f>
        <v>0</v>
      </c>
      <c r="T102" t="str">
        <f>Data!D102</f>
        <v/>
      </c>
      <c r="U102">
        <f>Data!B102</f>
        <v>0</v>
      </c>
      <c r="V102" t="str">
        <f>Data!P102</f>
        <v/>
      </c>
      <c r="W102" t="str">
        <f>Data!N102</f>
        <v/>
      </c>
      <c r="X102">
        <f t="shared" si="4"/>
        <v>0</v>
      </c>
      <c r="AA102">
        <f>Data!A102</f>
        <v>0</v>
      </c>
      <c r="AB102">
        <f>Data!E102</f>
        <v>0</v>
      </c>
      <c r="AC102">
        <f>Data!F102</f>
        <v>0</v>
      </c>
      <c r="AD102">
        <f>Data!G102</f>
        <v>0</v>
      </c>
      <c r="AE102">
        <f>Data!B102</f>
        <v>0</v>
      </c>
      <c r="AF102" t="str">
        <f>Data!Q102</f>
        <v/>
      </c>
      <c r="AG102" t="str">
        <f>Data!N102</f>
        <v/>
      </c>
      <c r="AH102">
        <f>(IF($H$5="Curries/Stews",COUNTIF(Helper_Ingredient!$N$3:$N$20,AB102),IF($H$5="Salads",COUNTIF(Helper_Ingredient!$O$3:$O$20,AB102),COUNTIF(Helper_Ingredient!$P$3:$P$19,AB102)))&gt;0)+IF(AE102&gt;=30,(IF($H$5="Curries/Stews",COUNTIF(Helper_Ingredient!$N$3:$N$20,AC102),IF($H$5="Salads",COUNTIF(Helper_Ingredient!$O$3:$O$20,AC102),COUNTIF(Helper_Ingredient!$P$3:$P$19,AC102)))&gt;0),0)+IF(AE102&gt;=60,(IF($H$5="Curries/Stews",COUNTIF(Helper_Ingredient!$N$3:$N$20,AD102),IF($H$5="Salads",COUNTIF(Helper_Ingredient!$O$3:$O$20,AD102),COUNTIF(Helper_Ingredient!$P$3:$P$19,AD102)))&gt;0),0)</f>
        <v>0</v>
      </c>
      <c r="AI102">
        <f t="shared" si="5"/>
        <v>0</v>
      </c>
      <c r="AJ102">
        <f>Data!A102</f>
        <v>0</v>
      </c>
      <c r="AK102">
        <f>Data!H102</f>
        <v>0</v>
      </c>
      <c r="AL102">
        <f>Data!B102</f>
        <v>0</v>
      </c>
      <c r="AM102" t="str">
        <f>Data!R102</f>
        <v/>
      </c>
      <c r="AN102" t="str">
        <f>Data!N102</f>
        <v/>
      </c>
      <c r="AO102" t="e">
        <f t="shared" si="3"/>
        <v>#VALUE!</v>
      </c>
    </row>
    <row r="103" spans="19:41">
      <c r="S103">
        <f>Data!A103</f>
        <v>0</v>
      </c>
      <c r="T103" t="str">
        <f>Data!D103</f>
        <v/>
      </c>
      <c r="U103">
        <f>Data!B103</f>
        <v>0</v>
      </c>
      <c r="V103" t="str">
        <f>Data!P103</f>
        <v/>
      </c>
      <c r="W103" t="str">
        <f>Data!N103</f>
        <v/>
      </c>
      <c r="X103">
        <f t="shared" si="4"/>
        <v>0</v>
      </c>
      <c r="AA103">
        <f>Data!A103</f>
        <v>0</v>
      </c>
      <c r="AB103">
        <f>Data!E103</f>
        <v>0</v>
      </c>
      <c r="AC103">
        <f>Data!F103</f>
        <v>0</v>
      </c>
      <c r="AD103">
        <f>Data!G103</f>
        <v>0</v>
      </c>
      <c r="AE103">
        <f>Data!B103</f>
        <v>0</v>
      </c>
      <c r="AF103" t="str">
        <f>Data!Q103</f>
        <v/>
      </c>
      <c r="AG103" t="str">
        <f>Data!N103</f>
        <v/>
      </c>
      <c r="AH103">
        <f>(IF($H$5="Curries/Stews",COUNTIF(Helper_Ingredient!$N$3:$N$20,AB103),IF($H$5="Salads",COUNTIF(Helper_Ingredient!$O$3:$O$20,AB103),COUNTIF(Helper_Ingredient!$P$3:$P$19,AB103)))&gt;0)+IF(AE103&gt;=30,(IF($H$5="Curries/Stews",COUNTIF(Helper_Ingredient!$N$3:$N$20,AC103),IF($H$5="Salads",COUNTIF(Helper_Ingredient!$O$3:$O$20,AC103),COUNTIF(Helper_Ingredient!$P$3:$P$19,AC103)))&gt;0),0)+IF(AE103&gt;=60,(IF($H$5="Curries/Stews",COUNTIF(Helper_Ingredient!$N$3:$N$20,AD103),IF($H$5="Salads",COUNTIF(Helper_Ingredient!$O$3:$O$20,AD103),COUNTIF(Helper_Ingredient!$P$3:$P$19,AD103)))&gt;0),0)</f>
        <v>0</v>
      </c>
      <c r="AI103">
        <f t="shared" si="5"/>
        <v>0</v>
      </c>
      <c r="AJ103">
        <f>Data!A103</f>
        <v>0</v>
      </c>
      <c r="AK103">
        <f>Data!H103</f>
        <v>0</v>
      </c>
      <c r="AL103">
        <f>Data!B103</f>
        <v>0</v>
      </c>
      <c r="AM103" t="str">
        <f>Data!R103</f>
        <v/>
      </c>
      <c r="AN103" t="str">
        <f>Data!N103</f>
        <v/>
      </c>
      <c r="AO103" t="e">
        <f t="shared" si="3"/>
        <v>#VALUE!</v>
      </c>
    </row>
    <row r="104" spans="19:41">
      <c r="S104">
        <f>Data!A104</f>
        <v>0</v>
      </c>
      <c r="T104" t="str">
        <f>Data!D104</f>
        <v/>
      </c>
      <c r="U104">
        <f>Data!B104</f>
        <v>0</v>
      </c>
      <c r="V104" t="str">
        <f>Data!P104</f>
        <v/>
      </c>
      <c r="W104" t="str">
        <f>Data!N104</f>
        <v/>
      </c>
      <c r="X104">
        <f t="shared" si="4"/>
        <v>0</v>
      </c>
      <c r="AA104">
        <f>Data!A104</f>
        <v>0</v>
      </c>
      <c r="AB104">
        <f>Data!E104</f>
        <v>0</v>
      </c>
      <c r="AC104">
        <f>Data!F104</f>
        <v>0</v>
      </c>
      <c r="AD104">
        <f>Data!G104</f>
        <v>0</v>
      </c>
      <c r="AE104">
        <f>Data!B104</f>
        <v>0</v>
      </c>
      <c r="AF104" t="str">
        <f>Data!Q104</f>
        <v/>
      </c>
      <c r="AG104" t="str">
        <f>Data!N104</f>
        <v/>
      </c>
      <c r="AH104">
        <f>(IF($H$5="Curries/Stews",COUNTIF(Helper_Ingredient!$N$3:$N$20,AB104),IF($H$5="Salads",COUNTIF(Helper_Ingredient!$O$3:$O$20,AB104),COUNTIF(Helper_Ingredient!$P$3:$P$19,AB104)))&gt;0)+IF(AE104&gt;=30,(IF($H$5="Curries/Stews",COUNTIF(Helper_Ingredient!$N$3:$N$20,AC104),IF($H$5="Salads",COUNTIF(Helper_Ingredient!$O$3:$O$20,AC104),COUNTIF(Helper_Ingredient!$P$3:$P$19,AC104)))&gt;0),0)+IF(AE104&gt;=60,(IF($H$5="Curries/Stews",COUNTIF(Helper_Ingredient!$N$3:$N$20,AD104),IF($H$5="Salads",COUNTIF(Helper_Ingredient!$O$3:$O$20,AD104),COUNTIF(Helper_Ingredient!$P$3:$P$19,AD104)))&gt;0),0)</f>
        <v>0</v>
      </c>
      <c r="AI104">
        <f t="shared" si="5"/>
        <v>0</v>
      </c>
      <c r="AJ104">
        <f>Data!A104</f>
        <v>0</v>
      </c>
      <c r="AK104">
        <f>Data!H104</f>
        <v>0</v>
      </c>
      <c r="AL104">
        <f>Data!B104</f>
        <v>0</v>
      </c>
      <c r="AM104" t="str">
        <f>Data!R104</f>
        <v/>
      </c>
      <c r="AN104" t="str">
        <f>Data!N104</f>
        <v/>
      </c>
      <c r="AO104" t="e">
        <f t="shared" si="3"/>
        <v>#VALUE!</v>
      </c>
    </row>
    <row r="105" spans="19:41">
      <c r="S105">
        <f>Data!A105</f>
        <v>0</v>
      </c>
      <c r="T105" t="str">
        <f>Data!D105</f>
        <v/>
      </c>
      <c r="U105">
        <f>Data!B105</f>
        <v>0</v>
      </c>
      <c r="V105" t="str">
        <f>Data!P105</f>
        <v/>
      </c>
      <c r="W105" t="str">
        <f>Data!N105</f>
        <v/>
      </c>
      <c r="X105">
        <f t="shared" si="4"/>
        <v>0</v>
      </c>
      <c r="AA105">
        <f>Data!A105</f>
        <v>0</v>
      </c>
      <c r="AB105">
        <f>Data!E105</f>
        <v>0</v>
      </c>
      <c r="AC105">
        <f>Data!F105</f>
        <v>0</v>
      </c>
      <c r="AD105">
        <f>Data!G105</f>
        <v>0</v>
      </c>
      <c r="AE105">
        <f>Data!B105</f>
        <v>0</v>
      </c>
      <c r="AF105" t="str">
        <f>Data!Q105</f>
        <v/>
      </c>
      <c r="AG105" t="str">
        <f>Data!N105</f>
        <v/>
      </c>
      <c r="AH105">
        <f>(IF($H$5="Curries/Stews",COUNTIF(Helper_Ingredient!$N$3:$N$20,AB105),IF($H$5="Salads",COUNTIF(Helper_Ingredient!$O$3:$O$20,AB105),COUNTIF(Helper_Ingredient!$P$3:$P$19,AB105)))&gt;0)+IF(AE105&gt;=30,(IF($H$5="Curries/Stews",COUNTIF(Helper_Ingredient!$N$3:$N$20,AC105),IF($H$5="Salads",COUNTIF(Helper_Ingredient!$O$3:$O$20,AC105),COUNTIF(Helper_Ingredient!$P$3:$P$19,AC105)))&gt;0),0)+IF(AE105&gt;=60,(IF($H$5="Curries/Stews",COUNTIF(Helper_Ingredient!$N$3:$N$20,AD105),IF($H$5="Salads",COUNTIF(Helper_Ingredient!$O$3:$O$20,AD105),COUNTIF(Helper_Ingredient!$P$3:$P$19,AD105)))&gt;0),0)</f>
        <v>0</v>
      </c>
      <c r="AI105">
        <f t="shared" si="5"/>
        <v>0</v>
      </c>
      <c r="AJ105">
        <f>Data!A105</f>
        <v>0</v>
      </c>
      <c r="AK105">
        <f>Data!H105</f>
        <v>0</v>
      </c>
      <c r="AL105">
        <f>Data!B105</f>
        <v>0</v>
      </c>
      <c r="AM105" t="str">
        <f>Data!R105</f>
        <v/>
      </c>
      <c r="AN105" t="str">
        <f>Data!N105</f>
        <v/>
      </c>
      <c r="AO105" t="e">
        <f t="shared" si="3"/>
        <v>#VALUE!</v>
      </c>
    </row>
    <row r="106" spans="19:41">
      <c r="S106">
        <f>Data!A106</f>
        <v>0</v>
      </c>
      <c r="T106" t="str">
        <f>Data!D106</f>
        <v/>
      </c>
      <c r="U106">
        <f>Data!B106</f>
        <v>0</v>
      </c>
      <c r="V106" t="str">
        <f>Data!P106</f>
        <v/>
      </c>
      <c r="W106" t="str">
        <f>Data!N106</f>
        <v/>
      </c>
      <c r="X106">
        <f t="shared" si="4"/>
        <v>0</v>
      </c>
      <c r="AA106">
        <f>Data!A106</f>
        <v>0</v>
      </c>
      <c r="AB106">
        <f>Data!E106</f>
        <v>0</v>
      </c>
      <c r="AC106">
        <f>Data!F106</f>
        <v>0</v>
      </c>
      <c r="AD106">
        <f>Data!G106</f>
        <v>0</v>
      </c>
      <c r="AE106">
        <f>Data!B106</f>
        <v>0</v>
      </c>
      <c r="AF106" t="str">
        <f>Data!Q106</f>
        <v/>
      </c>
      <c r="AG106" t="str">
        <f>Data!N106</f>
        <v/>
      </c>
      <c r="AH106">
        <f>(IF($H$5="Curries/Stews",COUNTIF(Helper_Ingredient!$N$3:$N$20,AB106),IF($H$5="Salads",COUNTIF(Helper_Ingredient!$O$3:$O$20,AB106),COUNTIF(Helper_Ingredient!$P$3:$P$19,AB106)))&gt;0)+IF(AE106&gt;=30,(IF($H$5="Curries/Stews",COUNTIF(Helper_Ingredient!$N$3:$N$20,AC106),IF($H$5="Salads",COUNTIF(Helper_Ingredient!$O$3:$O$20,AC106),COUNTIF(Helper_Ingredient!$P$3:$P$19,AC106)))&gt;0),0)+IF(AE106&gt;=60,(IF($H$5="Curries/Stews",COUNTIF(Helper_Ingredient!$N$3:$N$20,AD106),IF($H$5="Salads",COUNTIF(Helper_Ingredient!$O$3:$O$20,AD106),COUNTIF(Helper_Ingredient!$P$3:$P$19,AD106)))&gt;0),0)</f>
        <v>0</v>
      </c>
      <c r="AI106">
        <f t="shared" si="5"/>
        <v>0</v>
      </c>
      <c r="AJ106">
        <f>Data!A106</f>
        <v>0</v>
      </c>
      <c r="AK106">
        <f>Data!H106</f>
        <v>0</v>
      </c>
      <c r="AL106">
        <f>Data!B106</f>
        <v>0</v>
      </c>
      <c r="AM106" t="str">
        <f>Data!R106</f>
        <v/>
      </c>
      <c r="AN106" t="str">
        <f>Data!N106</f>
        <v/>
      </c>
      <c r="AO106" t="e">
        <f t="shared" si="3"/>
        <v>#VALUE!</v>
      </c>
    </row>
    <row r="107" spans="19:41">
      <c r="S107">
        <f>Data!A107</f>
        <v>0</v>
      </c>
      <c r="T107" t="str">
        <f>Data!D107</f>
        <v/>
      </c>
      <c r="U107">
        <f>Data!B107</f>
        <v>0</v>
      </c>
      <c r="V107" t="str">
        <f>Data!P107</f>
        <v/>
      </c>
      <c r="W107" t="str">
        <f>Data!N107</f>
        <v/>
      </c>
      <c r="X107">
        <f t="shared" si="4"/>
        <v>0</v>
      </c>
      <c r="AA107">
        <f>Data!A107</f>
        <v>0</v>
      </c>
      <c r="AB107">
        <f>Data!E107</f>
        <v>0</v>
      </c>
      <c r="AC107">
        <f>Data!F107</f>
        <v>0</v>
      </c>
      <c r="AD107">
        <f>Data!G107</f>
        <v>0</v>
      </c>
      <c r="AE107">
        <f>Data!B107</f>
        <v>0</v>
      </c>
      <c r="AF107" t="str">
        <f>Data!Q107</f>
        <v/>
      </c>
      <c r="AG107" t="str">
        <f>Data!N107</f>
        <v/>
      </c>
      <c r="AH107">
        <f>(IF($H$5="Curries/Stews",COUNTIF(Helper_Ingredient!$N$3:$N$20,AB107),IF($H$5="Salads",COUNTIF(Helper_Ingredient!$O$3:$O$20,AB107),COUNTIF(Helper_Ingredient!$P$3:$P$19,AB107)))&gt;0)+IF(AE107&gt;=30,(IF($H$5="Curries/Stews",COUNTIF(Helper_Ingredient!$N$3:$N$20,AC107),IF($H$5="Salads",COUNTIF(Helper_Ingredient!$O$3:$O$20,AC107),COUNTIF(Helper_Ingredient!$P$3:$P$19,AC107)))&gt;0),0)+IF(AE107&gt;=60,(IF($H$5="Curries/Stews",COUNTIF(Helper_Ingredient!$N$3:$N$20,AD107),IF($H$5="Salads",COUNTIF(Helper_Ingredient!$O$3:$O$20,AD107),COUNTIF(Helper_Ingredient!$P$3:$P$19,AD107)))&gt;0),0)</f>
        <v>0</v>
      </c>
      <c r="AI107">
        <f t="shared" si="5"/>
        <v>0</v>
      </c>
      <c r="AJ107">
        <f>Data!A107</f>
        <v>0</v>
      </c>
      <c r="AK107">
        <f>Data!H107</f>
        <v>0</v>
      </c>
      <c r="AL107">
        <f>Data!B107</f>
        <v>0</v>
      </c>
      <c r="AM107" t="str">
        <f>Data!R107</f>
        <v/>
      </c>
      <c r="AN107" t="str">
        <f>Data!N107</f>
        <v/>
      </c>
      <c r="AO107" t="e">
        <f t="shared" si="3"/>
        <v>#VALUE!</v>
      </c>
    </row>
    <row r="108" spans="19:41">
      <c r="S108">
        <f>Data!A108</f>
        <v>0</v>
      </c>
      <c r="T108" t="str">
        <f>Data!D108</f>
        <v/>
      </c>
      <c r="U108">
        <f>Data!B108</f>
        <v>0</v>
      </c>
      <c r="V108" t="str">
        <f>Data!P108</f>
        <v/>
      </c>
      <c r="W108" t="str">
        <f>Data!N108</f>
        <v/>
      </c>
      <c r="X108">
        <f t="shared" si="4"/>
        <v>0</v>
      </c>
      <c r="AA108">
        <f>Data!A108</f>
        <v>0</v>
      </c>
      <c r="AB108">
        <f>Data!E108</f>
        <v>0</v>
      </c>
      <c r="AC108">
        <f>Data!F108</f>
        <v>0</v>
      </c>
      <c r="AD108">
        <f>Data!G108</f>
        <v>0</v>
      </c>
      <c r="AE108">
        <f>Data!B108</f>
        <v>0</v>
      </c>
      <c r="AF108" t="str">
        <f>Data!Q108</f>
        <v/>
      </c>
      <c r="AG108" t="str">
        <f>Data!N108</f>
        <v/>
      </c>
      <c r="AH108">
        <f>(IF($H$5="Curries/Stews",COUNTIF(Helper_Ingredient!$N$3:$N$20,AB108),IF($H$5="Salads",COUNTIF(Helper_Ingredient!$O$3:$O$20,AB108),COUNTIF(Helper_Ingredient!$P$3:$P$19,AB108)))&gt;0)+IF(AE108&gt;=30,(IF($H$5="Curries/Stews",COUNTIF(Helper_Ingredient!$N$3:$N$20,AC108),IF($H$5="Salads",COUNTIF(Helper_Ingredient!$O$3:$O$20,AC108),COUNTIF(Helper_Ingredient!$P$3:$P$19,AC108)))&gt;0),0)+IF(AE108&gt;=60,(IF($H$5="Curries/Stews",COUNTIF(Helper_Ingredient!$N$3:$N$20,AD108),IF($H$5="Salads",COUNTIF(Helper_Ingredient!$O$3:$O$20,AD108),COUNTIF(Helper_Ingredient!$P$3:$P$19,AD108)))&gt;0),0)</f>
        <v>0</v>
      </c>
      <c r="AI108">
        <f t="shared" si="5"/>
        <v>0</v>
      </c>
      <c r="AJ108">
        <f>Data!A108</f>
        <v>0</v>
      </c>
      <c r="AK108">
        <f>Data!H108</f>
        <v>0</v>
      </c>
      <c r="AL108">
        <f>Data!B108</f>
        <v>0</v>
      </c>
      <c r="AM108" t="str">
        <f>Data!R108</f>
        <v/>
      </c>
      <c r="AN108" t="str">
        <f>Data!N108</f>
        <v/>
      </c>
      <c r="AO108" t="e">
        <f t="shared" si="3"/>
        <v>#VALUE!</v>
      </c>
    </row>
    <row r="109" spans="19:41">
      <c r="S109">
        <f>Data!A109</f>
        <v>0</v>
      </c>
      <c r="T109" t="str">
        <f>Data!D109</f>
        <v/>
      </c>
      <c r="U109">
        <f>Data!B109</f>
        <v>0</v>
      </c>
      <c r="V109" t="str">
        <f>Data!P109</f>
        <v/>
      </c>
      <c r="W109" t="str">
        <f>Data!N109</f>
        <v/>
      </c>
      <c r="X109">
        <f t="shared" si="4"/>
        <v>0</v>
      </c>
      <c r="AA109">
        <f>Data!A109</f>
        <v>0</v>
      </c>
      <c r="AB109">
        <f>Data!E109</f>
        <v>0</v>
      </c>
      <c r="AC109">
        <f>Data!F109</f>
        <v>0</v>
      </c>
      <c r="AD109">
        <f>Data!G109</f>
        <v>0</v>
      </c>
      <c r="AE109">
        <f>Data!B109</f>
        <v>0</v>
      </c>
      <c r="AF109" t="str">
        <f>Data!Q109</f>
        <v/>
      </c>
      <c r="AG109" t="str">
        <f>Data!N109</f>
        <v/>
      </c>
      <c r="AH109">
        <f>(IF($H$5="Curries/Stews",COUNTIF(Helper_Ingredient!$N$3:$N$20,AB109),IF($H$5="Salads",COUNTIF(Helper_Ingredient!$O$3:$O$20,AB109),COUNTIF(Helper_Ingredient!$P$3:$P$19,AB109)))&gt;0)+IF(AE109&gt;=30,(IF($H$5="Curries/Stews",COUNTIF(Helper_Ingredient!$N$3:$N$20,AC109),IF($H$5="Salads",COUNTIF(Helper_Ingredient!$O$3:$O$20,AC109),COUNTIF(Helper_Ingredient!$P$3:$P$19,AC109)))&gt;0),0)+IF(AE109&gt;=60,(IF($H$5="Curries/Stews",COUNTIF(Helper_Ingredient!$N$3:$N$20,AD109),IF($H$5="Salads",COUNTIF(Helper_Ingredient!$O$3:$O$20,AD109),COUNTIF(Helper_Ingredient!$P$3:$P$19,AD109)))&gt;0),0)</f>
        <v>0</v>
      </c>
      <c r="AI109">
        <f t="shared" si="5"/>
        <v>0</v>
      </c>
      <c r="AJ109">
        <f>Data!A109</f>
        <v>0</v>
      </c>
      <c r="AK109">
        <f>Data!H109</f>
        <v>0</v>
      </c>
      <c r="AL109">
        <f>Data!B109</f>
        <v>0</v>
      </c>
      <c r="AM109" t="str">
        <f>Data!R109</f>
        <v/>
      </c>
      <c r="AN109" t="str">
        <f>Data!N109</f>
        <v/>
      </c>
      <c r="AO109" t="e">
        <f t="shared" si="3"/>
        <v>#VALUE!</v>
      </c>
    </row>
    <row r="110" spans="19:41">
      <c r="S110">
        <f>Data!A110</f>
        <v>0</v>
      </c>
      <c r="T110" t="str">
        <f>Data!D110</f>
        <v/>
      </c>
      <c r="U110">
        <f>Data!B110</f>
        <v>0</v>
      </c>
      <c r="V110" t="str">
        <f>Data!P110</f>
        <v/>
      </c>
      <c r="W110" t="str">
        <f>Data!N110</f>
        <v/>
      </c>
      <c r="X110">
        <f t="shared" si="4"/>
        <v>0</v>
      </c>
      <c r="AA110">
        <f>Data!A110</f>
        <v>0</v>
      </c>
      <c r="AB110">
        <f>Data!E110</f>
        <v>0</v>
      </c>
      <c r="AC110">
        <f>Data!F110</f>
        <v>0</v>
      </c>
      <c r="AD110">
        <f>Data!G110</f>
        <v>0</v>
      </c>
      <c r="AE110">
        <f>Data!B110</f>
        <v>0</v>
      </c>
      <c r="AF110" t="str">
        <f>Data!Q110</f>
        <v/>
      </c>
      <c r="AG110" t="str">
        <f>Data!N110</f>
        <v/>
      </c>
      <c r="AH110">
        <f>(IF($H$5="Curries/Stews",COUNTIF(Helper_Ingredient!$N$3:$N$20,AB110),IF($H$5="Salads",COUNTIF(Helper_Ingredient!$O$3:$O$20,AB110),COUNTIF(Helper_Ingredient!$P$3:$P$19,AB110)))&gt;0)+IF(AE110&gt;=30,(IF($H$5="Curries/Stews",COUNTIF(Helper_Ingredient!$N$3:$N$20,AC110),IF($H$5="Salads",COUNTIF(Helper_Ingredient!$O$3:$O$20,AC110),COUNTIF(Helper_Ingredient!$P$3:$P$19,AC110)))&gt;0),0)+IF(AE110&gt;=60,(IF($H$5="Curries/Stews",COUNTIF(Helper_Ingredient!$N$3:$N$20,AD110),IF($H$5="Salads",COUNTIF(Helper_Ingredient!$O$3:$O$20,AD110),COUNTIF(Helper_Ingredient!$P$3:$P$19,AD110)))&gt;0),0)</f>
        <v>0</v>
      </c>
      <c r="AI110">
        <f t="shared" si="5"/>
        <v>0</v>
      </c>
      <c r="AJ110">
        <f>Data!A110</f>
        <v>0</v>
      </c>
      <c r="AK110">
        <f>Data!H110</f>
        <v>0</v>
      </c>
      <c r="AL110">
        <f>Data!B110</f>
        <v>0</v>
      </c>
      <c r="AM110" t="str">
        <f>Data!R110</f>
        <v/>
      </c>
      <c r="AN110" t="str">
        <f>Data!N110</f>
        <v/>
      </c>
      <c r="AO110" t="e">
        <f t="shared" si="3"/>
        <v>#VALUE!</v>
      </c>
    </row>
    <row r="111" spans="19:41">
      <c r="S111">
        <f>Data!A111</f>
        <v>0</v>
      </c>
      <c r="T111" t="str">
        <f>Data!D111</f>
        <v/>
      </c>
      <c r="U111">
        <f>Data!B111</f>
        <v>0</v>
      </c>
      <c r="V111" t="str">
        <f>Data!P111</f>
        <v/>
      </c>
      <c r="W111" t="str">
        <f>Data!N111</f>
        <v/>
      </c>
      <c r="X111">
        <f t="shared" si="4"/>
        <v>0</v>
      </c>
      <c r="AA111">
        <f>Data!A111</f>
        <v>0</v>
      </c>
      <c r="AB111">
        <f>Data!E111</f>
        <v>0</v>
      </c>
      <c r="AC111">
        <f>Data!F111</f>
        <v>0</v>
      </c>
      <c r="AD111">
        <f>Data!G111</f>
        <v>0</v>
      </c>
      <c r="AE111">
        <f>Data!B111</f>
        <v>0</v>
      </c>
      <c r="AF111" t="str">
        <f>Data!Q111</f>
        <v/>
      </c>
      <c r="AG111" t="str">
        <f>Data!N111</f>
        <v/>
      </c>
      <c r="AH111">
        <f>(IF($H$5="Curries/Stews",COUNTIF(Helper_Ingredient!$N$3:$N$20,AB111),IF($H$5="Salads",COUNTIF(Helper_Ingredient!$O$3:$O$20,AB111),COUNTIF(Helper_Ingredient!$P$3:$P$19,AB111)))&gt;0)+IF(AE111&gt;=30,(IF($H$5="Curries/Stews",COUNTIF(Helper_Ingredient!$N$3:$N$20,AC111),IF($H$5="Salads",COUNTIF(Helper_Ingredient!$O$3:$O$20,AC111),COUNTIF(Helper_Ingredient!$P$3:$P$19,AC111)))&gt;0),0)+IF(AE111&gt;=60,(IF($H$5="Curries/Stews",COUNTIF(Helper_Ingredient!$N$3:$N$20,AD111),IF($H$5="Salads",COUNTIF(Helper_Ingredient!$O$3:$O$20,AD111),COUNTIF(Helper_Ingredient!$P$3:$P$19,AD111)))&gt;0),0)</f>
        <v>0</v>
      </c>
      <c r="AI111">
        <f t="shared" si="5"/>
        <v>0</v>
      </c>
      <c r="AJ111">
        <f>Data!A111</f>
        <v>0</v>
      </c>
      <c r="AK111">
        <f>Data!H111</f>
        <v>0</v>
      </c>
      <c r="AL111">
        <f>Data!B111</f>
        <v>0</v>
      </c>
      <c r="AM111" t="str">
        <f>Data!R111</f>
        <v/>
      </c>
      <c r="AN111" t="str">
        <f>Data!N111</f>
        <v/>
      </c>
      <c r="AO111" t="e">
        <f t="shared" si="3"/>
        <v>#VALUE!</v>
      </c>
    </row>
    <row r="112" spans="19:41">
      <c r="S112">
        <f>Data!A112</f>
        <v>0</v>
      </c>
      <c r="T112" t="str">
        <f>Data!D112</f>
        <v/>
      </c>
      <c r="U112">
        <f>Data!B112</f>
        <v>0</v>
      </c>
      <c r="V112" t="str">
        <f>Data!P112</f>
        <v/>
      </c>
      <c r="W112" t="str">
        <f>Data!N112</f>
        <v/>
      </c>
      <c r="X112">
        <f t="shared" si="4"/>
        <v>0</v>
      </c>
      <c r="AA112">
        <f>Data!A112</f>
        <v>0</v>
      </c>
      <c r="AB112">
        <f>Data!E112</f>
        <v>0</v>
      </c>
      <c r="AC112">
        <f>Data!F112</f>
        <v>0</v>
      </c>
      <c r="AD112">
        <f>Data!G112</f>
        <v>0</v>
      </c>
      <c r="AE112">
        <f>Data!B112</f>
        <v>0</v>
      </c>
      <c r="AF112" t="str">
        <f>Data!Q112</f>
        <v/>
      </c>
      <c r="AG112" t="str">
        <f>Data!N112</f>
        <v/>
      </c>
      <c r="AH112">
        <f>(IF($H$5="Curries/Stews",COUNTIF(Helper_Ingredient!$N$3:$N$20,AB112),IF($H$5="Salads",COUNTIF(Helper_Ingredient!$O$3:$O$20,AB112),COUNTIF(Helper_Ingredient!$P$3:$P$19,AB112)))&gt;0)+IF(AE112&gt;=30,(IF($H$5="Curries/Stews",COUNTIF(Helper_Ingredient!$N$3:$N$20,AC112),IF($H$5="Salads",COUNTIF(Helper_Ingredient!$O$3:$O$20,AC112),COUNTIF(Helper_Ingredient!$P$3:$P$19,AC112)))&gt;0),0)+IF(AE112&gt;=60,(IF($H$5="Curries/Stews",COUNTIF(Helper_Ingredient!$N$3:$N$20,AD112),IF($H$5="Salads",COUNTIF(Helper_Ingredient!$O$3:$O$20,AD112),COUNTIF(Helper_Ingredient!$P$3:$P$19,AD112)))&gt;0),0)</f>
        <v>0</v>
      </c>
      <c r="AI112">
        <f t="shared" si="5"/>
        <v>0</v>
      </c>
      <c r="AJ112">
        <f>Data!A112</f>
        <v>0</v>
      </c>
      <c r="AK112">
        <f>Data!H112</f>
        <v>0</v>
      </c>
      <c r="AL112">
        <f>Data!B112</f>
        <v>0</v>
      </c>
      <c r="AM112" t="str">
        <f>Data!R112</f>
        <v/>
      </c>
      <c r="AN112" t="str">
        <f>Data!N112</f>
        <v/>
      </c>
      <c r="AO112" t="e">
        <f t="shared" si="3"/>
        <v>#VALUE!</v>
      </c>
    </row>
    <row r="113" spans="19:41">
      <c r="S113">
        <f>Data!A113</f>
        <v>0</v>
      </c>
      <c r="T113" t="str">
        <f>Data!D113</f>
        <v/>
      </c>
      <c r="U113">
        <f>Data!B113</f>
        <v>0</v>
      </c>
      <c r="V113" t="str">
        <f>Data!P113</f>
        <v/>
      </c>
      <c r="W113" t="str">
        <f>Data!N113</f>
        <v/>
      </c>
      <c r="X113">
        <f t="shared" si="4"/>
        <v>0</v>
      </c>
      <c r="AA113">
        <f>Data!A113</f>
        <v>0</v>
      </c>
      <c r="AB113">
        <f>Data!E113</f>
        <v>0</v>
      </c>
      <c r="AC113">
        <f>Data!F113</f>
        <v>0</v>
      </c>
      <c r="AD113">
        <f>Data!G113</f>
        <v>0</v>
      </c>
      <c r="AE113">
        <f>Data!B113</f>
        <v>0</v>
      </c>
      <c r="AF113" t="str">
        <f>Data!Q113</f>
        <v/>
      </c>
      <c r="AG113" t="str">
        <f>Data!N113</f>
        <v/>
      </c>
      <c r="AH113">
        <f>(IF($H$5="Curries/Stews",COUNTIF(Helper_Ingredient!$N$3:$N$20,AB113),IF($H$5="Salads",COUNTIF(Helper_Ingredient!$O$3:$O$20,AB113),COUNTIF(Helper_Ingredient!$P$3:$P$19,AB113)))&gt;0)+IF(AE113&gt;=30,(IF($H$5="Curries/Stews",COUNTIF(Helper_Ingredient!$N$3:$N$20,AC113),IF($H$5="Salads",COUNTIF(Helper_Ingredient!$O$3:$O$20,AC113),COUNTIF(Helper_Ingredient!$P$3:$P$19,AC113)))&gt;0),0)+IF(AE113&gt;=60,(IF($H$5="Curries/Stews",COUNTIF(Helper_Ingredient!$N$3:$N$20,AD113),IF($H$5="Salads",COUNTIF(Helper_Ingredient!$O$3:$O$20,AD113),COUNTIF(Helper_Ingredient!$P$3:$P$19,AD113)))&gt;0),0)</f>
        <v>0</v>
      </c>
      <c r="AI113">
        <f t="shared" si="5"/>
        <v>0</v>
      </c>
      <c r="AJ113">
        <f>Data!A113</f>
        <v>0</v>
      </c>
      <c r="AK113">
        <f>Data!H113</f>
        <v>0</v>
      </c>
      <c r="AL113">
        <f>Data!B113</f>
        <v>0</v>
      </c>
      <c r="AM113" t="str">
        <f>Data!R113</f>
        <v/>
      </c>
      <c r="AN113" t="str">
        <f>Data!N113</f>
        <v/>
      </c>
      <c r="AO113" t="e">
        <f t="shared" si="3"/>
        <v>#VALUE!</v>
      </c>
    </row>
    <row r="114" spans="19:41">
      <c r="S114">
        <f>Data!A114</f>
        <v>0</v>
      </c>
      <c r="T114" t="str">
        <f>Data!D114</f>
        <v/>
      </c>
      <c r="U114">
        <f>Data!B114</f>
        <v>0</v>
      </c>
      <c r="V114" t="str">
        <f>Data!P114</f>
        <v/>
      </c>
      <c r="W114" t="str">
        <f>Data!N114</f>
        <v/>
      </c>
      <c r="X114">
        <f t="shared" si="4"/>
        <v>0</v>
      </c>
      <c r="AA114">
        <f>Data!A114</f>
        <v>0</v>
      </c>
      <c r="AB114">
        <f>Data!E114</f>
        <v>0</v>
      </c>
      <c r="AC114">
        <f>Data!F114</f>
        <v>0</v>
      </c>
      <c r="AD114">
        <f>Data!G114</f>
        <v>0</v>
      </c>
      <c r="AE114">
        <f>Data!B114</f>
        <v>0</v>
      </c>
      <c r="AF114" t="str">
        <f>Data!Q114</f>
        <v/>
      </c>
      <c r="AG114" t="str">
        <f>Data!N114</f>
        <v/>
      </c>
      <c r="AH114">
        <f>(IF($H$5="Curries/Stews",COUNTIF(Helper_Ingredient!$N$3:$N$20,AB114),IF($H$5="Salads",COUNTIF(Helper_Ingredient!$O$3:$O$20,AB114),COUNTIF(Helper_Ingredient!$P$3:$P$19,AB114)))&gt;0)+IF(AE114&gt;=30,(IF($H$5="Curries/Stews",COUNTIF(Helper_Ingredient!$N$3:$N$20,AC114),IF($H$5="Salads",COUNTIF(Helper_Ingredient!$O$3:$O$20,AC114),COUNTIF(Helper_Ingredient!$P$3:$P$19,AC114)))&gt;0),0)+IF(AE114&gt;=60,(IF($H$5="Curries/Stews",COUNTIF(Helper_Ingredient!$N$3:$N$20,AD114),IF($H$5="Salads",COUNTIF(Helper_Ingredient!$O$3:$O$20,AD114),COUNTIF(Helper_Ingredient!$P$3:$P$19,AD114)))&gt;0),0)</f>
        <v>0</v>
      </c>
      <c r="AI114">
        <f t="shared" si="5"/>
        <v>0</v>
      </c>
      <c r="AJ114">
        <f>Data!A114</f>
        <v>0</v>
      </c>
      <c r="AK114">
        <f>Data!H114</f>
        <v>0</v>
      </c>
      <c r="AL114">
        <f>Data!B114</f>
        <v>0</v>
      </c>
      <c r="AM114" t="str">
        <f>Data!R114</f>
        <v/>
      </c>
      <c r="AN114" t="str">
        <f>Data!N114</f>
        <v/>
      </c>
      <c r="AO114" t="e">
        <f t="shared" ref="AO114:AO177" si="6">(AM114*1000)+AL114+ROW()/1000000</f>
        <v>#VALUE!</v>
      </c>
    </row>
    <row r="115" spans="19:41">
      <c r="S115">
        <f>Data!A115</f>
        <v>0</v>
      </c>
      <c r="T115" t="str">
        <f>Data!D115</f>
        <v/>
      </c>
      <c r="U115">
        <f>Data!B115</f>
        <v>0</v>
      </c>
      <c r="V115" t="str">
        <f>Data!P115</f>
        <v/>
      </c>
      <c r="W115" t="str">
        <f>Data!N115</f>
        <v/>
      </c>
      <c r="X115">
        <f t="shared" si="4"/>
        <v>0</v>
      </c>
      <c r="AA115">
        <f>Data!A115</f>
        <v>0</v>
      </c>
      <c r="AB115">
        <f>Data!E115</f>
        <v>0</v>
      </c>
      <c r="AC115">
        <f>Data!F115</f>
        <v>0</v>
      </c>
      <c r="AD115">
        <f>Data!G115</f>
        <v>0</v>
      </c>
      <c r="AE115">
        <f>Data!B115</f>
        <v>0</v>
      </c>
      <c r="AF115" t="str">
        <f>Data!Q115</f>
        <v/>
      </c>
      <c r="AG115" t="str">
        <f>Data!N115</f>
        <v/>
      </c>
      <c r="AH115">
        <f>(IF($H$5="Curries/Stews",COUNTIF(Helper_Ingredient!$N$3:$N$20,AB115),IF($H$5="Salads",COUNTIF(Helper_Ingredient!$O$3:$O$20,AB115),COUNTIF(Helper_Ingredient!$P$3:$P$19,AB115)))&gt;0)+IF(AE115&gt;=30,(IF($H$5="Curries/Stews",COUNTIF(Helper_Ingredient!$N$3:$N$20,AC115),IF($H$5="Salads",COUNTIF(Helper_Ingredient!$O$3:$O$20,AC115),COUNTIF(Helper_Ingredient!$P$3:$P$19,AC115)))&gt;0),0)+IF(AE115&gt;=60,(IF($H$5="Curries/Stews",COUNTIF(Helper_Ingredient!$N$3:$N$20,AD115),IF($H$5="Salads",COUNTIF(Helper_Ingredient!$O$3:$O$20,AD115),COUNTIF(Helper_Ingredient!$P$3:$P$19,AD115)))&gt;0),0)</f>
        <v>0</v>
      </c>
      <c r="AI115">
        <f t="shared" si="5"/>
        <v>0</v>
      </c>
      <c r="AJ115">
        <f>Data!A115</f>
        <v>0</v>
      </c>
      <c r="AK115">
        <f>Data!H115</f>
        <v>0</v>
      </c>
      <c r="AL115">
        <f>Data!B115</f>
        <v>0</v>
      </c>
      <c r="AM115" t="str">
        <f>Data!R115</f>
        <v/>
      </c>
      <c r="AN115" t="str">
        <f>Data!N115</f>
        <v/>
      </c>
      <c r="AO115" t="e">
        <f t="shared" si="6"/>
        <v>#VALUE!</v>
      </c>
    </row>
    <row r="116" spans="19:41">
      <c r="S116">
        <f>Data!A116</f>
        <v>0</v>
      </c>
      <c r="T116" t="str">
        <f>Data!D116</f>
        <v/>
      </c>
      <c r="U116">
        <f>Data!B116</f>
        <v>0</v>
      </c>
      <c r="V116" t="str">
        <f>Data!P116</f>
        <v/>
      </c>
      <c r="W116" t="str">
        <f>Data!N116</f>
        <v/>
      </c>
      <c r="X116">
        <f t="shared" si="4"/>
        <v>0</v>
      </c>
      <c r="AA116">
        <f>Data!A116</f>
        <v>0</v>
      </c>
      <c r="AB116">
        <f>Data!E116</f>
        <v>0</v>
      </c>
      <c r="AC116">
        <f>Data!F116</f>
        <v>0</v>
      </c>
      <c r="AD116">
        <f>Data!G116</f>
        <v>0</v>
      </c>
      <c r="AE116">
        <f>Data!B116</f>
        <v>0</v>
      </c>
      <c r="AF116" t="str">
        <f>Data!Q116</f>
        <v/>
      </c>
      <c r="AG116" t="str">
        <f>Data!N116</f>
        <v/>
      </c>
      <c r="AH116">
        <f>(IF($H$5="Curries/Stews",COUNTIF(Helper_Ingredient!$N$3:$N$20,AB116),IF($H$5="Salads",COUNTIF(Helper_Ingredient!$O$3:$O$20,AB116),COUNTIF(Helper_Ingredient!$P$3:$P$19,AB116)))&gt;0)+IF(AE116&gt;=30,(IF($H$5="Curries/Stews",COUNTIF(Helper_Ingredient!$N$3:$N$20,AC116),IF($H$5="Salads",COUNTIF(Helper_Ingredient!$O$3:$O$20,AC116),COUNTIF(Helper_Ingredient!$P$3:$P$19,AC116)))&gt;0),0)+IF(AE116&gt;=60,(IF($H$5="Curries/Stews",COUNTIF(Helper_Ingredient!$N$3:$N$20,AD116),IF($H$5="Salads",COUNTIF(Helper_Ingredient!$O$3:$O$20,AD116),COUNTIF(Helper_Ingredient!$P$3:$P$19,AD116)))&gt;0),0)</f>
        <v>0</v>
      </c>
      <c r="AI116">
        <f t="shared" si="5"/>
        <v>0</v>
      </c>
      <c r="AJ116">
        <f>Data!A116</f>
        <v>0</v>
      </c>
      <c r="AK116">
        <f>Data!H116</f>
        <v>0</v>
      </c>
      <c r="AL116">
        <f>Data!B116</f>
        <v>0</v>
      </c>
      <c r="AM116" t="str">
        <f>Data!R116</f>
        <v/>
      </c>
      <c r="AN116" t="str">
        <f>Data!N116</f>
        <v/>
      </c>
      <c r="AO116" t="e">
        <f t="shared" si="6"/>
        <v>#VALUE!</v>
      </c>
    </row>
    <row r="117" spans="19:41">
      <c r="S117">
        <f>Data!A117</f>
        <v>0</v>
      </c>
      <c r="T117" t="str">
        <f>Data!D117</f>
        <v/>
      </c>
      <c r="U117">
        <f>Data!B117</f>
        <v>0</v>
      </c>
      <c r="V117" t="str">
        <f>Data!P117</f>
        <v/>
      </c>
      <c r="W117" t="str">
        <f>Data!N117</f>
        <v/>
      </c>
      <c r="X117">
        <f t="shared" si="4"/>
        <v>0</v>
      </c>
      <c r="AA117">
        <f>Data!A117</f>
        <v>0</v>
      </c>
      <c r="AB117">
        <f>Data!E117</f>
        <v>0</v>
      </c>
      <c r="AC117">
        <f>Data!F117</f>
        <v>0</v>
      </c>
      <c r="AD117">
        <f>Data!G117</f>
        <v>0</v>
      </c>
      <c r="AE117">
        <f>Data!B117</f>
        <v>0</v>
      </c>
      <c r="AF117" t="str">
        <f>Data!Q117</f>
        <v/>
      </c>
      <c r="AG117" t="str">
        <f>Data!N117</f>
        <v/>
      </c>
      <c r="AH117">
        <f>(IF($H$5="Curries/Stews",COUNTIF(Helper_Ingredient!$N$3:$N$20,AB117),IF($H$5="Salads",COUNTIF(Helper_Ingredient!$O$3:$O$20,AB117),COUNTIF(Helper_Ingredient!$P$3:$P$19,AB117)))&gt;0)+IF(AE117&gt;=30,(IF($H$5="Curries/Stews",COUNTIF(Helper_Ingredient!$N$3:$N$20,AC117),IF($H$5="Salads",COUNTIF(Helper_Ingredient!$O$3:$O$20,AC117),COUNTIF(Helper_Ingredient!$P$3:$P$19,AC117)))&gt;0),0)+IF(AE117&gt;=60,(IF($H$5="Curries/Stews",COUNTIF(Helper_Ingredient!$N$3:$N$20,AD117),IF($H$5="Salads",COUNTIF(Helper_Ingredient!$O$3:$O$20,AD117),COUNTIF(Helper_Ingredient!$P$3:$P$19,AD117)))&gt;0),0)</f>
        <v>0</v>
      </c>
      <c r="AI117">
        <f t="shared" si="5"/>
        <v>0</v>
      </c>
      <c r="AJ117">
        <f>Data!A117</f>
        <v>0</v>
      </c>
      <c r="AK117">
        <f>Data!H117</f>
        <v>0</v>
      </c>
      <c r="AL117">
        <f>Data!B117</f>
        <v>0</v>
      </c>
      <c r="AM117" t="str">
        <f>Data!R117</f>
        <v/>
      </c>
      <c r="AN117" t="str">
        <f>Data!N117</f>
        <v/>
      </c>
      <c r="AO117" t="e">
        <f t="shared" si="6"/>
        <v>#VALUE!</v>
      </c>
    </row>
    <row r="118" spans="19:41">
      <c r="S118">
        <f>Data!A118</f>
        <v>0</v>
      </c>
      <c r="T118" t="str">
        <f>Data!D118</f>
        <v/>
      </c>
      <c r="U118">
        <f>Data!B118</f>
        <v>0</v>
      </c>
      <c r="V118" t="str">
        <f>Data!P118</f>
        <v/>
      </c>
      <c r="W118" t="str">
        <f>Data!N118</f>
        <v/>
      </c>
      <c r="X118">
        <f t="shared" si="4"/>
        <v>0</v>
      </c>
      <c r="AA118">
        <f>Data!A118</f>
        <v>0</v>
      </c>
      <c r="AB118">
        <f>Data!E118</f>
        <v>0</v>
      </c>
      <c r="AC118">
        <f>Data!F118</f>
        <v>0</v>
      </c>
      <c r="AD118">
        <f>Data!G118</f>
        <v>0</v>
      </c>
      <c r="AE118">
        <f>Data!B118</f>
        <v>0</v>
      </c>
      <c r="AF118" t="str">
        <f>Data!Q118</f>
        <v/>
      </c>
      <c r="AG118" t="str">
        <f>Data!N118</f>
        <v/>
      </c>
      <c r="AH118">
        <f>(IF($H$5="Curries/Stews",COUNTIF(Helper_Ingredient!$N$3:$N$20,AB118),IF($H$5="Salads",COUNTIF(Helper_Ingredient!$O$3:$O$20,AB118),COUNTIF(Helper_Ingredient!$P$3:$P$19,AB118)))&gt;0)+IF(AE118&gt;=30,(IF($H$5="Curries/Stews",COUNTIF(Helper_Ingredient!$N$3:$N$20,AC118),IF($H$5="Salads",COUNTIF(Helper_Ingredient!$O$3:$O$20,AC118),COUNTIF(Helper_Ingredient!$P$3:$P$19,AC118)))&gt;0),0)+IF(AE118&gt;=60,(IF($H$5="Curries/Stews",COUNTIF(Helper_Ingredient!$N$3:$N$20,AD118),IF($H$5="Salads",COUNTIF(Helper_Ingredient!$O$3:$O$20,AD118),COUNTIF(Helper_Ingredient!$P$3:$P$19,AD118)))&gt;0),0)</f>
        <v>0</v>
      </c>
      <c r="AI118">
        <f t="shared" si="5"/>
        <v>0</v>
      </c>
      <c r="AJ118">
        <f>Data!A118</f>
        <v>0</v>
      </c>
      <c r="AK118">
        <f>Data!H118</f>
        <v>0</v>
      </c>
      <c r="AL118">
        <f>Data!B118</f>
        <v>0</v>
      </c>
      <c r="AM118" t="str">
        <f>Data!R118</f>
        <v/>
      </c>
      <c r="AN118" t="str">
        <f>Data!N118</f>
        <v/>
      </c>
      <c r="AO118" t="e">
        <f t="shared" si="6"/>
        <v>#VALUE!</v>
      </c>
    </row>
    <row r="119" spans="19:41">
      <c r="S119">
        <f>Data!A119</f>
        <v>0</v>
      </c>
      <c r="T119" t="str">
        <f>Data!D119</f>
        <v/>
      </c>
      <c r="U119">
        <f>Data!B119</f>
        <v>0</v>
      </c>
      <c r="V119" t="str">
        <f>Data!P119</f>
        <v/>
      </c>
      <c r="W119" t="str">
        <f>Data!N119</f>
        <v/>
      </c>
      <c r="X119">
        <f t="shared" si="4"/>
        <v>0</v>
      </c>
      <c r="AA119">
        <f>Data!A119</f>
        <v>0</v>
      </c>
      <c r="AB119">
        <f>Data!E119</f>
        <v>0</v>
      </c>
      <c r="AC119">
        <f>Data!F119</f>
        <v>0</v>
      </c>
      <c r="AD119">
        <f>Data!G119</f>
        <v>0</v>
      </c>
      <c r="AE119">
        <f>Data!B119</f>
        <v>0</v>
      </c>
      <c r="AF119" t="str">
        <f>Data!Q119</f>
        <v/>
      </c>
      <c r="AG119" t="str">
        <f>Data!N119</f>
        <v/>
      </c>
      <c r="AH119">
        <f>(IF($H$5="Curries/Stews",COUNTIF(Helper_Ingredient!$N$3:$N$20,AB119),IF($H$5="Salads",COUNTIF(Helper_Ingredient!$O$3:$O$20,AB119),COUNTIF(Helper_Ingredient!$P$3:$P$19,AB119)))&gt;0)+IF(AE119&gt;=30,(IF($H$5="Curries/Stews",COUNTIF(Helper_Ingredient!$N$3:$N$20,AC119),IF($H$5="Salads",COUNTIF(Helper_Ingredient!$O$3:$O$20,AC119),COUNTIF(Helper_Ingredient!$P$3:$P$19,AC119)))&gt;0),0)+IF(AE119&gt;=60,(IF($H$5="Curries/Stews",COUNTIF(Helper_Ingredient!$N$3:$N$20,AD119),IF($H$5="Salads",COUNTIF(Helper_Ingredient!$O$3:$O$20,AD119),COUNTIF(Helper_Ingredient!$P$3:$P$19,AD119)))&gt;0),0)</f>
        <v>0</v>
      </c>
      <c r="AI119">
        <f t="shared" si="5"/>
        <v>0</v>
      </c>
      <c r="AJ119">
        <f>Data!A119</f>
        <v>0</v>
      </c>
      <c r="AK119">
        <f>Data!H119</f>
        <v>0</v>
      </c>
      <c r="AL119">
        <f>Data!B119</f>
        <v>0</v>
      </c>
      <c r="AM119" t="str">
        <f>Data!R119</f>
        <v/>
      </c>
      <c r="AN119" t="str">
        <f>Data!N119</f>
        <v/>
      </c>
      <c r="AO119" t="e">
        <f t="shared" si="6"/>
        <v>#VALUE!</v>
      </c>
    </row>
    <row r="120" spans="19:41">
      <c r="S120">
        <f>Data!A120</f>
        <v>0</v>
      </c>
      <c r="T120" t="str">
        <f>Data!D120</f>
        <v/>
      </c>
      <c r="U120">
        <f>Data!B120</f>
        <v>0</v>
      </c>
      <c r="V120" t="str">
        <f>Data!P120</f>
        <v/>
      </c>
      <c r="W120" t="str">
        <f>Data!N120</f>
        <v/>
      </c>
      <c r="X120">
        <f t="shared" si="4"/>
        <v>0</v>
      </c>
      <c r="AA120">
        <f>Data!A120</f>
        <v>0</v>
      </c>
      <c r="AB120">
        <f>Data!E120</f>
        <v>0</v>
      </c>
      <c r="AC120">
        <f>Data!F120</f>
        <v>0</v>
      </c>
      <c r="AD120">
        <f>Data!G120</f>
        <v>0</v>
      </c>
      <c r="AE120">
        <f>Data!B120</f>
        <v>0</v>
      </c>
      <c r="AF120" t="str">
        <f>Data!Q120</f>
        <v/>
      </c>
      <c r="AG120" t="str">
        <f>Data!N120</f>
        <v/>
      </c>
      <c r="AH120">
        <f>(IF($H$5="Curries/Stews",COUNTIF(Helper_Ingredient!$N$3:$N$20,AB120),IF($H$5="Salads",COUNTIF(Helper_Ingredient!$O$3:$O$20,AB120),COUNTIF(Helper_Ingredient!$P$3:$P$19,AB120)))&gt;0)+IF(AE120&gt;=30,(IF($H$5="Curries/Stews",COUNTIF(Helper_Ingredient!$N$3:$N$20,AC120),IF($H$5="Salads",COUNTIF(Helper_Ingredient!$O$3:$O$20,AC120),COUNTIF(Helper_Ingredient!$P$3:$P$19,AC120)))&gt;0),0)+IF(AE120&gt;=60,(IF($H$5="Curries/Stews",COUNTIF(Helper_Ingredient!$N$3:$N$20,AD120),IF($H$5="Salads",COUNTIF(Helper_Ingredient!$O$3:$O$20,AD120),COUNTIF(Helper_Ingredient!$P$3:$P$19,AD120)))&gt;0),0)</f>
        <v>0</v>
      </c>
      <c r="AI120">
        <f t="shared" si="5"/>
        <v>0</v>
      </c>
      <c r="AJ120">
        <f>Data!A120</f>
        <v>0</v>
      </c>
      <c r="AK120">
        <f>Data!H120</f>
        <v>0</v>
      </c>
      <c r="AL120">
        <f>Data!B120</f>
        <v>0</v>
      </c>
      <c r="AM120" t="str">
        <f>Data!R120</f>
        <v/>
      </c>
      <c r="AN120" t="str">
        <f>Data!N120</f>
        <v/>
      </c>
      <c r="AO120" t="e">
        <f t="shared" si="6"/>
        <v>#VALUE!</v>
      </c>
    </row>
    <row r="121" spans="19:41">
      <c r="S121">
        <f>Data!A121</f>
        <v>0</v>
      </c>
      <c r="T121" t="str">
        <f>Data!D121</f>
        <v/>
      </c>
      <c r="U121">
        <f>Data!B121</f>
        <v>0</v>
      </c>
      <c r="V121" t="str">
        <f>Data!P121</f>
        <v/>
      </c>
      <c r="W121" t="str">
        <f>Data!N121</f>
        <v/>
      </c>
      <c r="X121">
        <f t="shared" si="4"/>
        <v>0</v>
      </c>
      <c r="AA121">
        <f>Data!A121</f>
        <v>0</v>
      </c>
      <c r="AB121">
        <f>Data!E121</f>
        <v>0</v>
      </c>
      <c r="AC121">
        <f>Data!F121</f>
        <v>0</v>
      </c>
      <c r="AD121">
        <f>Data!G121</f>
        <v>0</v>
      </c>
      <c r="AE121">
        <f>Data!B121</f>
        <v>0</v>
      </c>
      <c r="AF121" t="str">
        <f>Data!Q121</f>
        <v/>
      </c>
      <c r="AG121" t="str">
        <f>Data!N121</f>
        <v/>
      </c>
      <c r="AH121">
        <f>(IF($H$5="Curries/Stews",COUNTIF(Helper_Ingredient!$N$3:$N$20,AB121),IF($H$5="Salads",COUNTIF(Helper_Ingredient!$O$3:$O$20,AB121),COUNTIF(Helper_Ingredient!$P$3:$P$19,AB121)))&gt;0)+IF(AE121&gt;=30,(IF($H$5="Curries/Stews",COUNTIF(Helper_Ingredient!$N$3:$N$20,AC121),IF($H$5="Salads",COUNTIF(Helper_Ingredient!$O$3:$O$20,AC121),COUNTIF(Helper_Ingredient!$P$3:$P$19,AC121)))&gt;0),0)+IF(AE121&gt;=60,(IF($H$5="Curries/Stews",COUNTIF(Helper_Ingredient!$N$3:$N$20,AD121),IF($H$5="Salads",COUNTIF(Helper_Ingredient!$O$3:$O$20,AD121),COUNTIF(Helper_Ingredient!$P$3:$P$19,AD121)))&gt;0),0)</f>
        <v>0</v>
      </c>
      <c r="AI121">
        <f t="shared" si="5"/>
        <v>0</v>
      </c>
      <c r="AJ121">
        <f>Data!A121</f>
        <v>0</v>
      </c>
      <c r="AK121">
        <f>Data!H121</f>
        <v>0</v>
      </c>
      <c r="AL121">
        <f>Data!B121</f>
        <v>0</v>
      </c>
      <c r="AM121" t="str">
        <f>Data!R121</f>
        <v/>
      </c>
      <c r="AN121" t="str">
        <f>Data!N121</f>
        <v/>
      </c>
      <c r="AO121" t="e">
        <f t="shared" si="6"/>
        <v>#VALUE!</v>
      </c>
    </row>
    <row r="122" spans="19:41">
      <c r="S122">
        <f>Data!A122</f>
        <v>0</v>
      </c>
      <c r="T122" t="str">
        <f>Data!D122</f>
        <v/>
      </c>
      <c r="U122">
        <f>Data!B122</f>
        <v>0</v>
      </c>
      <c r="V122" t="str">
        <f>Data!P122</f>
        <v/>
      </c>
      <c r="W122" t="str">
        <f>Data!N122</f>
        <v/>
      </c>
      <c r="X122">
        <f t="shared" si="4"/>
        <v>0</v>
      </c>
      <c r="AA122">
        <f>Data!A122</f>
        <v>0</v>
      </c>
      <c r="AB122">
        <f>Data!E122</f>
        <v>0</v>
      </c>
      <c r="AC122">
        <f>Data!F122</f>
        <v>0</v>
      </c>
      <c r="AD122">
        <f>Data!G122</f>
        <v>0</v>
      </c>
      <c r="AE122">
        <f>Data!B122</f>
        <v>0</v>
      </c>
      <c r="AF122" t="str">
        <f>Data!Q122</f>
        <v/>
      </c>
      <c r="AG122" t="str">
        <f>Data!N122</f>
        <v/>
      </c>
      <c r="AH122">
        <f>(IF($H$5="Curries/Stews",COUNTIF(Helper_Ingredient!$N$3:$N$20,AB122),IF($H$5="Salads",COUNTIF(Helper_Ingredient!$O$3:$O$20,AB122),COUNTIF(Helper_Ingredient!$P$3:$P$19,AB122)))&gt;0)+IF(AE122&gt;=30,(IF($H$5="Curries/Stews",COUNTIF(Helper_Ingredient!$N$3:$N$20,AC122),IF($H$5="Salads",COUNTIF(Helper_Ingredient!$O$3:$O$20,AC122),COUNTIF(Helper_Ingredient!$P$3:$P$19,AC122)))&gt;0),0)+IF(AE122&gt;=60,(IF($H$5="Curries/Stews",COUNTIF(Helper_Ingredient!$N$3:$N$20,AD122),IF($H$5="Salads",COUNTIF(Helper_Ingredient!$O$3:$O$20,AD122),COUNTIF(Helper_Ingredient!$P$3:$P$19,AD122)))&gt;0),0)</f>
        <v>0</v>
      </c>
      <c r="AI122">
        <f t="shared" si="5"/>
        <v>0</v>
      </c>
      <c r="AJ122">
        <f>Data!A122</f>
        <v>0</v>
      </c>
      <c r="AK122">
        <f>Data!H122</f>
        <v>0</v>
      </c>
      <c r="AL122">
        <f>Data!B122</f>
        <v>0</v>
      </c>
      <c r="AM122" t="str">
        <f>Data!R122</f>
        <v/>
      </c>
      <c r="AN122" t="str">
        <f>Data!N122</f>
        <v/>
      </c>
      <c r="AO122" t="e">
        <f t="shared" si="6"/>
        <v>#VALUE!</v>
      </c>
    </row>
    <row r="123" spans="19:41">
      <c r="S123">
        <f>Data!A123</f>
        <v>0</v>
      </c>
      <c r="T123" t="str">
        <f>Data!D123</f>
        <v/>
      </c>
      <c r="U123">
        <f>Data!B123</f>
        <v>0</v>
      </c>
      <c r="V123" t="str">
        <f>Data!P123</f>
        <v/>
      </c>
      <c r="W123" t="str">
        <f>Data!N123</f>
        <v/>
      </c>
      <c r="X123">
        <f t="shared" si="4"/>
        <v>0</v>
      </c>
      <c r="AA123">
        <f>Data!A123</f>
        <v>0</v>
      </c>
      <c r="AB123">
        <f>Data!E123</f>
        <v>0</v>
      </c>
      <c r="AC123">
        <f>Data!F123</f>
        <v>0</v>
      </c>
      <c r="AD123">
        <f>Data!G123</f>
        <v>0</v>
      </c>
      <c r="AE123">
        <f>Data!B123</f>
        <v>0</v>
      </c>
      <c r="AF123" t="str">
        <f>Data!Q123</f>
        <v/>
      </c>
      <c r="AG123" t="str">
        <f>Data!N123</f>
        <v/>
      </c>
      <c r="AH123">
        <f>(IF($H$5="Curries/Stews",COUNTIF(Helper_Ingredient!$N$3:$N$20,AB123),IF($H$5="Salads",COUNTIF(Helper_Ingredient!$O$3:$O$20,AB123),COUNTIF(Helper_Ingredient!$P$3:$P$19,AB123)))&gt;0)+IF(AE123&gt;=30,(IF($H$5="Curries/Stews",COUNTIF(Helper_Ingredient!$N$3:$N$20,AC123),IF($H$5="Salads",COUNTIF(Helper_Ingredient!$O$3:$O$20,AC123),COUNTIF(Helper_Ingredient!$P$3:$P$19,AC123)))&gt;0),0)+IF(AE123&gt;=60,(IF($H$5="Curries/Stews",COUNTIF(Helper_Ingredient!$N$3:$N$20,AD123),IF($H$5="Salads",COUNTIF(Helper_Ingredient!$O$3:$O$20,AD123),COUNTIF(Helper_Ingredient!$P$3:$P$19,AD123)))&gt;0),0)</f>
        <v>0</v>
      </c>
      <c r="AI123">
        <f t="shared" si="5"/>
        <v>0</v>
      </c>
      <c r="AJ123">
        <f>Data!A123</f>
        <v>0</v>
      </c>
      <c r="AK123">
        <f>Data!H123</f>
        <v>0</v>
      </c>
      <c r="AL123">
        <f>Data!B123</f>
        <v>0</v>
      </c>
      <c r="AM123" t="str">
        <f>Data!R123</f>
        <v/>
      </c>
      <c r="AN123" t="str">
        <f>Data!N123</f>
        <v/>
      </c>
      <c r="AO123" t="e">
        <f t="shared" si="6"/>
        <v>#VALUE!</v>
      </c>
    </row>
    <row r="124" spans="19:41">
      <c r="S124">
        <f>Data!A124</f>
        <v>0</v>
      </c>
      <c r="T124" t="str">
        <f>Data!D124</f>
        <v/>
      </c>
      <c r="U124">
        <f>Data!B124</f>
        <v>0</v>
      </c>
      <c r="V124" t="str">
        <f>Data!P124</f>
        <v/>
      </c>
      <c r="W124" t="str">
        <f>Data!N124</f>
        <v/>
      </c>
      <c r="X124">
        <f t="shared" si="4"/>
        <v>0</v>
      </c>
      <c r="AA124">
        <f>Data!A124</f>
        <v>0</v>
      </c>
      <c r="AB124">
        <f>Data!E124</f>
        <v>0</v>
      </c>
      <c r="AC124">
        <f>Data!F124</f>
        <v>0</v>
      </c>
      <c r="AD124">
        <f>Data!G124</f>
        <v>0</v>
      </c>
      <c r="AE124">
        <f>Data!B124</f>
        <v>0</v>
      </c>
      <c r="AF124" t="str">
        <f>Data!Q124</f>
        <v/>
      </c>
      <c r="AG124" t="str">
        <f>Data!N124</f>
        <v/>
      </c>
      <c r="AH124">
        <f>(IF($H$5="Curries/Stews",COUNTIF(Helper_Ingredient!$N$3:$N$20,AB124),IF($H$5="Salads",COUNTIF(Helper_Ingredient!$O$3:$O$20,AB124),COUNTIF(Helper_Ingredient!$P$3:$P$19,AB124)))&gt;0)+IF(AE124&gt;=30,(IF($H$5="Curries/Stews",COUNTIF(Helper_Ingredient!$N$3:$N$20,AC124),IF($H$5="Salads",COUNTIF(Helper_Ingredient!$O$3:$O$20,AC124),COUNTIF(Helper_Ingredient!$P$3:$P$19,AC124)))&gt;0),0)+IF(AE124&gt;=60,(IF($H$5="Curries/Stews",COUNTIF(Helper_Ingredient!$N$3:$N$20,AD124),IF($H$5="Salads",COUNTIF(Helper_Ingredient!$O$3:$O$20,AD124),COUNTIF(Helper_Ingredient!$P$3:$P$19,AD124)))&gt;0),0)</f>
        <v>0</v>
      </c>
      <c r="AI124">
        <f t="shared" si="5"/>
        <v>0</v>
      </c>
      <c r="AJ124">
        <f>Data!A124</f>
        <v>0</v>
      </c>
      <c r="AK124">
        <f>Data!H124</f>
        <v>0</v>
      </c>
      <c r="AL124">
        <f>Data!B124</f>
        <v>0</v>
      </c>
      <c r="AM124" t="str">
        <f>Data!R124</f>
        <v/>
      </c>
      <c r="AN124" t="str">
        <f>Data!N124</f>
        <v/>
      </c>
      <c r="AO124" t="e">
        <f t="shared" si="6"/>
        <v>#VALUE!</v>
      </c>
    </row>
    <row r="125" spans="19:41">
      <c r="S125">
        <f>Data!A125</f>
        <v>0</v>
      </c>
      <c r="T125" t="str">
        <f>Data!D125</f>
        <v/>
      </c>
      <c r="U125">
        <f>Data!B125</f>
        <v>0</v>
      </c>
      <c r="V125" t="str">
        <f>Data!P125</f>
        <v/>
      </c>
      <c r="W125" t="str">
        <f>Data!N125</f>
        <v/>
      </c>
      <c r="X125">
        <f t="shared" si="4"/>
        <v>0</v>
      </c>
      <c r="AA125">
        <f>Data!A125</f>
        <v>0</v>
      </c>
      <c r="AB125">
        <f>Data!E125</f>
        <v>0</v>
      </c>
      <c r="AC125">
        <f>Data!F125</f>
        <v>0</v>
      </c>
      <c r="AD125">
        <f>Data!G125</f>
        <v>0</v>
      </c>
      <c r="AE125">
        <f>Data!B125</f>
        <v>0</v>
      </c>
      <c r="AF125" t="str">
        <f>Data!Q125</f>
        <v/>
      </c>
      <c r="AG125" t="str">
        <f>Data!N125</f>
        <v/>
      </c>
      <c r="AH125">
        <f>(IF($H$5="Curries/Stews",COUNTIF(Helper_Ingredient!$N$3:$N$20,AB125),IF($H$5="Salads",COUNTIF(Helper_Ingredient!$O$3:$O$20,AB125),COUNTIF(Helper_Ingredient!$P$3:$P$19,AB125)))&gt;0)+IF(AE125&gt;=30,(IF($H$5="Curries/Stews",COUNTIF(Helper_Ingredient!$N$3:$N$20,AC125),IF($H$5="Salads",COUNTIF(Helper_Ingredient!$O$3:$O$20,AC125),COUNTIF(Helper_Ingredient!$P$3:$P$19,AC125)))&gt;0),0)+IF(AE125&gt;=60,(IF($H$5="Curries/Stews",COUNTIF(Helper_Ingredient!$N$3:$N$20,AD125),IF($H$5="Salads",COUNTIF(Helper_Ingredient!$O$3:$O$20,AD125),COUNTIF(Helper_Ingredient!$P$3:$P$19,AD125)))&gt;0),0)</f>
        <v>0</v>
      </c>
      <c r="AI125">
        <f t="shared" si="5"/>
        <v>0</v>
      </c>
      <c r="AJ125">
        <f>Data!A125</f>
        <v>0</v>
      </c>
      <c r="AK125">
        <f>Data!H125</f>
        <v>0</v>
      </c>
      <c r="AL125">
        <f>Data!B125</f>
        <v>0</v>
      </c>
      <c r="AM125" t="str">
        <f>Data!R125</f>
        <v/>
      </c>
      <c r="AN125" t="str">
        <f>Data!N125</f>
        <v/>
      </c>
      <c r="AO125" t="e">
        <f t="shared" si="6"/>
        <v>#VALUE!</v>
      </c>
    </row>
    <row r="126" spans="19:41">
      <c r="S126">
        <f>Data!A126</f>
        <v>0</v>
      </c>
      <c r="T126" t="str">
        <f>Data!D126</f>
        <v/>
      </c>
      <c r="U126">
        <f>Data!B126</f>
        <v>0</v>
      </c>
      <c r="V126" t="str">
        <f>Data!P126</f>
        <v/>
      </c>
      <c r="W126" t="str">
        <f>Data!N126</f>
        <v/>
      </c>
      <c r="X126">
        <f t="shared" si="4"/>
        <v>0</v>
      </c>
      <c r="AA126">
        <f>Data!A126</f>
        <v>0</v>
      </c>
      <c r="AB126">
        <f>Data!E126</f>
        <v>0</v>
      </c>
      <c r="AC126">
        <f>Data!F126</f>
        <v>0</v>
      </c>
      <c r="AD126">
        <f>Data!G126</f>
        <v>0</v>
      </c>
      <c r="AE126">
        <f>Data!B126</f>
        <v>0</v>
      </c>
      <c r="AF126" t="str">
        <f>Data!Q126</f>
        <v/>
      </c>
      <c r="AG126" t="str">
        <f>Data!N126</f>
        <v/>
      </c>
      <c r="AH126">
        <f>(IF($H$5="Curries/Stews",COUNTIF(Helper_Ingredient!$N$3:$N$20,AB126),IF($H$5="Salads",COUNTIF(Helper_Ingredient!$O$3:$O$20,AB126),COUNTIF(Helper_Ingredient!$P$3:$P$19,AB126)))&gt;0)+IF(AE126&gt;=30,(IF($H$5="Curries/Stews",COUNTIF(Helper_Ingredient!$N$3:$N$20,AC126),IF($H$5="Salads",COUNTIF(Helper_Ingredient!$O$3:$O$20,AC126),COUNTIF(Helper_Ingredient!$P$3:$P$19,AC126)))&gt;0),0)+IF(AE126&gt;=60,(IF($H$5="Curries/Stews",COUNTIF(Helper_Ingredient!$N$3:$N$20,AD126),IF($H$5="Salads",COUNTIF(Helper_Ingredient!$O$3:$O$20,AD126),COUNTIF(Helper_Ingredient!$P$3:$P$19,AD126)))&gt;0),0)</f>
        <v>0</v>
      </c>
      <c r="AI126">
        <f t="shared" si="5"/>
        <v>0</v>
      </c>
      <c r="AJ126">
        <f>Data!A126</f>
        <v>0</v>
      </c>
      <c r="AK126">
        <f>Data!H126</f>
        <v>0</v>
      </c>
      <c r="AL126">
        <f>Data!B126</f>
        <v>0</v>
      </c>
      <c r="AM126" t="str">
        <f>Data!R126</f>
        <v/>
      </c>
      <c r="AN126" t="str">
        <f>Data!N126</f>
        <v/>
      </c>
      <c r="AO126" t="e">
        <f t="shared" si="6"/>
        <v>#VALUE!</v>
      </c>
    </row>
    <row r="127" spans="19:41">
      <c r="S127">
        <f>Data!A127</f>
        <v>0</v>
      </c>
      <c r="T127" t="str">
        <f>Data!D127</f>
        <v/>
      </c>
      <c r="U127">
        <f>Data!B127</f>
        <v>0</v>
      </c>
      <c r="V127" t="str">
        <f>Data!P127</f>
        <v/>
      </c>
      <c r="W127" t="str">
        <f>Data!N127</f>
        <v/>
      </c>
      <c r="X127">
        <f t="shared" si="4"/>
        <v>0</v>
      </c>
      <c r="AA127">
        <f>Data!A127</f>
        <v>0</v>
      </c>
      <c r="AB127">
        <f>Data!E127</f>
        <v>0</v>
      </c>
      <c r="AC127">
        <f>Data!F127</f>
        <v>0</v>
      </c>
      <c r="AD127">
        <f>Data!G127</f>
        <v>0</v>
      </c>
      <c r="AE127">
        <f>Data!B127</f>
        <v>0</v>
      </c>
      <c r="AF127" t="str">
        <f>Data!Q127</f>
        <v/>
      </c>
      <c r="AG127" t="str">
        <f>Data!N127</f>
        <v/>
      </c>
      <c r="AH127">
        <f>(IF($H$5="Curries/Stews",COUNTIF(Helper_Ingredient!$N$3:$N$20,AB127),IF($H$5="Salads",COUNTIF(Helper_Ingredient!$O$3:$O$20,AB127),COUNTIF(Helper_Ingredient!$P$3:$P$19,AB127)))&gt;0)+IF(AE127&gt;=30,(IF($H$5="Curries/Stews",COUNTIF(Helper_Ingredient!$N$3:$N$20,AC127),IF($H$5="Salads",COUNTIF(Helper_Ingredient!$O$3:$O$20,AC127),COUNTIF(Helper_Ingredient!$P$3:$P$19,AC127)))&gt;0),0)+IF(AE127&gt;=60,(IF($H$5="Curries/Stews",COUNTIF(Helper_Ingredient!$N$3:$N$20,AD127),IF($H$5="Salads",COUNTIF(Helper_Ingredient!$O$3:$O$20,AD127),COUNTIF(Helper_Ingredient!$P$3:$P$19,AD127)))&gt;0),0)</f>
        <v>0</v>
      </c>
      <c r="AI127">
        <f t="shared" si="5"/>
        <v>0</v>
      </c>
      <c r="AJ127">
        <f>Data!A127</f>
        <v>0</v>
      </c>
      <c r="AK127">
        <f>Data!H127</f>
        <v>0</v>
      </c>
      <c r="AL127">
        <f>Data!B127</f>
        <v>0</v>
      </c>
      <c r="AM127" t="str">
        <f>Data!R127</f>
        <v/>
      </c>
      <c r="AN127" t="str">
        <f>Data!N127</f>
        <v/>
      </c>
      <c r="AO127" t="e">
        <f t="shared" si="6"/>
        <v>#VALUE!</v>
      </c>
    </row>
    <row r="128" spans="19:41">
      <c r="S128">
        <f>Data!A128</f>
        <v>0</v>
      </c>
      <c r="T128" t="str">
        <f>Data!D128</f>
        <v/>
      </c>
      <c r="U128">
        <f>Data!B128</f>
        <v>0</v>
      </c>
      <c r="V128" t="str">
        <f>Data!P128</f>
        <v/>
      </c>
      <c r="W128" t="str">
        <f>Data!N128</f>
        <v/>
      </c>
      <c r="X128">
        <f t="shared" si="4"/>
        <v>0</v>
      </c>
      <c r="AA128">
        <f>Data!A128</f>
        <v>0</v>
      </c>
      <c r="AB128">
        <f>Data!E128</f>
        <v>0</v>
      </c>
      <c r="AC128">
        <f>Data!F128</f>
        <v>0</v>
      </c>
      <c r="AD128">
        <f>Data!G128</f>
        <v>0</v>
      </c>
      <c r="AE128">
        <f>Data!B128</f>
        <v>0</v>
      </c>
      <c r="AF128" t="str">
        <f>Data!Q128</f>
        <v/>
      </c>
      <c r="AG128" t="str">
        <f>Data!N128</f>
        <v/>
      </c>
      <c r="AH128">
        <f>(IF($H$5="Curries/Stews",COUNTIF(Helper_Ingredient!$N$3:$N$20,AB128),IF($H$5="Salads",COUNTIF(Helper_Ingredient!$O$3:$O$20,AB128),COUNTIF(Helper_Ingredient!$P$3:$P$19,AB128)))&gt;0)+IF(AE128&gt;=30,(IF($H$5="Curries/Stews",COUNTIF(Helper_Ingredient!$N$3:$N$20,AC128),IF($H$5="Salads",COUNTIF(Helper_Ingredient!$O$3:$O$20,AC128),COUNTIF(Helper_Ingredient!$P$3:$P$19,AC128)))&gt;0),0)+IF(AE128&gt;=60,(IF($H$5="Curries/Stews",COUNTIF(Helper_Ingredient!$N$3:$N$20,AD128),IF($H$5="Salads",COUNTIF(Helper_Ingredient!$O$3:$O$20,AD128),COUNTIF(Helper_Ingredient!$P$3:$P$19,AD128)))&gt;0),0)</f>
        <v>0</v>
      </c>
      <c r="AI128">
        <f t="shared" si="5"/>
        <v>0</v>
      </c>
      <c r="AJ128">
        <f>Data!A128</f>
        <v>0</v>
      </c>
      <c r="AK128">
        <f>Data!H128</f>
        <v>0</v>
      </c>
      <c r="AL128">
        <f>Data!B128</f>
        <v>0</v>
      </c>
      <c r="AM128" t="str">
        <f>Data!R128</f>
        <v/>
      </c>
      <c r="AN128" t="str">
        <f>Data!N128</f>
        <v/>
      </c>
      <c r="AO128" t="e">
        <f t="shared" si="6"/>
        <v>#VALUE!</v>
      </c>
    </row>
    <row r="129" spans="19:41">
      <c r="S129">
        <f>Data!A129</f>
        <v>0</v>
      </c>
      <c r="T129" t="str">
        <f>Data!D129</f>
        <v/>
      </c>
      <c r="U129">
        <f>Data!B129</f>
        <v>0</v>
      </c>
      <c r="V129" t="str">
        <f>Data!P129</f>
        <v/>
      </c>
      <c r="W129" t="str">
        <f>Data!N129</f>
        <v/>
      </c>
      <c r="X129">
        <f t="shared" si="4"/>
        <v>0</v>
      </c>
      <c r="AA129">
        <f>Data!A129</f>
        <v>0</v>
      </c>
      <c r="AB129">
        <f>Data!E129</f>
        <v>0</v>
      </c>
      <c r="AC129">
        <f>Data!F129</f>
        <v>0</v>
      </c>
      <c r="AD129">
        <f>Data!G129</f>
        <v>0</v>
      </c>
      <c r="AE129">
        <f>Data!B129</f>
        <v>0</v>
      </c>
      <c r="AF129" t="str">
        <f>Data!Q129</f>
        <v/>
      </c>
      <c r="AG129" t="str">
        <f>Data!N129</f>
        <v/>
      </c>
      <c r="AH129">
        <f>(IF($H$5="Curries/Stews",COUNTIF(Helper_Ingredient!$N$3:$N$20,AB129),IF($H$5="Salads",COUNTIF(Helper_Ingredient!$O$3:$O$20,AB129),COUNTIF(Helper_Ingredient!$P$3:$P$19,AB129)))&gt;0)+IF(AE129&gt;=30,(IF($H$5="Curries/Stews",COUNTIF(Helper_Ingredient!$N$3:$N$20,AC129),IF($H$5="Salads",COUNTIF(Helper_Ingredient!$O$3:$O$20,AC129),COUNTIF(Helper_Ingredient!$P$3:$P$19,AC129)))&gt;0),0)+IF(AE129&gt;=60,(IF($H$5="Curries/Stews",COUNTIF(Helper_Ingredient!$N$3:$N$20,AD129),IF($H$5="Salads",COUNTIF(Helper_Ingredient!$O$3:$O$20,AD129),COUNTIF(Helper_Ingredient!$P$3:$P$19,AD129)))&gt;0),0)</f>
        <v>0</v>
      </c>
      <c r="AI129">
        <f t="shared" si="5"/>
        <v>0</v>
      </c>
      <c r="AJ129">
        <f>Data!A129</f>
        <v>0</v>
      </c>
      <c r="AK129">
        <f>Data!H129</f>
        <v>0</v>
      </c>
      <c r="AL129">
        <f>Data!B129</f>
        <v>0</v>
      </c>
      <c r="AM129" t="str">
        <f>Data!R129</f>
        <v/>
      </c>
      <c r="AN129" t="str">
        <f>Data!N129</f>
        <v/>
      </c>
      <c r="AO129" t="e">
        <f t="shared" si="6"/>
        <v>#VALUE!</v>
      </c>
    </row>
    <row r="130" spans="19:41">
      <c r="S130">
        <f>Data!A130</f>
        <v>0</v>
      </c>
      <c r="T130" t="str">
        <f>Data!D130</f>
        <v/>
      </c>
      <c r="U130">
        <f>Data!B130</f>
        <v>0</v>
      </c>
      <c r="V130" t="str">
        <f>Data!P130</f>
        <v/>
      </c>
      <c r="W130" t="str">
        <f>Data!N130</f>
        <v/>
      </c>
      <c r="X130">
        <f t="shared" ref="X130:X193" si="7">IF(OR(T130=$B$5,T130=$B$6,T130=$B$7),(V130*1000)+U130+ROW()/1000000,0)</f>
        <v>0</v>
      </c>
      <c r="AA130">
        <f>Data!A130</f>
        <v>0</v>
      </c>
      <c r="AB130">
        <f>Data!E130</f>
        <v>0</v>
      </c>
      <c r="AC130">
        <f>Data!F130</f>
        <v>0</v>
      </c>
      <c r="AD130">
        <f>Data!G130</f>
        <v>0</v>
      </c>
      <c r="AE130">
        <f>Data!B130</f>
        <v>0</v>
      </c>
      <c r="AF130" t="str">
        <f>Data!Q130</f>
        <v/>
      </c>
      <c r="AG130" t="str">
        <f>Data!N130</f>
        <v/>
      </c>
      <c r="AH130">
        <f>(IF($H$5="Curries/Stews",COUNTIF(Helper_Ingredient!$N$3:$N$20,AB130),IF($H$5="Salads",COUNTIF(Helper_Ingredient!$O$3:$O$20,AB130),COUNTIF(Helper_Ingredient!$P$3:$P$19,AB130)))&gt;0)+IF(AE130&gt;=30,(IF($H$5="Curries/Stews",COUNTIF(Helper_Ingredient!$N$3:$N$20,AC130),IF($H$5="Salads",COUNTIF(Helper_Ingredient!$O$3:$O$20,AC130),COUNTIF(Helper_Ingredient!$P$3:$P$19,AC130)))&gt;0),0)+IF(AE130&gt;=60,(IF($H$5="Curries/Stews",COUNTIF(Helper_Ingredient!$N$3:$N$20,AD130),IF($H$5="Salads",COUNTIF(Helper_Ingredient!$O$3:$O$20,AD130),COUNTIF(Helper_Ingredient!$P$3:$P$19,AD130)))&gt;0),0)</f>
        <v>0</v>
      </c>
      <c r="AI130">
        <f t="shared" ref="AI130:AI193" si="8">IF(AH130&gt;0,(AH130*1000000)+(AF130*1000)+AE130+ROW()/1000000,0)</f>
        <v>0</v>
      </c>
      <c r="AJ130">
        <f>Data!A130</f>
        <v>0</v>
      </c>
      <c r="AK130">
        <f>Data!H130</f>
        <v>0</v>
      </c>
      <c r="AL130">
        <f>Data!B130</f>
        <v>0</v>
      </c>
      <c r="AM130" t="str">
        <f>Data!R130</f>
        <v/>
      </c>
      <c r="AN130" t="str">
        <f>Data!N130</f>
        <v/>
      </c>
      <c r="AO130" t="e">
        <f t="shared" si="6"/>
        <v>#VALUE!</v>
      </c>
    </row>
    <row r="131" spans="19:41">
      <c r="S131">
        <f>Data!A131</f>
        <v>0</v>
      </c>
      <c r="T131" t="str">
        <f>Data!D131</f>
        <v/>
      </c>
      <c r="U131">
        <f>Data!B131</f>
        <v>0</v>
      </c>
      <c r="V131" t="str">
        <f>Data!P131</f>
        <v/>
      </c>
      <c r="W131" t="str">
        <f>Data!N131</f>
        <v/>
      </c>
      <c r="X131">
        <f t="shared" si="7"/>
        <v>0</v>
      </c>
      <c r="AA131">
        <f>Data!A131</f>
        <v>0</v>
      </c>
      <c r="AB131">
        <f>Data!E131</f>
        <v>0</v>
      </c>
      <c r="AC131">
        <f>Data!F131</f>
        <v>0</v>
      </c>
      <c r="AD131">
        <f>Data!G131</f>
        <v>0</v>
      </c>
      <c r="AE131">
        <f>Data!B131</f>
        <v>0</v>
      </c>
      <c r="AF131" t="str">
        <f>Data!Q131</f>
        <v/>
      </c>
      <c r="AG131" t="str">
        <f>Data!N131</f>
        <v/>
      </c>
      <c r="AH131">
        <f>(IF($H$5="Curries/Stews",COUNTIF(Helper_Ingredient!$N$3:$N$20,AB131),IF($H$5="Salads",COUNTIF(Helper_Ingredient!$O$3:$O$20,AB131),COUNTIF(Helper_Ingredient!$P$3:$P$19,AB131)))&gt;0)+IF(AE131&gt;=30,(IF($H$5="Curries/Stews",COUNTIF(Helper_Ingredient!$N$3:$N$20,AC131),IF($H$5="Salads",COUNTIF(Helper_Ingredient!$O$3:$O$20,AC131),COUNTIF(Helper_Ingredient!$P$3:$P$19,AC131)))&gt;0),0)+IF(AE131&gt;=60,(IF($H$5="Curries/Stews",COUNTIF(Helper_Ingredient!$N$3:$N$20,AD131),IF($H$5="Salads",COUNTIF(Helper_Ingredient!$O$3:$O$20,AD131),COUNTIF(Helper_Ingredient!$P$3:$P$19,AD131)))&gt;0),0)</f>
        <v>0</v>
      </c>
      <c r="AI131">
        <f t="shared" si="8"/>
        <v>0</v>
      </c>
      <c r="AJ131">
        <f>Data!A131</f>
        <v>0</v>
      </c>
      <c r="AK131">
        <f>Data!H131</f>
        <v>0</v>
      </c>
      <c r="AL131">
        <f>Data!B131</f>
        <v>0</v>
      </c>
      <c r="AM131" t="str">
        <f>Data!R131</f>
        <v/>
      </c>
      <c r="AN131" t="str">
        <f>Data!N131</f>
        <v/>
      </c>
      <c r="AO131" t="e">
        <f t="shared" si="6"/>
        <v>#VALUE!</v>
      </c>
    </row>
    <row r="132" spans="19:41">
      <c r="S132">
        <f>Data!A132</f>
        <v>0</v>
      </c>
      <c r="T132" t="str">
        <f>Data!D132</f>
        <v/>
      </c>
      <c r="U132">
        <f>Data!B132</f>
        <v>0</v>
      </c>
      <c r="V132" t="str">
        <f>Data!P132</f>
        <v/>
      </c>
      <c r="W132" t="str">
        <f>Data!N132</f>
        <v/>
      </c>
      <c r="X132">
        <f t="shared" si="7"/>
        <v>0</v>
      </c>
      <c r="AA132">
        <f>Data!A132</f>
        <v>0</v>
      </c>
      <c r="AB132">
        <f>Data!E132</f>
        <v>0</v>
      </c>
      <c r="AC132">
        <f>Data!F132</f>
        <v>0</v>
      </c>
      <c r="AD132">
        <f>Data!G132</f>
        <v>0</v>
      </c>
      <c r="AE132">
        <f>Data!B132</f>
        <v>0</v>
      </c>
      <c r="AF132" t="str">
        <f>Data!Q132</f>
        <v/>
      </c>
      <c r="AG132" t="str">
        <f>Data!N132</f>
        <v/>
      </c>
      <c r="AH132">
        <f>(IF($H$5="Curries/Stews",COUNTIF(Helper_Ingredient!$N$3:$N$20,AB132),IF($H$5="Salads",COUNTIF(Helper_Ingredient!$O$3:$O$20,AB132),COUNTIF(Helper_Ingredient!$P$3:$P$19,AB132)))&gt;0)+IF(AE132&gt;=30,(IF($H$5="Curries/Stews",COUNTIF(Helper_Ingredient!$N$3:$N$20,AC132),IF($H$5="Salads",COUNTIF(Helper_Ingredient!$O$3:$O$20,AC132),COUNTIF(Helper_Ingredient!$P$3:$P$19,AC132)))&gt;0),0)+IF(AE132&gt;=60,(IF($H$5="Curries/Stews",COUNTIF(Helper_Ingredient!$N$3:$N$20,AD132),IF($H$5="Salads",COUNTIF(Helper_Ingredient!$O$3:$O$20,AD132),COUNTIF(Helper_Ingredient!$P$3:$P$19,AD132)))&gt;0),0)</f>
        <v>0</v>
      </c>
      <c r="AI132">
        <f t="shared" si="8"/>
        <v>0</v>
      </c>
      <c r="AJ132">
        <f>Data!A132</f>
        <v>0</v>
      </c>
      <c r="AK132">
        <f>Data!H132</f>
        <v>0</v>
      </c>
      <c r="AL132">
        <f>Data!B132</f>
        <v>0</v>
      </c>
      <c r="AM132" t="str">
        <f>Data!R132</f>
        <v/>
      </c>
      <c r="AN132" t="str">
        <f>Data!N132</f>
        <v/>
      </c>
      <c r="AO132" t="e">
        <f t="shared" si="6"/>
        <v>#VALUE!</v>
      </c>
    </row>
    <row r="133" spans="19:41">
      <c r="S133">
        <f>Data!A133</f>
        <v>0</v>
      </c>
      <c r="T133" t="str">
        <f>Data!D133</f>
        <v/>
      </c>
      <c r="U133">
        <f>Data!B133</f>
        <v>0</v>
      </c>
      <c r="V133" t="str">
        <f>Data!P133</f>
        <v/>
      </c>
      <c r="W133" t="str">
        <f>Data!N133</f>
        <v/>
      </c>
      <c r="X133">
        <f t="shared" si="7"/>
        <v>0</v>
      </c>
      <c r="AA133">
        <f>Data!A133</f>
        <v>0</v>
      </c>
      <c r="AB133">
        <f>Data!E133</f>
        <v>0</v>
      </c>
      <c r="AC133">
        <f>Data!F133</f>
        <v>0</v>
      </c>
      <c r="AD133">
        <f>Data!G133</f>
        <v>0</v>
      </c>
      <c r="AE133">
        <f>Data!B133</f>
        <v>0</v>
      </c>
      <c r="AF133" t="str">
        <f>Data!Q133</f>
        <v/>
      </c>
      <c r="AG133" t="str">
        <f>Data!N133</f>
        <v/>
      </c>
      <c r="AH133">
        <f>(IF($H$5="Curries/Stews",COUNTIF(Helper_Ingredient!$N$3:$N$20,AB133),IF($H$5="Salads",COUNTIF(Helper_Ingredient!$O$3:$O$20,AB133),COUNTIF(Helper_Ingredient!$P$3:$P$19,AB133)))&gt;0)+IF(AE133&gt;=30,(IF($H$5="Curries/Stews",COUNTIF(Helper_Ingredient!$N$3:$N$20,AC133),IF($H$5="Salads",COUNTIF(Helper_Ingredient!$O$3:$O$20,AC133),COUNTIF(Helper_Ingredient!$P$3:$P$19,AC133)))&gt;0),0)+IF(AE133&gt;=60,(IF($H$5="Curries/Stews",COUNTIF(Helper_Ingredient!$N$3:$N$20,AD133),IF($H$5="Salads",COUNTIF(Helper_Ingredient!$O$3:$O$20,AD133),COUNTIF(Helper_Ingredient!$P$3:$P$19,AD133)))&gt;0),0)</f>
        <v>0</v>
      </c>
      <c r="AI133">
        <f t="shared" si="8"/>
        <v>0</v>
      </c>
      <c r="AJ133">
        <f>Data!A133</f>
        <v>0</v>
      </c>
      <c r="AK133">
        <f>Data!H133</f>
        <v>0</v>
      </c>
      <c r="AL133">
        <f>Data!B133</f>
        <v>0</v>
      </c>
      <c r="AM133" t="str">
        <f>Data!R133</f>
        <v/>
      </c>
      <c r="AN133" t="str">
        <f>Data!N133</f>
        <v/>
      </c>
      <c r="AO133" t="e">
        <f t="shared" si="6"/>
        <v>#VALUE!</v>
      </c>
    </row>
    <row r="134" spans="19:41">
      <c r="S134">
        <f>Data!A134</f>
        <v>0</v>
      </c>
      <c r="T134" t="str">
        <f>Data!D134</f>
        <v/>
      </c>
      <c r="U134">
        <f>Data!B134</f>
        <v>0</v>
      </c>
      <c r="V134" t="str">
        <f>Data!P134</f>
        <v/>
      </c>
      <c r="W134" t="str">
        <f>Data!N134</f>
        <v/>
      </c>
      <c r="X134">
        <f t="shared" si="7"/>
        <v>0</v>
      </c>
      <c r="AA134">
        <f>Data!A134</f>
        <v>0</v>
      </c>
      <c r="AB134">
        <f>Data!E134</f>
        <v>0</v>
      </c>
      <c r="AC134">
        <f>Data!F134</f>
        <v>0</v>
      </c>
      <c r="AD134">
        <f>Data!G134</f>
        <v>0</v>
      </c>
      <c r="AE134">
        <f>Data!B134</f>
        <v>0</v>
      </c>
      <c r="AF134" t="str">
        <f>Data!Q134</f>
        <v/>
      </c>
      <c r="AG134" t="str">
        <f>Data!N134</f>
        <v/>
      </c>
      <c r="AH134">
        <f>(IF($H$5="Curries/Stews",COUNTIF(Helper_Ingredient!$N$3:$N$20,AB134),IF($H$5="Salads",COUNTIF(Helper_Ingredient!$O$3:$O$20,AB134),COUNTIF(Helper_Ingredient!$P$3:$P$19,AB134)))&gt;0)+IF(AE134&gt;=30,(IF($H$5="Curries/Stews",COUNTIF(Helper_Ingredient!$N$3:$N$20,AC134),IF($H$5="Salads",COUNTIF(Helper_Ingredient!$O$3:$O$20,AC134),COUNTIF(Helper_Ingredient!$P$3:$P$19,AC134)))&gt;0),0)+IF(AE134&gt;=60,(IF($H$5="Curries/Stews",COUNTIF(Helper_Ingredient!$N$3:$N$20,AD134),IF($H$5="Salads",COUNTIF(Helper_Ingredient!$O$3:$O$20,AD134),COUNTIF(Helper_Ingredient!$P$3:$P$19,AD134)))&gt;0),0)</f>
        <v>0</v>
      </c>
      <c r="AI134">
        <f t="shared" si="8"/>
        <v>0</v>
      </c>
      <c r="AJ134">
        <f>Data!A134</f>
        <v>0</v>
      </c>
      <c r="AK134">
        <f>Data!H134</f>
        <v>0</v>
      </c>
      <c r="AL134">
        <f>Data!B134</f>
        <v>0</v>
      </c>
      <c r="AM134" t="str">
        <f>Data!R134</f>
        <v/>
      </c>
      <c r="AN134" t="str">
        <f>Data!N134</f>
        <v/>
      </c>
      <c r="AO134" t="e">
        <f t="shared" si="6"/>
        <v>#VALUE!</v>
      </c>
    </row>
    <row r="135" spans="19:41">
      <c r="S135">
        <f>Data!A135</f>
        <v>0</v>
      </c>
      <c r="T135" t="str">
        <f>Data!D135</f>
        <v/>
      </c>
      <c r="U135">
        <f>Data!B135</f>
        <v>0</v>
      </c>
      <c r="V135" t="str">
        <f>Data!P135</f>
        <v/>
      </c>
      <c r="W135" t="str">
        <f>Data!N135</f>
        <v/>
      </c>
      <c r="X135">
        <f t="shared" si="7"/>
        <v>0</v>
      </c>
      <c r="AA135">
        <f>Data!A135</f>
        <v>0</v>
      </c>
      <c r="AB135">
        <f>Data!E135</f>
        <v>0</v>
      </c>
      <c r="AC135">
        <f>Data!F135</f>
        <v>0</v>
      </c>
      <c r="AD135">
        <f>Data!G135</f>
        <v>0</v>
      </c>
      <c r="AE135">
        <f>Data!B135</f>
        <v>0</v>
      </c>
      <c r="AF135" t="str">
        <f>Data!Q135</f>
        <v/>
      </c>
      <c r="AG135" t="str">
        <f>Data!N135</f>
        <v/>
      </c>
      <c r="AH135">
        <f>(IF($H$5="Curries/Stews",COUNTIF(Helper_Ingredient!$N$3:$N$20,AB135),IF($H$5="Salads",COUNTIF(Helper_Ingredient!$O$3:$O$20,AB135),COUNTIF(Helper_Ingredient!$P$3:$P$19,AB135)))&gt;0)+IF(AE135&gt;=30,(IF($H$5="Curries/Stews",COUNTIF(Helper_Ingredient!$N$3:$N$20,AC135),IF($H$5="Salads",COUNTIF(Helper_Ingredient!$O$3:$O$20,AC135),COUNTIF(Helper_Ingredient!$P$3:$P$19,AC135)))&gt;0),0)+IF(AE135&gt;=60,(IF($H$5="Curries/Stews",COUNTIF(Helper_Ingredient!$N$3:$N$20,AD135),IF($H$5="Salads",COUNTIF(Helper_Ingredient!$O$3:$O$20,AD135),COUNTIF(Helper_Ingredient!$P$3:$P$19,AD135)))&gt;0),0)</f>
        <v>0</v>
      </c>
      <c r="AI135">
        <f t="shared" si="8"/>
        <v>0</v>
      </c>
      <c r="AJ135">
        <f>Data!A135</f>
        <v>0</v>
      </c>
      <c r="AK135">
        <f>Data!H135</f>
        <v>0</v>
      </c>
      <c r="AL135">
        <f>Data!B135</f>
        <v>0</v>
      </c>
      <c r="AM135" t="str">
        <f>Data!R135</f>
        <v/>
      </c>
      <c r="AN135" t="str">
        <f>Data!N135</f>
        <v/>
      </c>
      <c r="AO135" t="e">
        <f t="shared" si="6"/>
        <v>#VALUE!</v>
      </c>
    </row>
    <row r="136" spans="19:41">
      <c r="S136">
        <f>Data!A136</f>
        <v>0</v>
      </c>
      <c r="T136" t="str">
        <f>Data!D136</f>
        <v/>
      </c>
      <c r="U136">
        <f>Data!B136</f>
        <v>0</v>
      </c>
      <c r="V136" t="str">
        <f>Data!P136</f>
        <v/>
      </c>
      <c r="W136" t="str">
        <f>Data!N136</f>
        <v/>
      </c>
      <c r="X136">
        <f t="shared" si="7"/>
        <v>0</v>
      </c>
      <c r="AA136">
        <f>Data!A136</f>
        <v>0</v>
      </c>
      <c r="AB136">
        <f>Data!E136</f>
        <v>0</v>
      </c>
      <c r="AC136">
        <f>Data!F136</f>
        <v>0</v>
      </c>
      <c r="AD136">
        <f>Data!G136</f>
        <v>0</v>
      </c>
      <c r="AE136">
        <f>Data!B136</f>
        <v>0</v>
      </c>
      <c r="AF136" t="str">
        <f>Data!Q136</f>
        <v/>
      </c>
      <c r="AG136" t="str">
        <f>Data!N136</f>
        <v/>
      </c>
      <c r="AH136">
        <f>(IF($H$5="Curries/Stews",COUNTIF(Helper_Ingredient!$N$3:$N$20,AB136),IF($H$5="Salads",COUNTIF(Helper_Ingredient!$O$3:$O$20,AB136),COUNTIF(Helper_Ingredient!$P$3:$P$19,AB136)))&gt;0)+IF(AE136&gt;=30,(IF($H$5="Curries/Stews",COUNTIF(Helper_Ingredient!$N$3:$N$20,AC136),IF($H$5="Salads",COUNTIF(Helper_Ingredient!$O$3:$O$20,AC136),COUNTIF(Helper_Ingredient!$P$3:$P$19,AC136)))&gt;0),0)+IF(AE136&gt;=60,(IF($H$5="Curries/Stews",COUNTIF(Helper_Ingredient!$N$3:$N$20,AD136),IF($H$5="Salads",COUNTIF(Helper_Ingredient!$O$3:$O$20,AD136),COUNTIF(Helper_Ingredient!$P$3:$P$19,AD136)))&gt;0),0)</f>
        <v>0</v>
      </c>
      <c r="AI136">
        <f t="shared" si="8"/>
        <v>0</v>
      </c>
      <c r="AJ136">
        <f>Data!A136</f>
        <v>0</v>
      </c>
      <c r="AK136">
        <f>Data!H136</f>
        <v>0</v>
      </c>
      <c r="AL136">
        <f>Data!B136</f>
        <v>0</v>
      </c>
      <c r="AM136" t="str">
        <f>Data!R136</f>
        <v/>
      </c>
      <c r="AN136" t="str">
        <f>Data!N136</f>
        <v/>
      </c>
      <c r="AO136" t="e">
        <f t="shared" si="6"/>
        <v>#VALUE!</v>
      </c>
    </row>
    <row r="137" spans="19:41">
      <c r="S137">
        <f>Data!A137</f>
        <v>0</v>
      </c>
      <c r="T137" t="str">
        <f>Data!D137</f>
        <v/>
      </c>
      <c r="U137">
        <f>Data!B137</f>
        <v>0</v>
      </c>
      <c r="V137" t="str">
        <f>Data!P137</f>
        <v/>
      </c>
      <c r="W137" t="str">
        <f>Data!N137</f>
        <v/>
      </c>
      <c r="X137">
        <f t="shared" si="7"/>
        <v>0</v>
      </c>
      <c r="AA137">
        <f>Data!A137</f>
        <v>0</v>
      </c>
      <c r="AB137">
        <f>Data!E137</f>
        <v>0</v>
      </c>
      <c r="AC137">
        <f>Data!F137</f>
        <v>0</v>
      </c>
      <c r="AD137">
        <f>Data!G137</f>
        <v>0</v>
      </c>
      <c r="AE137">
        <f>Data!B137</f>
        <v>0</v>
      </c>
      <c r="AF137" t="str">
        <f>Data!Q137</f>
        <v/>
      </c>
      <c r="AG137" t="str">
        <f>Data!N137</f>
        <v/>
      </c>
      <c r="AH137">
        <f>(IF($H$5="Curries/Stews",COUNTIF(Helper_Ingredient!$N$3:$N$20,AB137),IF($H$5="Salads",COUNTIF(Helper_Ingredient!$O$3:$O$20,AB137),COUNTIF(Helper_Ingredient!$P$3:$P$19,AB137)))&gt;0)+IF(AE137&gt;=30,(IF($H$5="Curries/Stews",COUNTIF(Helper_Ingredient!$N$3:$N$20,AC137),IF($H$5="Salads",COUNTIF(Helper_Ingredient!$O$3:$O$20,AC137),COUNTIF(Helper_Ingredient!$P$3:$P$19,AC137)))&gt;0),0)+IF(AE137&gt;=60,(IF($H$5="Curries/Stews",COUNTIF(Helper_Ingredient!$N$3:$N$20,AD137),IF($H$5="Salads",COUNTIF(Helper_Ingredient!$O$3:$O$20,AD137),COUNTIF(Helper_Ingredient!$P$3:$P$19,AD137)))&gt;0),0)</f>
        <v>0</v>
      </c>
      <c r="AI137">
        <f t="shared" si="8"/>
        <v>0</v>
      </c>
      <c r="AJ137">
        <f>Data!A137</f>
        <v>0</v>
      </c>
      <c r="AK137">
        <f>Data!H137</f>
        <v>0</v>
      </c>
      <c r="AL137">
        <f>Data!B137</f>
        <v>0</v>
      </c>
      <c r="AM137" t="str">
        <f>Data!R137</f>
        <v/>
      </c>
      <c r="AN137" t="str">
        <f>Data!N137</f>
        <v/>
      </c>
      <c r="AO137" t="e">
        <f t="shared" si="6"/>
        <v>#VALUE!</v>
      </c>
    </row>
    <row r="138" spans="19:41">
      <c r="S138">
        <f>Data!A138</f>
        <v>0</v>
      </c>
      <c r="T138" t="str">
        <f>Data!D138</f>
        <v/>
      </c>
      <c r="U138">
        <f>Data!B138</f>
        <v>0</v>
      </c>
      <c r="V138" t="str">
        <f>Data!P138</f>
        <v/>
      </c>
      <c r="W138" t="str">
        <f>Data!N138</f>
        <v/>
      </c>
      <c r="X138">
        <f t="shared" si="7"/>
        <v>0</v>
      </c>
      <c r="AA138">
        <f>Data!A138</f>
        <v>0</v>
      </c>
      <c r="AB138">
        <f>Data!E138</f>
        <v>0</v>
      </c>
      <c r="AC138">
        <f>Data!F138</f>
        <v>0</v>
      </c>
      <c r="AD138">
        <f>Data!G138</f>
        <v>0</v>
      </c>
      <c r="AE138">
        <f>Data!B138</f>
        <v>0</v>
      </c>
      <c r="AF138" t="str">
        <f>Data!Q138</f>
        <v/>
      </c>
      <c r="AG138" t="str">
        <f>Data!N138</f>
        <v/>
      </c>
      <c r="AH138">
        <f>(IF($H$5="Curries/Stews",COUNTIF(Helper_Ingredient!$N$3:$N$20,AB138),IF($H$5="Salads",COUNTIF(Helper_Ingredient!$O$3:$O$20,AB138),COUNTIF(Helper_Ingredient!$P$3:$P$19,AB138)))&gt;0)+IF(AE138&gt;=30,(IF($H$5="Curries/Stews",COUNTIF(Helper_Ingredient!$N$3:$N$20,AC138),IF($H$5="Salads",COUNTIF(Helper_Ingredient!$O$3:$O$20,AC138),COUNTIF(Helper_Ingredient!$P$3:$P$19,AC138)))&gt;0),0)+IF(AE138&gt;=60,(IF($H$5="Curries/Stews",COUNTIF(Helper_Ingredient!$N$3:$N$20,AD138),IF($H$5="Salads",COUNTIF(Helper_Ingredient!$O$3:$O$20,AD138),COUNTIF(Helper_Ingredient!$P$3:$P$19,AD138)))&gt;0),0)</f>
        <v>0</v>
      </c>
      <c r="AI138">
        <f t="shared" si="8"/>
        <v>0</v>
      </c>
      <c r="AJ138">
        <f>Data!A138</f>
        <v>0</v>
      </c>
      <c r="AK138">
        <f>Data!H138</f>
        <v>0</v>
      </c>
      <c r="AL138">
        <f>Data!B138</f>
        <v>0</v>
      </c>
      <c r="AM138" t="str">
        <f>Data!R138</f>
        <v/>
      </c>
      <c r="AN138" t="str">
        <f>Data!N138</f>
        <v/>
      </c>
      <c r="AO138" t="e">
        <f t="shared" si="6"/>
        <v>#VALUE!</v>
      </c>
    </row>
    <row r="139" spans="19:41">
      <c r="S139">
        <f>Data!A139</f>
        <v>0</v>
      </c>
      <c r="T139" t="str">
        <f>Data!D139</f>
        <v/>
      </c>
      <c r="U139">
        <f>Data!B139</f>
        <v>0</v>
      </c>
      <c r="V139" t="str">
        <f>Data!P139</f>
        <v/>
      </c>
      <c r="W139" t="str">
        <f>Data!N139</f>
        <v/>
      </c>
      <c r="X139">
        <f t="shared" si="7"/>
        <v>0</v>
      </c>
      <c r="AA139">
        <f>Data!A139</f>
        <v>0</v>
      </c>
      <c r="AB139">
        <f>Data!E139</f>
        <v>0</v>
      </c>
      <c r="AC139">
        <f>Data!F139</f>
        <v>0</v>
      </c>
      <c r="AD139">
        <f>Data!G139</f>
        <v>0</v>
      </c>
      <c r="AE139">
        <f>Data!B139</f>
        <v>0</v>
      </c>
      <c r="AF139" t="str">
        <f>Data!Q139</f>
        <v/>
      </c>
      <c r="AG139" t="str">
        <f>Data!N139</f>
        <v/>
      </c>
      <c r="AH139">
        <f>(IF($H$5="Curries/Stews",COUNTIF(Helper_Ingredient!$N$3:$N$20,AB139),IF($H$5="Salads",COUNTIF(Helper_Ingredient!$O$3:$O$20,AB139),COUNTIF(Helper_Ingredient!$P$3:$P$19,AB139)))&gt;0)+IF(AE139&gt;=30,(IF($H$5="Curries/Stews",COUNTIF(Helper_Ingredient!$N$3:$N$20,AC139),IF($H$5="Salads",COUNTIF(Helper_Ingredient!$O$3:$O$20,AC139),COUNTIF(Helper_Ingredient!$P$3:$P$19,AC139)))&gt;0),0)+IF(AE139&gt;=60,(IF($H$5="Curries/Stews",COUNTIF(Helper_Ingredient!$N$3:$N$20,AD139),IF($H$5="Salads",COUNTIF(Helper_Ingredient!$O$3:$O$20,AD139),COUNTIF(Helper_Ingredient!$P$3:$P$19,AD139)))&gt;0),0)</f>
        <v>0</v>
      </c>
      <c r="AI139">
        <f t="shared" si="8"/>
        <v>0</v>
      </c>
      <c r="AJ139">
        <f>Data!A139</f>
        <v>0</v>
      </c>
      <c r="AK139">
        <f>Data!H139</f>
        <v>0</v>
      </c>
      <c r="AL139">
        <f>Data!B139</f>
        <v>0</v>
      </c>
      <c r="AM139" t="str">
        <f>Data!R139</f>
        <v/>
      </c>
      <c r="AN139" t="str">
        <f>Data!N139</f>
        <v/>
      </c>
      <c r="AO139" t="e">
        <f t="shared" si="6"/>
        <v>#VALUE!</v>
      </c>
    </row>
    <row r="140" spans="19:41">
      <c r="S140">
        <f>Data!A140</f>
        <v>0</v>
      </c>
      <c r="T140" t="str">
        <f>Data!D140</f>
        <v/>
      </c>
      <c r="U140">
        <f>Data!B140</f>
        <v>0</v>
      </c>
      <c r="V140" t="str">
        <f>Data!P140</f>
        <v/>
      </c>
      <c r="W140" t="str">
        <f>Data!N140</f>
        <v/>
      </c>
      <c r="X140">
        <f t="shared" si="7"/>
        <v>0</v>
      </c>
      <c r="AA140">
        <f>Data!A140</f>
        <v>0</v>
      </c>
      <c r="AB140">
        <f>Data!E140</f>
        <v>0</v>
      </c>
      <c r="AC140">
        <f>Data!F140</f>
        <v>0</v>
      </c>
      <c r="AD140">
        <f>Data!G140</f>
        <v>0</v>
      </c>
      <c r="AE140">
        <f>Data!B140</f>
        <v>0</v>
      </c>
      <c r="AF140" t="str">
        <f>Data!Q140</f>
        <v/>
      </c>
      <c r="AG140" t="str">
        <f>Data!N140</f>
        <v/>
      </c>
      <c r="AH140">
        <f>(IF($H$5="Curries/Stews",COUNTIF(Helper_Ingredient!$N$3:$N$20,AB140),IF($H$5="Salads",COUNTIF(Helper_Ingredient!$O$3:$O$20,AB140),COUNTIF(Helper_Ingredient!$P$3:$P$19,AB140)))&gt;0)+IF(AE140&gt;=30,(IF($H$5="Curries/Stews",COUNTIF(Helper_Ingredient!$N$3:$N$20,AC140),IF($H$5="Salads",COUNTIF(Helper_Ingredient!$O$3:$O$20,AC140),COUNTIF(Helper_Ingredient!$P$3:$P$19,AC140)))&gt;0),0)+IF(AE140&gt;=60,(IF($H$5="Curries/Stews",COUNTIF(Helper_Ingredient!$N$3:$N$20,AD140),IF($H$5="Salads",COUNTIF(Helper_Ingredient!$O$3:$O$20,AD140),COUNTIF(Helper_Ingredient!$P$3:$P$19,AD140)))&gt;0),0)</f>
        <v>0</v>
      </c>
      <c r="AI140">
        <f t="shared" si="8"/>
        <v>0</v>
      </c>
      <c r="AJ140">
        <f>Data!A140</f>
        <v>0</v>
      </c>
      <c r="AK140">
        <f>Data!H140</f>
        <v>0</v>
      </c>
      <c r="AL140">
        <f>Data!B140</f>
        <v>0</v>
      </c>
      <c r="AM140" t="str">
        <f>Data!R140</f>
        <v/>
      </c>
      <c r="AN140" t="str">
        <f>Data!N140</f>
        <v/>
      </c>
      <c r="AO140" t="e">
        <f t="shared" si="6"/>
        <v>#VALUE!</v>
      </c>
    </row>
    <row r="141" spans="19:41">
      <c r="S141">
        <f>Data!A141</f>
        <v>0</v>
      </c>
      <c r="T141" t="str">
        <f>Data!D141</f>
        <v/>
      </c>
      <c r="U141">
        <f>Data!B141</f>
        <v>0</v>
      </c>
      <c r="V141" t="str">
        <f>Data!P141</f>
        <v/>
      </c>
      <c r="W141" t="str">
        <f>Data!N141</f>
        <v/>
      </c>
      <c r="X141">
        <f t="shared" si="7"/>
        <v>0</v>
      </c>
      <c r="AA141">
        <f>Data!A141</f>
        <v>0</v>
      </c>
      <c r="AB141">
        <f>Data!E141</f>
        <v>0</v>
      </c>
      <c r="AC141">
        <f>Data!F141</f>
        <v>0</v>
      </c>
      <c r="AD141">
        <f>Data!G141</f>
        <v>0</v>
      </c>
      <c r="AE141">
        <f>Data!B141</f>
        <v>0</v>
      </c>
      <c r="AF141" t="str">
        <f>Data!Q141</f>
        <v/>
      </c>
      <c r="AG141" t="str">
        <f>Data!N141</f>
        <v/>
      </c>
      <c r="AH141">
        <f>(IF($H$5="Curries/Stews",COUNTIF(Helper_Ingredient!$N$3:$N$20,AB141),IF($H$5="Salads",COUNTIF(Helper_Ingredient!$O$3:$O$20,AB141),COUNTIF(Helper_Ingredient!$P$3:$P$19,AB141)))&gt;0)+IF(AE141&gt;=30,(IF($H$5="Curries/Stews",COUNTIF(Helper_Ingredient!$N$3:$N$20,AC141),IF($H$5="Salads",COUNTIF(Helper_Ingredient!$O$3:$O$20,AC141),COUNTIF(Helper_Ingredient!$P$3:$P$19,AC141)))&gt;0),0)+IF(AE141&gt;=60,(IF($H$5="Curries/Stews",COUNTIF(Helper_Ingredient!$N$3:$N$20,AD141),IF($H$5="Salads",COUNTIF(Helper_Ingredient!$O$3:$O$20,AD141),COUNTIF(Helper_Ingredient!$P$3:$P$19,AD141)))&gt;0),0)</f>
        <v>0</v>
      </c>
      <c r="AI141">
        <f t="shared" si="8"/>
        <v>0</v>
      </c>
      <c r="AJ141">
        <f>Data!A141</f>
        <v>0</v>
      </c>
      <c r="AK141">
        <f>Data!H141</f>
        <v>0</v>
      </c>
      <c r="AL141">
        <f>Data!B141</f>
        <v>0</v>
      </c>
      <c r="AM141" t="str">
        <f>Data!R141</f>
        <v/>
      </c>
      <c r="AN141" t="str">
        <f>Data!N141</f>
        <v/>
      </c>
      <c r="AO141" t="e">
        <f t="shared" si="6"/>
        <v>#VALUE!</v>
      </c>
    </row>
    <row r="142" spans="19:41">
      <c r="S142">
        <f>Data!A142</f>
        <v>0</v>
      </c>
      <c r="T142" t="str">
        <f>Data!D142</f>
        <v/>
      </c>
      <c r="U142">
        <f>Data!B142</f>
        <v>0</v>
      </c>
      <c r="V142" t="str">
        <f>Data!P142</f>
        <v/>
      </c>
      <c r="W142" t="str">
        <f>Data!N142</f>
        <v/>
      </c>
      <c r="X142">
        <f t="shared" si="7"/>
        <v>0</v>
      </c>
      <c r="AA142">
        <f>Data!A142</f>
        <v>0</v>
      </c>
      <c r="AB142">
        <f>Data!E142</f>
        <v>0</v>
      </c>
      <c r="AC142">
        <f>Data!F142</f>
        <v>0</v>
      </c>
      <c r="AD142">
        <f>Data!G142</f>
        <v>0</v>
      </c>
      <c r="AE142">
        <f>Data!B142</f>
        <v>0</v>
      </c>
      <c r="AF142" t="str">
        <f>Data!Q142</f>
        <v/>
      </c>
      <c r="AG142" t="str">
        <f>Data!N142</f>
        <v/>
      </c>
      <c r="AH142">
        <f>(IF($H$5="Curries/Stews",COUNTIF(Helper_Ingredient!$N$3:$N$20,AB142),IF($H$5="Salads",COUNTIF(Helper_Ingredient!$O$3:$O$20,AB142),COUNTIF(Helper_Ingredient!$P$3:$P$19,AB142)))&gt;0)+IF(AE142&gt;=30,(IF($H$5="Curries/Stews",COUNTIF(Helper_Ingredient!$N$3:$N$20,AC142),IF($H$5="Salads",COUNTIF(Helper_Ingredient!$O$3:$O$20,AC142),COUNTIF(Helper_Ingredient!$P$3:$P$19,AC142)))&gt;0),0)+IF(AE142&gt;=60,(IF($H$5="Curries/Stews",COUNTIF(Helper_Ingredient!$N$3:$N$20,AD142),IF($H$5="Salads",COUNTIF(Helper_Ingredient!$O$3:$O$20,AD142),COUNTIF(Helper_Ingredient!$P$3:$P$19,AD142)))&gt;0),0)</f>
        <v>0</v>
      </c>
      <c r="AI142">
        <f t="shared" si="8"/>
        <v>0</v>
      </c>
      <c r="AJ142">
        <f>Data!A142</f>
        <v>0</v>
      </c>
      <c r="AK142">
        <f>Data!H142</f>
        <v>0</v>
      </c>
      <c r="AL142">
        <f>Data!B142</f>
        <v>0</v>
      </c>
      <c r="AM142" t="str">
        <f>Data!R142</f>
        <v/>
      </c>
      <c r="AN142" t="str">
        <f>Data!N142</f>
        <v/>
      </c>
      <c r="AO142" t="e">
        <f t="shared" si="6"/>
        <v>#VALUE!</v>
      </c>
    </row>
    <row r="143" spans="19:41">
      <c r="S143">
        <f>Data!A143</f>
        <v>0</v>
      </c>
      <c r="T143" t="str">
        <f>Data!D143</f>
        <v/>
      </c>
      <c r="U143">
        <f>Data!B143</f>
        <v>0</v>
      </c>
      <c r="V143" t="str">
        <f>Data!P143</f>
        <v/>
      </c>
      <c r="W143" t="str">
        <f>Data!N143</f>
        <v/>
      </c>
      <c r="X143">
        <f t="shared" si="7"/>
        <v>0</v>
      </c>
      <c r="AA143">
        <f>Data!A143</f>
        <v>0</v>
      </c>
      <c r="AB143">
        <f>Data!E143</f>
        <v>0</v>
      </c>
      <c r="AC143">
        <f>Data!F143</f>
        <v>0</v>
      </c>
      <c r="AD143">
        <f>Data!G143</f>
        <v>0</v>
      </c>
      <c r="AE143">
        <f>Data!B143</f>
        <v>0</v>
      </c>
      <c r="AF143" t="str">
        <f>Data!Q143</f>
        <v/>
      </c>
      <c r="AG143" t="str">
        <f>Data!N143</f>
        <v/>
      </c>
      <c r="AH143">
        <f>(IF($H$5="Curries/Stews",COUNTIF(Helper_Ingredient!$N$3:$N$20,AB143),IF($H$5="Salads",COUNTIF(Helper_Ingredient!$O$3:$O$20,AB143),COUNTIF(Helper_Ingredient!$P$3:$P$19,AB143)))&gt;0)+IF(AE143&gt;=30,(IF($H$5="Curries/Stews",COUNTIF(Helper_Ingredient!$N$3:$N$20,AC143),IF($H$5="Salads",COUNTIF(Helper_Ingredient!$O$3:$O$20,AC143),COUNTIF(Helper_Ingredient!$P$3:$P$19,AC143)))&gt;0),0)+IF(AE143&gt;=60,(IF($H$5="Curries/Stews",COUNTIF(Helper_Ingredient!$N$3:$N$20,AD143),IF($H$5="Salads",COUNTIF(Helper_Ingredient!$O$3:$O$20,AD143),COUNTIF(Helper_Ingredient!$P$3:$P$19,AD143)))&gt;0),0)</f>
        <v>0</v>
      </c>
      <c r="AI143">
        <f t="shared" si="8"/>
        <v>0</v>
      </c>
      <c r="AJ143">
        <f>Data!A143</f>
        <v>0</v>
      </c>
      <c r="AK143">
        <f>Data!H143</f>
        <v>0</v>
      </c>
      <c r="AL143">
        <f>Data!B143</f>
        <v>0</v>
      </c>
      <c r="AM143" t="str">
        <f>Data!R143</f>
        <v/>
      </c>
      <c r="AN143" t="str">
        <f>Data!N143</f>
        <v/>
      </c>
      <c r="AO143" t="e">
        <f t="shared" si="6"/>
        <v>#VALUE!</v>
      </c>
    </row>
    <row r="144" spans="19:41">
      <c r="S144">
        <f>Data!A144</f>
        <v>0</v>
      </c>
      <c r="T144" t="str">
        <f>Data!D144</f>
        <v/>
      </c>
      <c r="U144">
        <f>Data!B144</f>
        <v>0</v>
      </c>
      <c r="V144" t="str">
        <f>Data!P144</f>
        <v/>
      </c>
      <c r="W144" t="str">
        <f>Data!N144</f>
        <v/>
      </c>
      <c r="X144">
        <f t="shared" si="7"/>
        <v>0</v>
      </c>
      <c r="AA144">
        <f>Data!A144</f>
        <v>0</v>
      </c>
      <c r="AB144">
        <f>Data!E144</f>
        <v>0</v>
      </c>
      <c r="AC144">
        <f>Data!F144</f>
        <v>0</v>
      </c>
      <c r="AD144">
        <f>Data!G144</f>
        <v>0</v>
      </c>
      <c r="AE144">
        <f>Data!B144</f>
        <v>0</v>
      </c>
      <c r="AF144" t="str">
        <f>Data!Q144</f>
        <v/>
      </c>
      <c r="AG144" t="str">
        <f>Data!N144</f>
        <v/>
      </c>
      <c r="AH144">
        <f>(IF($H$5="Curries/Stews",COUNTIF(Helper_Ingredient!$N$3:$N$20,AB144),IF($H$5="Salads",COUNTIF(Helper_Ingredient!$O$3:$O$20,AB144),COUNTIF(Helper_Ingredient!$P$3:$P$19,AB144)))&gt;0)+IF(AE144&gt;=30,(IF($H$5="Curries/Stews",COUNTIF(Helper_Ingredient!$N$3:$N$20,AC144),IF($H$5="Salads",COUNTIF(Helper_Ingredient!$O$3:$O$20,AC144),COUNTIF(Helper_Ingredient!$P$3:$P$19,AC144)))&gt;0),0)+IF(AE144&gt;=60,(IF($H$5="Curries/Stews",COUNTIF(Helper_Ingredient!$N$3:$N$20,AD144),IF($H$5="Salads",COUNTIF(Helper_Ingredient!$O$3:$O$20,AD144),COUNTIF(Helper_Ingredient!$P$3:$P$19,AD144)))&gt;0),0)</f>
        <v>0</v>
      </c>
      <c r="AI144">
        <f t="shared" si="8"/>
        <v>0</v>
      </c>
      <c r="AJ144">
        <f>Data!A144</f>
        <v>0</v>
      </c>
      <c r="AK144">
        <f>Data!H144</f>
        <v>0</v>
      </c>
      <c r="AL144">
        <f>Data!B144</f>
        <v>0</v>
      </c>
      <c r="AM144" t="str">
        <f>Data!R144</f>
        <v/>
      </c>
      <c r="AN144" t="str">
        <f>Data!N144</f>
        <v/>
      </c>
      <c r="AO144" t="e">
        <f t="shared" si="6"/>
        <v>#VALUE!</v>
      </c>
    </row>
    <row r="145" spans="19:41">
      <c r="S145">
        <f>Data!A145</f>
        <v>0</v>
      </c>
      <c r="T145" t="str">
        <f>Data!D145</f>
        <v/>
      </c>
      <c r="U145">
        <f>Data!B145</f>
        <v>0</v>
      </c>
      <c r="V145" t="str">
        <f>Data!P145</f>
        <v/>
      </c>
      <c r="W145" t="str">
        <f>Data!N145</f>
        <v/>
      </c>
      <c r="X145">
        <f t="shared" si="7"/>
        <v>0</v>
      </c>
      <c r="AA145">
        <f>Data!A145</f>
        <v>0</v>
      </c>
      <c r="AB145">
        <f>Data!E145</f>
        <v>0</v>
      </c>
      <c r="AC145">
        <f>Data!F145</f>
        <v>0</v>
      </c>
      <c r="AD145">
        <f>Data!G145</f>
        <v>0</v>
      </c>
      <c r="AE145">
        <f>Data!B145</f>
        <v>0</v>
      </c>
      <c r="AF145" t="str">
        <f>Data!Q145</f>
        <v/>
      </c>
      <c r="AG145" t="str">
        <f>Data!N145</f>
        <v/>
      </c>
      <c r="AH145">
        <f>(IF($H$5="Curries/Stews",COUNTIF(Helper_Ingredient!$N$3:$N$20,AB145),IF($H$5="Salads",COUNTIF(Helper_Ingredient!$O$3:$O$20,AB145),COUNTIF(Helper_Ingredient!$P$3:$P$19,AB145)))&gt;0)+IF(AE145&gt;=30,(IF($H$5="Curries/Stews",COUNTIF(Helper_Ingredient!$N$3:$N$20,AC145),IF($H$5="Salads",COUNTIF(Helper_Ingredient!$O$3:$O$20,AC145),COUNTIF(Helper_Ingredient!$P$3:$P$19,AC145)))&gt;0),0)+IF(AE145&gt;=60,(IF($H$5="Curries/Stews",COUNTIF(Helper_Ingredient!$N$3:$N$20,AD145),IF($H$5="Salads",COUNTIF(Helper_Ingredient!$O$3:$O$20,AD145),COUNTIF(Helper_Ingredient!$P$3:$P$19,AD145)))&gt;0),0)</f>
        <v>0</v>
      </c>
      <c r="AI145">
        <f t="shared" si="8"/>
        <v>0</v>
      </c>
      <c r="AJ145">
        <f>Data!A145</f>
        <v>0</v>
      </c>
      <c r="AK145">
        <f>Data!H145</f>
        <v>0</v>
      </c>
      <c r="AL145">
        <f>Data!B145</f>
        <v>0</v>
      </c>
      <c r="AM145" t="str">
        <f>Data!R145</f>
        <v/>
      </c>
      <c r="AN145" t="str">
        <f>Data!N145</f>
        <v/>
      </c>
      <c r="AO145" t="e">
        <f t="shared" si="6"/>
        <v>#VALUE!</v>
      </c>
    </row>
    <row r="146" spans="19:41">
      <c r="S146">
        <f>Data!A146</f>
        <v>0</v>
      </c>
      <c r="T146" t="str">
        <f>Data!D146</f>
        <v/>
      </c>
      <c r="U146">
        <f>Data!B146</f>
        <v>0</v>
      </c>
      <c r="V146" t="str">
        <f>Data!P146</f>
        <v/>
      </c>
      <c r="W146" t="str">
        <f>Data!N146</f>
        <v/>
      </c>
      <c r="X146">
        <f t="shared" si="7"/>
        <v>0</v>
      </c>
      <c r="AA146">
        <f>Data!A146</f>
        <v>0</v>
      </c>
      <c r="AB146">
        <f>Data!E146</f>
        <v>0</v>
      </c>
      <c r="AC146">
        <f>Data!F146</f>
        <v>0</v>
      </c>
      <c r="AD146">
        <f>Data!G146</f>
        <v>0</v>
      </c>
      <c r="AE146">
        <f>Data!B146</f>
        <v>0</v>
      </c>
      <c r="AF146" t="str">
        <f>Data!Q146</f>
        <v/>
      </c>
      <c r="AG146" t="str">
        <f>Data!N146</f>
        <v/>
      </c>
      <c r="AH146">
        <f>(IF($H$5="Curries/Stews",COUNTIF(Helper_Ingredient!$N$3:$N$20,AB146),IF($H$5="Salads",COUNTIF(Helper_Ingredient!$O$3:$O$20,AB146),COUNTIF(Helper_Ingredient!$P$3:$P$19,AB146)))&gt;0)+IF(AE146&gt;=30,(IF($H$5="Curries/Stews",COUNTIF(Helper_Ingredient!$N$3:$N$20,AC146),IF($H$5="Salads",COUNTIF(Helper_Ingredient!$O$3:$O$20,AC146),COUNTIF(Helper_Ingredient!$P$3:$P$19,AC146)))&gt;0),0)+IF(AE146&gt;=60,(IF($H$5="Curries/Stews",COUNTIF(Helper_Ingredient!$N$3:$N$20,AD146),IF($H$5="Salads",COUNTIF(Helper_Ingredient!$O$3:$O$20,AD146),COUNTIF(Helper_Ingredient!$P$3:$P$19,AD146)))&gt;0),0)</f>
        <v>0</v>
      </c>
      <c r="AI146">
        <f t="shared" si="8"/>
        <v>0</v>
      </c>
      <c r="AJ146">
        <f>Data!A146</f>
        <v>0</v>
      </c>
      <c r="AK146">
        <f>Data!H146</f>
        <v>0</v>
      </c>
      <c r="AL146">
        <f>Data!B146</f>
        <v>0</v>
      </c>
      <c r="AM146" t="str">
        <f>Data!R146</f>
        <v/>
      </c>
      <c r="AN146" t="str">
        <f>Data!N146</f>
        <v/>
      </c>
      <c r="AO146" t="e">
        <f t="shared" si="6"/>
        <v>#VALUE!</v>
      </c>
    </row>
    <row r="147" spans="19:41">
      <c r="S147">
        <f>Data!A147</f>
        <v>0</v>
      </c>
      <c r="T147" t="str">
        <f>Data!D147</f>
        <v/>
      </c>
      <c r="U147">
        <f>Data!B147</f>
        <v>0</v>
      </c>
      <c r="V147" t="str">
        <f>Data!P147</f>
        <v/>
      </c>
      <c r="W147" t="str">
        <f>Data!N147</f>
        <v/>
      </c>
      <c r="X147">
        <f t="shared" si="7"/>
        <v>0</v>
      </c>
      <c r="AA147">
        <f>Data!A147</f>
        <v>0</v>
      </c>
      <c r="AB147">
        <f>Data!E147</f>
        <v>0</v>
      </c>
      <c r="AC147">
        <f>Data!F147</f>
        <v>0</v>
      </c>
      <c r="AD147">
        <f>Data!G147</f>
        <v>0</v>
      </c>
      <c r="AE147">
        <f>Data!B147</f>
        <v>0</v>
      </c>
      <c r="AF147" t="str">
        <f>Data!Q147</f>
        <v/>
      </c>
      <c r="AG147" t="str">
        <f>Data!N147</f>
        <v/>
      </c>
      <c r="AH147">
        <f>(IF($H$5="Curries/Stews",COUNTIF(Helper_Ingredient!$N$3:$N$20,AB147),IF($H$5="Salads",COUNTIF(Helper_Ingredient!$O$3:$O$20,AB147),COUNTIF(Helper_Ingredient!$P$3:$P$19,AB147)))&gt;0)+IF(AE147&gt;=30,(IF($H$5="Curries/Stews",COUNTIF(Helper_Ingredient!$N$3:$N$20,AC147),IF($H$5="Salads",COUNTIF(Helper_Ingredient!$O$3:$O$20,AC147),COUNTIF(Helper_Ingredient!$P$3:$P$19,AC147)))&gt;0),0)+IF(AE147&gt;=60,(IF($H$5="Curries/Stews",COUNTIF(Helper_Ingredient!$N$3:$N$20,AD147),IF($H$5="Salads",COUNTIF(Helper_Ingredient!$O$3:$O$20,AD147),COUNTIF(Helper_Ingredient!$P$3:$P$19,AD147)))&gt;0),0)</f>
        <v>0</v>
      </c>
      <c r="AI147">
        <f t="shared" si="8"/>
        <v>0</v>
      </c>
      <c r="AJ147">
        <f>Data!A147</f>
        <v>0</v>
      </c>
      <c r="AK147">
        <f>Data!H147</f>
        <v>0</v>
      </c>
      <c r="AL147">
        <f>Data!B147</f>
        <v>0</v>
      </c>
      <c r="AM147" t="str">
        <f>Data!R147</f>
        <v/>
      </c>
      <c r="AN147" t="str">
        <f>Data!N147</f>
        <v/>
      </c>
      <c r="AO147" t="e">
        <f t="shared" si="6"/>
        <v>#VALUE!</v>
      </c>
    </row>
    <row r="148" spans="19:41">
      <c r="S148">
        <f>Data!A148</f>
        <v>0</v>
      </c>
      <c r="T148" t="str">
        <f>Data!D148</f>
        <v/>
      </c>
      <c r="U148">
        <f>Data!B148</f>
        <v>0</v>
      </c>
      <c r="V148" t="str">
        <f>Data!P148</f>
        <v/>
      </c>
      <c r="W148" t="str">
        <f>Data!N148</f>
        <v/>
      </c>
      <c r="X148">
        <f t="shared" si="7"/>
        <v>0</v>
      </c>
      <c r="AA148">
        <f>Data!A148</f>
        <v>0</v>
      </c>
      <c r="AB148">
        <f>Data!E148</f>
        <v>0</v>
      </c>
      <c r="AC148">
        <f>Data!F148</f>
        <v>0</v>
      </c>
      <c r="AD148">
        <f>Data!G148</f>
        <v>0</v>
      </c>
      <c r="AE148">
        <f>Data!B148</f>
        <v>0</v>
      </c>
      <c r="AF148" t="str">
        <f>Data!Q148</f>
        <v/>
      </c>
      <c r="AG148" t="str">
        <f>Data!N148</f>
        <v/>
      </c>
      <c r="AH148">
        <f>(IF($H$5="Curries/Stews",COUNTIF(Helper_Ingredient!$N$3:$N$20,AB148),IF($H$5="Salads",COUNTIF(Helper_Ingredient!$O$3:$O$20,AB148),COUNTIF(Helper_Ingredient!$P$3:$P$19,AB148)))&gt;0)+IF(AE148&gt;=30,(IF($H$5="Curries/Stews",COUNTIF(Helper_Ingredient!$N$3:$N$20,AC148),IF($H$5="Salads",COUNTIF(Helper_Ingredient!$O$3:$O$20,AC148),COUNTIF(Helper_Ingredient!$P$3:$P$19,AC148)))&gt;0),0)+IF(AE148&gt;=60,(IF($H$5="Curries/Stews",COUNTIF(Helper_Ingredient!$N$3:$N$20,AD148),IF($H$5="Salads",COUNTIF(Helper_Ingredient!$O$3:$O$20,AD148),COUNTIF(Helper_Ingredient!$P$3:$P$19,AD148)))&gt;0),0)</f>
        <v>0</v>
      </c>
      <c r="AI148">
        <f t="shared" si="8"/>
        <v>0</v>
      </c>
      <c r="AJ148">
        <f>Data!A148</f>
        <v>0</v>
      </c>
      <c r="AK148">
        <f>Data!H148</f>
        <v>0</v>
      </c>
      <c r="AL148">
        <f>Data!B148</f>
        <v>0</v>
      </c>
      <c r="AM148" t="str">
        <f>Data!R148</f>
        <v/>
      </c>
      <c r="AN148" t="str">
        <f>Data!N148</f>
        <v/>
      </c>
      <c r="AO148" t="e">
        <f t="shared" si="6"/>
        <v>#VALUE!</v>
      </c>
    </row>
    <row r="149" spans="19:41">
      <c r="S149">
        <f>Data!A149</f>
        <v>0</v>
      </c>
      <c r="T149" t="str">
        <f>Data!D149</f>
        <v/>
      </c>
      <c r="U149">
        <f>Data!B149</f>
        <v>0</v>
      </c>
      <c r="V149" t="str">
        <f>Data!P149</f>
        <v/>
      </c>
      <c r="W149" t="str">
        <f>Data!N149</f>
        <v/>
      </c>
      <c r="X149">
        <f t="shared" si="7"/>
        <v>0</v>
      </c>
      <c r="AA149">
        <f>Data!A149</f>
        <v>0</v>
      </c>
      <c r="AB149">
        <f>Data!E149</f>
        <v>0</v>
      </c>
      <c r="AC149">
        <f>Data!F149</f>
        <v>0</v>
      </c>
      <c r="AD149">
        <f>Data!G149</f>
        <v>0</v>
      </c>
      <c r="AE149">
        <f>Data!B149</f>
        <v>0</v>
      </c>
      <c r="AF149" t="str">
        <f>Data!Q149</f>
        <v/>
      </c>
      <c r="AG149" t="str">
        <f>Data!N149</f>
        <v/>
      </c>
      <c r="AH149">
        <f>(IF($H$5="Curries/Stews",COUNTIF(Helper_Ingredient!$N$3:$N$20,AB149),IF($H$5="Salads",COUNTIF(Helper_Ingredient!$O$3:$O$20,AB149),COUNTIF(Helper_Ingredient!$P$3:$P$19,AB149)))&gt;0)+IF(AE149&gt;=30,(IF($H$5="Curries/Stews",COUNTIF(Helper_Ingredient!$N$3:$N$20,AC149),IF($H$5="Salads",COUNTIF(Helper_Ingredient!$O$3:$O$20,AC149),COUNTIF(Helper_Ingredient!$P$3:$P$19,AC149)))&gt;0),0)+IF(AE149&gt;=60,(IF($H$5="Curries/Stews",COUNTIF(Helper_Ingredient!$N$3:$N$20,AD149),IF($H$5="Salads",COUNTIF(Helper_Ingredient!$O$3:$O$20,AD149),COUNTIF(Helper_Ingredient!$P$3:$P$19,AD149)))&gt;0),0)</f>
        <v>0</v>
      </c>
      <c r="AI149">
        <f t="shared" si="8"/>
        <v>0</v>
      </c>
      <c r="AJ149">
        <f>Data!A149</f>
        <v>0</v>
      </c>
      <c r="AK149">
        <f>Data!H149</f>
        <v>0</v>
      </c>
      <c r="AL149">
        <f>Data!B149</f>
        <v>0</v>
      </c>
      <c r="AM149" t="str">
        <f>Data!R149</f>
        <v/>
      </c>
      <c r="AN149" t="str">
        <f>Data!N149</f>
        <v/>
      </c>
      <c r="AO149" t="e">
        <f t="shared" si="6"/>
        <v>#VALUE!</v>
      </c>
    </row>
    <row r="150" spans="19:41">
      <c r="S150">
        <f>Data!A150</f>
        <v>0</v>
      </c>
      <c r="T150" t="str">
        <f>Data!D150</f>
        <v/>
      </c>
      <c r="U150">
        <f>Data!B150</f>
        <v>0</v>
      </c>
      <c r="V150" t="str">
        <f>Data!P150</f>
        <v/>
      </c>
      <c r="W150" t="str">
        <f>Data!N150</f>
        <v/>
      </c>
      <c r="X150">
        <f t="shared" si="7"/>
        <v>0</v>
      </c>
      <c r="AA150">
        <f>Data!A150</f>
        <v>0</v>
      </c>
      <c r="AB150">
        <f>Data!E150</f>
        <v>0</v>
      </c>
      <c r="AC150">
        <f>Data!F150</f>
        <v>0</v>
      </c>
      <c r="AD150">
        <f>Data!G150</f>
        <v>0</v>
      </c>
      <c r="AE150">
        <f>Data!B150</f>
        <v>0</v>
      </c>
      <c r="AF150" t="str">
        <f>Data!Q150</f>
        <v/>
      </c>
      <c r="AG150" t="str">
        <f>Data!N150</f>
        <v/>
      </c>
      <c r="AH150">
        <f>(IF($H$5="Curries/Stews",COUNTIF(Helper_Ingredient!$N$3:$N$20,AB150),IF($H$5="Salads",COUNTIF(Helper_Ingredient!$O$3:$O$20,AB150),COUNTIF(Helper_Ingredient!$P$3:$P$19,AB150)))&gt;0)+IF(AE150&gt;=30,(IF($H$5="Curries/Stews",COUNTIF(Helper_Ingredient!$N$3:$N$20,AC150),IF($H$5="Salads",COUNTIF(Helper_Ingredient!$O$3:$O$20,AC150),COUNTIF(Helper_Ingredient!$P$3:$P$19,AC150)))&gt;0),0)+IF(AE150&gt;=60,(IF($H$5="Curries/Stews",COUNTIF(Helper_Ingredient!$N$3:$N$20,AD150),IF($H$5="Salads",COUNTIF(Helper_Ingredient!$O$3:$O$20,AD150),COUNTIF(Helper_Ingredient!$P$3:$P$19,AD150)))&gt;0),0)</f>
        <v>0</v>
      </c>
      <c r="AI150">
        <f t="shared" si="8"/>
        <v>0</v>
      </c>
      <c r="AJ150">
        <f>Data!A150</f>
        <v>0</v>
      </c>
      <c r="AK150">
        <f>Data!H150</f>
        <v>0</v>
      </c>
      <c r="AL150">
        <f>Data!B150</f>
        <v>0</v>
      </c>
      <c r="AM150" t="str">
        <f>Data!R150</f>
        <v/>
      </c>
      <c r="AN150" t="str">
        <f>Data!N150</f>
        <v/>
      </c>
      <c r="AO150" t="e">
        <f t="shared" si="6"/>
        <v>#VALUE!</v>
      </c>
    </row>
    <row r="151" spans="19:41">
      <c r="S151">
        <f>Data!A151</f>
        <v>0</v>
      </c>
      <c r="T151" t="str">
        <f>Data!D151</f>
        <v/>
      </c>
      <c r="U151">
        <f>Data!B151</f>
        <v>0</v>
      </c>
      <c r="V151" t="str">
        <f>Data!P151</f>
        <v/>
      </c>
      <c r="W151" t="str">
        <f>Data!N151</f>
        <v/>
      </c>
      <c r="X151">
        <f t="shared" si="7"/>
        <v>0</v>
      </c>
      <c r="AA151">
        <f>Data!A151</f>
        <v>0</v>
      </c>
      <c r="AB151">
        <f>Data!E151</f>
        <v>0</v>
      </c>
      <c r="AC151">
        <f>Data!F151</f>
        <v>0</v>
      </c>
      <c r="AD151">
        <f>Data!G151</f>
        <v>0</v>
      </c>
      <c r="AE151">
        <f>Data!B151</f>
        <v>0</v>
      </c>
      <c r="AF151" t="str">
        <f>Data!Q151</f>
        <v/>
      </c>
      <c r="AG151" t="str">
        <f>Data!N151</f>
        <v/>
      </c>
      <c r="AH151">
        <f>(IF($H$5="Curries/Stews",COUNTIF(Helper_Ingredient!$N$3:$N$20,AB151),IF($H$5="Salads",COUNTIF(Helper_Ingredient!$O$3:$O$20,AB151),COUNTIF(Helper_Ingredient!$P$3:$P$19,AB151)))&gt;0)+IF(AE151&gt;=30,(IF($H$5="Curries/Stews",COUNTIF(Helper_Ingredient!$N$3:$N$20,AC151),IF($H$5="Salads",COUNTIF(Helper_Ingredient!$O$3:$O$20,AC151),COUNTIF(Helper_Ingredient!$P$3:$P$19,AC151)))&gt;0),0)+IF(AE151&gt;=60,(IF($H$5="Curries/Stews",COUNTIF(Helper_Ingredient!$N$3:$N$20,AD151),IF($H$5="Salads",COUNTIF(Helper_Ingredient!$O$3:$O$20,AD151),COUNTIF(Helper_Ingredient!$P$3:$P$19,AD151)))&gt;0),0)</f>
        <v>0</v>
      </c>
      <c r="AI151">
        <f t="shared" si="8"/>
        <v>0</v>
      </c>
      <c r="AJ151">
        <f>Data!A151</f>
        <v>0</v>
      </c>
      <c r="AK151">
        <f>Data!H151</f>
        <v>0</v>
      </c>
      <c r="AL151">
        <f>Data!B151</f>
        <v>0</v>
      </c>
      <c r="AM151" t="str">
        <f>Data!R151</f>
        <v/>
      </c>
      <c r="AN151" t="str">
        <f>Data!N151</f>
        <v/>
      </c>
      <c r="AO151" t="e">
        <f t="shared" si="6"/>
        <v>#VALUE!</v>
      </c>
    </row>
    <row r="152" spans="19:41">
      <c r="S152">
        <f>Data!A152</f>
        <v>0</v>
      </c>
      <c r="T152" t="str">
        <f>Data!D152</f>
        <v/>
      </c>
      <c r="U152">
        <f>Data!B152</f>
        <v>0</v>
      </c>
      <c r="V152" t="str">
        <f>Data!P152</f>
        <v/>
      </c>
      <c r="W152" t="str">
        <f>Data!N152</f>
        <v/>
      </c>
      <c r="X152">
        <f t="shared" si="7"/>
        <v>0</v>
      </c>
      <c r="AA152">
        <f>Data!A152</f>
        <v>0</v>
      </c>
      <c r="AB152">
        <f>Data!E152</f>
        <v>0</v>
      </c>
      <c r="AC152">
        <f>Data!F152</f>
        <v>0</v>
      </c>
      <c r="AD152">
        <f>Data!G152</f>
        <v>0</v>
      </c>
      <c r="AE152">
        <f>Data!B152</f>
        <v>0</v>
      </c>
      <c r="AF152" t="str">
        <f>Data!Q152</f>
        <v/>
      </c>
      <c r="AG152" t="str">
        <f>Data!N152</f>
        <v/>
      </c>
      <c r="AH152">
        <f>(IF($H$5="Curries/Stews",COUNTIF(Helper_Ingredient!$N$3:$N$20,AB152),IF($H$5="Salads",COUNTIF(Helper_Ingredient!$O$3:$O$20,AB152),COUNTIF(Helper_Ingredient!$P$3:$P$19,AB152)))&gt;0)+IF(AE152&gt;=30,(IF($H$5="Curries/Stews",COUNTIF(Helper_Ingredient!$N$3:$N$20,AC152),IF($H$5="Salads",COUNTIF(Helper_Ingredient!$O$3:$O$20,AC152),COUNTIF(Helper_Ingredient!$P$3:$P$19,AC152)))&gt;0),0)+IF(AE152&gt;=60,(IF($H$5="Curries/Stews",COUNTIF(Helper_Ingredient!$N$3:$N$20,AD152),IF($H$5="Salads",COUNTIF(Helper_Ingredient!$O$3:$O$20,AD152),COUNTIF(Helper_Ingredient!$P$3:$P$19,AD152)))&gt;0),0)</f>
        <v>0</v>
      </c>
      <c r="AI152">
        <f t="shared" si="8"/>
        <v>0</v>
      </c>
      <c r="AJ152">
        <f>Data!A152</f>
        <v>0</v>
      </c>
      <c r="AK152">
        <f>Data!H152</f>
        <v>0</v>
      </c>
      <c r="AL152">
        <f>Data!B152</f>
        <v>0</v>
      </c>
      <c r="AM152" t="str">
        <f>Data!R152</f>
        <v/>
      </c>
      <c r="AN152" t="str">
        <f>Data!N152</f>
        <v/>
      </c>
      <c r="AO152" t="e">
        <f t="shared" si="6"/>
        <v>#VALUE!</v>
      </c>
    </row>
    <row r="153" spans="19:41">
      <c r="S153">
        <f>Data!A153</f>
        <v>0</v>
      </c>
      <c r="T153" t="str">
        <f>Data!D153</f>
        <v/>
      </c>
      <c r="U153">
        <f>Data!B153</f>
        <v>0</v>
      </c>
      <c r="V153" t="str">
        <f>Data!P153</f>
        <v/>
      </c>
      <c r="W153" t="str">
        <f>Data!N153</f>
        <v/>
      </c>
      <c r="X153">
        <f t="shared" si="7"/>
        <v>0</v>
      </c>
      <c r="AA153">
        <f>Data!A153</f>
        <v>0</v>
      </c>
      <c r="AB153">
        <f>Data!E153</f>
        <v>0</v>
      </c>
      <c r="AC153">
        <f>Data!F153</f>
        <v>0</v>
      </c>
      <c r="AD153">
        <f>Data!G153</f>
        <v>0</v>
      </c>
      <c r="AE153">
        <f>Data!B153</f>
        <v>0</v>
      </c>
      <c r="AF153" t="str">
        <f>Data!Q153</f>
        <v/>
      </c>
      <c r="AG153" t="str">
        <f>Data!N153</f>
        <v/>
      </c>
      <c r="AH153">
        <f>(IF($H$5="Curries/Stews",COUNTIF(Helper_Ingredient!$N$3:$N$20,AB153),IF($H$5="Salads",COUNTIF(Helper_Ingredient!$O$3:$O$20,AB153),COUNTIF(Helper_Ingredient!$P$3:$P$19,AB153)))&gt;0)+IF(AE153&gt;=30,(IF($H$5="Curries/Stews",COUNTIF(Helper_Ingredient!$N$3:$N$20,AC153),IF($H$5="Salads",COUNTIF(Helper_Ingredient!$O$3:$O$20,AC153),COUNTIF(Helper_Ingredient!$P$3:$P$19,AC153)))&gt;0),0)+IF(AE153&gt;=60,(IF($H$5="Curries/Stews",COUNTIF(Helper_Ingredient!$N$3:$N$20,AD153),IF($H$5="Salads",COUNTIF(Helper_Ingredient!$O$3:$O$20,AD153),COUNTIF(Helper_Ingredient!$P$3:$P$19,AD153)))&gt;0),0)</f>
        <v>0</v>
      </c>
      <c r="AI153">
        <f t="shared" si="8"/>
        <v>0</v>
      </c>
      <c r="AJ153">
        <f>Data!A153</f>
        <v>0</v>
      </c>
      <c r="AK153">
        <f>Data!H153</f>
        <v>0</v>
      </c>
      <c r="AL153">
        <f>Data!B153</f>
        <v>0</v>
      </c>
      <c r="AM153" t="str">
        <f>Data!R153</f>
        <v/>
      </c>
      <c r="AN153" t="str">
        <f>Data!N153</f>
        <v/>
      </c>
      <c r="AO153" t="e">
        <f t="shared" si="6"/>
        <v>#VALUE!</v>
      </c>
    </row>
    <row r="154" spans="19:41">
      <c r="S154">
        <f>Data!A154</f>
        <v>0</v>
      </c>
      <c r="T154" t="str">
        <f>Data!D154</f>
        <v/>
      </c>
      <c r="U154">
        <f>Data!B154</f>
        <v>0</v>
      </c>
      <c r="V154" t="str">
        <f>Data!P154</f>
        <v/>
      </c>
      <c r="W154" t="str">
        <f>Data!N154</f>
        <v/>
      </c>
      <c r="X154">
        <f t="shared" si="7"/>
        <v>0</v>
      </c>
      <c r="AA154">
        <f>Data!A154</f>
        <v>0</v>
      </c>
      <c r="AB154">
        <f>Data!E154</f>
        <v>0</v>
      </c>
      <c r="AC154">
        <f>Data!F154</f>
        <v>0</v>
      </c>
      <c r="AD154">
        <f>Data!G154</f>
        <v>0</v>
      </c>
      <c r="AE154">
        <f>Data!B154</f>
        <v>0</v>
      </c>
      <c r="AF154" t="str">
        <f>Data!Q154</f>
        <v/>
      </c>
      <c r="AG154" t="str">
        <f>Data!N154</f>
        <v/>
      </c>
      <c r="AH154">
        <f>(IF($H$5="Curries/Stews",COUNTIF(Helper_Ingredient!$N$3:$N$20,AB154),IF($H$5="Salads",COUNTIF(Helper_Ingredient!$O$3:$O$20,AB154),COUNTIF(Helper_Ingredient!$P$3:$P$19,AB154)))&gt;0)+IF(AE154&gt;=30,(IF($H$5="Curries/Stews",COUNTIF(Helper_Ingredient!$N$3:$N$20,AC154),IF($H$5="Salads",COUNTIF(Helper_Ingredient!$O$3:$O$20,AC154),COUNTIF(Helper_Ingredient!$P$3:$P$19,AC154)))&gt;0),0)+IF(AE154&gt;=60,(IF($H$5="Curries/Stews",COUNTIF(Helper_Ingredient!$N$3:$N$20,AD154),IF($H$5="Salads",COUNTIF(Helper_Ingredient!$O$3:$O$20,AD154),COUNTIF(Helper_Ingredient!$P$3:$P$19,AD154)))&gt;0),0)</f>
        <v>0</v>
      </c>
      <c r="AI154">
        <f t="shared" si="8"/>
        <v>0</v>
      </c>
      <c r="AJ154">
        <f>Data!A154</f>
        <v>0</v>
      </c>
      <c r="AK154">
        <f>Data!H154</f>
        <v>0</v>
      </c>
      <c r="AL154">
        <f>Data!B154</f>
        <v>0</v>
      </c>
      <c r="AM154" t="str">
        <f>Data!R154</f>
        <v/>
      </c>
      <c r="AN154" t="str">
        <f>Data!N154</f>
        <v/>
      </c>
      <c r="AO154" t="e">
        <f t="shared" si="6"/>
        <v>#VALUE!</v>
      </c>
    </row>
    <row r="155" spans="19:41">
      <c r="S155">
        <f>Data!A155</f>
        <v>0</v>
      </c>
      <c r="T155" t="str">
        <f>Data!D155</f>
        <v/>
      </c>
      <c r="U155">
        <f>Data!B155</f>
        <v>0</v>
      </c>
      <c r="V155" t="str">
        <f>Data!P155</f>
        <v/>
      </c>
      <c r="W155" t="str">
        <f>Data!N155</f>
        <v/>
      </c>
      <c r="X155">
        <f t="shared" si="7"/>
        <v>0</v>
      </c>
      <c r="AA155">
        <f>Data!A155</f>
        <v>0</v>
      </c>
      <c r="AB155">
        <f>Data!E155</f>
        <v>0</v>
      </c>
      <c r="AC155">
        <f>Data!F155</f>
        <v>0</v>
      </c>
      <c r="AD155">
        <f>Data!G155</f>
        <v>0</v>
      </c>
      <c r="AE155">
        <f>Data!B155</f>
        <v>0</v>
      </c>
      <c r="AF155" t="str">
        <f>Data!Q155</f>
        <v/>
      </c>
      <c r="AG155" t="str">
        <f>Data!N155</f>
        <v/>
      </c>
      <c r="AH155">
        <f>(IF($H$5="Curries/Stews",COUNTIF(Helper_Ingredient!$N$3:$N$20,AB155),IF($H$5="Salads",COUNTIF(Helper_Ingredient!$O$3:$O$20,AB155),COUNTIF(Helper_Ingredient!$P$3:$P$19,AB155)))&gt;0)+IF(AE155&gt;=30,(IF($H$5="Curries/Stews",COUNTIF(Helper_Ingredient!$N$3:$N$20,AC155),IF($H$5="Salads",COUNTIF(Helper_Ingredient!$O$3:$O$20,AC155),COUNTIF(Helper_Ingredient!$P$3:$P$19,AC155)))&gt;0),0)+IF(AE155&gt;=60,(IF($H$5="Curries/Stews",COUNTIF(Helper_Ingredient!$N$3:$N$20,AD155),IF($H$5="Salads",COUNTIF(Helper_Ingredient!$O$3:$O$20,AD155),COUNTIF(Helper_Ingredient!$P$3:$P$19,AD155)))&gt;0),0)</f>
        <v>0</v>
      </c>
      <c r="AI155">
        <f t="shared" si="8"/>
        <v>0</v>
      </c>
      <c r="AJ155">
        <f>Data!A155</f>
        <v>0</v>
      </c>
      <c r="AK155">
        <f>Data!H155</f>
        <v>0</v>
      </c>
      <c r="AL155">
        <f>Data!B155</f>
        <v>0</v>
      </c>
      <c r="AM155" t="str">
        <f>Data!R155</f>
        <v/>
      </c>
      <c r="AN155" t="str">
        <f>Data!N155</f>
        <v/>
      </c>
      <c r="AO155" t="e">
        <f t="shared" si="6"/>
        <v>#VALUE!</v>
      </c>
    </row>
    <row r="156" spans="19:41">
      <c r="S156">
        <f>Data!A156</f>
        <v>0</v>
      </c>
      <c r="T156" t="str">
        <f>Data!D156</f>
        <v/>
      </c>
      <c r="U156">
        <f>Data!B156</f>
        <v>0</v>
      </c>
      <c r="V156" t="str">
        <f>Data!P156</f>
        <v/>
      </c>
      <c r="W156" t="str">
        <f>Data!N156</f>
        <v/>
      </c>
      <c r="X156">
        <f t="shared" si="7"/>
        <v>0</v>
      </c>
      <c r="AA156">
        <f>Data!A156</f>
        <v>0</v>
      </c>
      <c r="AB156">
        <f>Data!E156</f>
        <v>0</v>
      </c>
      <c r="AC156">
        <f>Data!F156</f>
        <v>0</v>
      </c>
      <c r="AD156">
        <f>Data!G156</f>
        <v>0</v>
      </c>
      <c r="AE156">
        <f>Data!B156</f>
        <v>0</v>
      </c>
      <c r="AF156" t="str">
        <f>Data!Q156</f>
        <v/>
      </c>
      <c r="AG156" t="str">
        <f>Data!N156</f>
        <v/>
      </c>
      <c r="AH156">
        <f>(IF($H$5="Curries/Stews",COUNTIF(Helper_Ingredient!$N$3:$N$20,AB156),IF($H$5="Salads",COUNTIF(Helper_Ingredient!$O$3:$O$20,AB156),COUNTIF(Helper_Ingredient!$P$3:$P$19,AB156)))&gt;0)+IF(AE156&gt;=30,(IF($H$5="Curries/Stews",COUNTIF(Helper_Ingredient!$N$3:$N$20,AC156),IF($H$5="Salads",COUNTIF(Helper_Ingredient!$O$3:$O$20,AC156),COUNTIF(Helper_Ingredient!$P$3:$P$19,AC156)))&gt;0),0)+IF(AE156&gt;=60,(IF($H$5="Curries/Stews",COUNTIF(Helper_Ingredient!$N$3:$N$20,AD156),IF($H$5="Salads",COUNTIF(Helper_Ingredient!$O$3:$O$20,AD156),COUNTIF(Helper_Ingredient!$P$3:$P$19,AD156)))&gt;0),0)</f>
        <v>0</v>
      </c>
      <c r="AI156">
        <f t="shared" si="8"/>
        <v>0</v>
      </c>
      <c r="AJ156">
        <f>Data!A156</f>
        <v>0</v>
      </c>
      <c r="AK156">
        <f>Data!H156</f>
        <v>0</v>
      </c>
      <c r="AL156">
        <f>Data!B156</f>
        <v>0</v>
      </c>
      <c r="AM156" t="str">
        <f>Data!R156</f>
        <v/>
      </c>
      <c r="AN156" t="str">
        <f>Data!N156</f>
        <v/>
      </c>
      <c r="AO156" t="e">
        <f t="shared" si="6"/>
        <v>#VALUE!</v>
      </c>
    </row>
    <row r="157" spans="19:41">
      <c r="S157">
        <f>Data!A157</f>
        <v>0</v>
      </c>
      <c r="T157" t="str">
        <f>Data!D157</f>
        <v/>
      </c>
      <c r="U157">
        <f>Data!B157</f>
        <v>0</v>
      </c>
      <c r="V157" t="str">
        <f>Data!P157</f>
        <v/>
      </c>
      <c r="W157" t="str">
        <f>Data!N157</f>
        <v/>
      </c>
      <c r="X157">
        <f t="shared" si="7"/>
        <v>0</v>
      </c>
      <c r="AA157">
        <f>Data!A157</f>
        <v>0</v>
      </c>
      <c r="AB157">
        <f>Data!E157</f>
        <v>0</v>
      </c>
      <c r="AC157">
        <f>Data!F157</f>
        <v>0</v>
      </c>
      <c r="AD157">
        <f>Data!G157</f>
        <v>0</v>
      </c>
      <c r="AE157">
        <f>Data!B157</f>
        <v>0</v>
      </c>
      <c r="AF157" t="str">
        <f>Data!Q157</f>
        <v/>
      </c>
      <c r="AG157" t="str">
        <f>Data!N157</f>
        <v/>
      </c>
      <c r="AH157">
        <f>(IF($H$5="Curries/Stews",COUNTIF(Helper_Ingredient!$N$3:$N$20,AB157),IF($H$5="Salads",COUNTIF(Helper_Ingredient!$O$3:$O$20,AB157),COUNTIF(Helper_Ingredient!$P$3:$P$19,AB157)))&gt;0)+IF(AE157&gt;=30,(IF($H$5="Curries/Stews",COUNTIF(Helper_Ingredient!$N$3:$N$20,AC157),IF($H$5="Salads",COUNTIF(Helper_Ingredient!$O$3:$O$20,AC157),COUNTIF(Helper_Ingredient!$P$3:$P$19,AC157)))&gt;0),0)+IF(AE157&gt;=60,(IF($H$5="Curries/Stews",COUNTIF(Helper_Ingredient!$N$3:$N$20,AD157),IF($H$5="Salads",COUNTIF(Helper_Ingredient!$O$3:$O$20,AD157),COUNTIF(Helper_Ingredient!$P$3:$P$19,AD157)))&gt;0),0)</f>
        <v>0</v>
      </c>
      <c r="AI157">
        <f t="shared" si="8"/>
        <v>0</v>
      </c>
      <c r="AJ157">
        <f>Data!A157</f>
        <v>0</v>
      </c>
      <c r="AK157">
        <f>Data!H157</f>
        <v>0</v>
      </c>
      <c r="AL157">
        <f>Data!B157</f>
        <v>0</v>
      </c>
      <c r="AM157" t="str">
        <f>Data!R157</f>
        <v/>
      </c>
      <c r="AN157" t="str">
        <f>Data!N157</f>
        <v/>
      </c>
      <c r="AO157" t="e">
        <f t="shared" si="6"/>
        <v>#VALUE!</v>
      </c>
    </row>
    <row r="158" spans="19:41">
      <c r="S158">
        <f>Data!A158</f>
        <v>0</v>
      </c>
      <c r="T158" t="str">
        <f>Data!D158</f>
        <v/>
      </c>
      <c r="U158">
        <f>Data!B158</f>
        <v>0</v>
      </c>
      <c r="V158" t="str">
        <f>Data!P158</f>
        <v/>
      </c>
      <c r="W158" t="str">
        <f>Data!N158</f>
        <v/>
      </c>
      <c r="X158">
        <f t="shared" si="7"/>
        <v>0</v>
      </c>
      <c r="AA158">
        <f>Data!A158</f>
        <v>0</v>
      </c>
      <c r="AB158">
        <f>Data!E158</f>
        <v>0</v>
      </c>
      <c r="AC158">
        <f>Data!F158</f>
        <v>0</v>
      </c>
      <c r="AD158">
        <f>Data!G158</f>
        <v>0</v>
      </c>
      <c r="AE158">
        <f>Data!B158</f>
        <v>0</v>
      </c>
      <c r="AF158" t="str">
        <f>Data!Q158</f>
        <v/>
      </c>
      <c r="AG158" t="str">
        <f>Data!N158</f>
        <v/>
      </c>
      <c r="AH158">
        <f>(IF($H$5="Curries/Stews",COUNTIF(Helper_Ingredient!$N$3:$N$20,AB158),IF($H$5="Salads",COUNTIF(Helper_Ingredient!$O$3:$O$20,AB158),COUNTIF(Helper_Ingredient!$P$3:$P$19,AB158)))&gt;0)+IF(AE158&gt;=30,(IF($H$5="Curries/Stews",COUNTIF(Helper_Ingredient!$N$3:$N$20,AC158),IF($H$5="Salads",COUNTIF(Helper_Ingredient!$O$3:$O$20,AC158),COUNTIF(Helper_Ingredient!$P$3:$P$19,AC158)))&gt;0),0)+IF(AE158&gt;=60,(IF($H$5="Curries/Stews",COUNTIF(Helper_Ingredient!$N$3:$N$20,AD158),IF($H$5="Salads",COUNTIF(Helper_Ingredient!$O$3:$O$20,AD158),COUNTIF(Helper_Ingredient!$P$3:$P$19,AD158)))&gt;0),0)</f>
        <v>0</v>
      </c>
      <c r="AI158">
        <f t="shared" si="8"/>
        <v>0</v>
      </c>
      <c r="AJ158">
        <f>Data!A158</f>
        <v>0</v>
      </c>
      <c r="AK158">
        <f>Data!H158</f>
        <v>0</v>
      </c>
      <c r="AL158">
        <f>Data!B158</f>
        <v>0</v>
      </c>
      <c r="AM158" t="str">
        <f>Data!R158</f>
        <v/>
      </c>
      <c r="AN158" t="str">
        <f>Data!N158</f>
        <v/>
      </c>
      <c r="AO158" t="e">
        <f t="shared" si="6"/>
        <v>#VALUE!</v>
      </c>
    </row>
    <row r="159" spans="19:41">
      <c r="S159">
        <f>Data!A159</f>
        <v>0</v>
      </c>
      <c r="T159" t="str">
        <f>Data!D159</f>
        <v/>
      </c>
      <c r="U159">
        <f>Data!B159</f>
        <v>0</v>
      </c>
      <c r="V159" t="str">
        <f>Data!P159</f>
        <v/>
      </c>
      <c r="W159" t="str">
        <f>Data!N159</f>
        <v/>
      </c>
      <c r="X159">
        <f t="shared" si="7"/>
        <v>0</v>
      </c>
      <c r="AA159">
        <f>Data!A159</f>
        <v>0</v>
      </c>
      <c r="AB159">
        <f>Data!E159</f>
        <v>0</v>
      </c>
      <c r="AC159">
        <f>Data!F159</f>
        <v>0</v>
      </c>
      <c r="AD159">
        <f>Data!G159</f>
        <v>0</v>
      </c>
      <c r="AE159">
        <f>Data!B159</f>
        <v>0</v>
      </c>
      <c r="AF159" t="str">
        <f>Data!Q159</f>
        <v/>
      </c>
      <c r="AG159" t="str">
        <f>Data!N159</f>
        <v/>
      </c>
      <c r="AH159">
        <f>(IF($H$5="Curries/Stews",COUNTIF(Helper_Ingredient!$N$3:$N$20,AB159),IF($H$5="Salads",COUNTIF(Helper_Ingredient!$O$3:$O$20,AB159),COUNTIF(Helper_Ingredient!$P$3:$P$19,AB159)))&gt;0)+IF(AE159&gt;=30,(IF($H$5="Curries/Stews",COUNTIF(Helper_Ingredient!$N$3:$N$20,AC159),IF($H$5="Salads",COUNTIF(Helper_Ingredient!$O$3:$O$20,AC159),COUNTIF(Helper_Ingredient!$P$3:$P$19,AC159)))&gt;0),0)+IF(AE159&gt;=60,(IF($H$5="Curries/Stews",COUNTIF(Helper_Ingredient!$N$3:$N$20,AD159),IF($H$5="Salads",COUNTIF(Helper_Ingredient!$O$3:$O$20,AD159),COUNTIF(Helper_Ingredient!$P$3:$P$19,AD159)))&gt;0),0)</f>
        <v>0</v>
      </c>
      <c r="AI159">
        <f t="shared" si="8"/>
        <v>0</v>
      </c>
      <c r="AJ159">
        <f>Data!A159</f>
        <v>0</v>
      </c>
      <c r="AK159">
        <f>Data!H159</f>
        <v>0</v>
      </c>
      <c r="AL159">
        <f>Data!B159</f>
        <v>0</v>
      </c>
      <c r="AM159" t="str">
        <f>Data!R159</f>
        <v/>
      </c>
      <c r="AN159" t="str">
        <f>Data!N159</f>
        <v/>
      </c>
      <c r="AO159" t="e">
        <f t="shared" si="6"/>
        <v>#VALUE!</v>
      </c>
    </row>
    <row r="160" spans="19:41">
      <c r="S160">
        <f>Data!A160</f>
        <v>0</v>
      </c>
      <c r="T160" t="str">
        <f>Data!D160</f>
        <v/>
      </c>
      <c r="U160">
        <f>Data!B160</f>
        <v>0</v>
      </c>
      <c r="V160" t="str">
        <f>Data!P160</f>
        <v/>
      </c>
      <c r="W160" t="str">
        <f>Data!N160</f>
        <v/>
      </c>
      <c r="X160">
        <f t="shared" si="7"/>
        <v>0</v>
      </c>
      <c r="AA160">
        <f>Data!A160</f>
        <v>0</v>
      </c>
      <c r="AB160">
        <f>Data!E160</f>
        <v>0</v>
      </c>
      <c r="AC160">
        <f>Data!F160</f>
        <v>0</v>
      </c>
      <c r="AD160">
        <f>Data!G160</f>
        <v>0</v>
      </c>
      <c r="AE160">
        <f>Data!B160</f>
        <v>0</v>
      </c>
      <c r="AF160" t="str">
        <f>Data!Q160</f>
        <v/>
      </c>
      <c r="AG160" t="str">
        <f>Data!N160</f>
        <v/>
      </c>
      <c r="AH160">
        <f>(IF($H$5="Curries/Stews",COUNTIF(Helper_Ingredient!$N$3:$N$20,AB160),IF($H$5="Salads",COUNTIF(Helper_Ingredient!$O$3:$O$20,AB160),COUNTIF(Helper_Ingredient!$P$3:$P$19,AB160)))&gt;0)+IF(AE160&gt;=30,(IF($H$5="Curries/Stews",COUNTIF(Helper_Ingredient!$N$3:$N$20,AC160),IF($H$5="Salads",COUNTIF(Helper_Ingredient!$O$3:$O$20,AC160),COUNTIF(Helper_Ingredient!$P$3:$P$19,AC160)))&gt;0),0)+IF(AE160&gt;=60,(IF($H$5="Curries/Stews",COUNTIF(Helper_Ingredient!$N$3:$N$20,AD160),IF($H$5="Salads",COUNTIF(Helper_Ingredient!$O$3:$O$20,AD160),COUNTIF(Helper_Ingredient!$P$3:$P$19,AD160)))&gt;0),0)</f>
        <v>0</v>
      </c>
      <c r="AI160">
        <f t="shared" si="8"/>
        <v>0</v>
      </c>
      <c r="AJ160">
        <f>Data!A160</f>
        <v>0</v>
      </c>
      <c r="AK160">
        <f>Data!H160</f>
        <v>0</v>
      </c>
      <c r="AL160">
        <f>Data!B160</f>
        <v>0</v>
      </c>
      <c r="AM160" t="str">
        <f>Data!R160</f>
        <v/>
      </c>
      <c r="AN160" t="str">
        <f>Data!N160</f>
        <v/>
      </c>
      <c r="AO160" t="e">
        <f t="shared" si="6"/>
        <v>#VALUE!</v>
      </c>
    </row>
    <row r="161" spans="19:41">
      <c r="S161">
        <f>Data!A161</f>
        <v>0</v>
      </c>
      <c r="T161" t="str">
        <f>Data!D161</f>
        <v/>
      </c>
      <c r="U161">
        <f>Data!B161</f>
        <v>0</v>
      </c>
      <c r="V161" t="str">
        <f>Data!P161</f>
        <v/>
      </c>
      <c r="W161" t="str">
        <f>Data!N161</f>
        <v/>
      </c>
      <c r="X161">
        <f t="shared" si="7"/>
        <v>0</v>
      </c>
      <c r="AA161">
        <f>Data!A161</f>
        <v>0</v>
      </c>
      <c r="AB161">
        <f>Data!E161</f>
        <v>0</v>
      </c>
      <c r="AC161">
        <f>Data!F161</f>
        <v>0</v>
      </c>
      <c r="AD161">
        <f>Data!G161</f>
        <v>0</v>
      </c>
      <c r="AE161">
        <f>Data!B161</f>
        <v>0</v>
      </c>
      <c r="AF161" t="str">
        <f>Data!Q161</f>
        <v/>
      </c>
      <c r="AG161" t="str">
        <f>Data!N161</f>
        <v/>
      </c>
      <c r="AH161">
        <f>(IF($H$5="Curries/Stews",COUNTIF(Helper_Ingredient!$N$3:$N$20,AB161),IF($H$5="Salads",COUNTIF(Helper_Ingredient!$O$3:$O$20,AB161),COUNTIF(Helper_Ingredient!$P$3:$P$19,AB161)))&gt;0)+IF(AE161&gt;=30,(IF($H$5="Curries/Stews",COUNTIF(Helper_Ingredient!$N$3:$N$20,AC161),IF($H$5="Salads",COUNTIF(Helper_Ingredient!$O$3:$O$20,AC161),COUNTIF(Helper_Ingredient!$P$3:$P$19,AC161)))&gt;0),0)+IF(AE161&gt;=60,(IF($H$5="Curries/Stews",COUNTIF(Helper_Ingredient!$N$3:$N$20,AD161),IF($H$5="Salads",COUNTIF(Helper_Ingredient!$O$3:$O$20,AD161),COUNTIF(Helper_Ingredient!$P$3:$P$19,AD161)))&gt;0),0)</f>
        <v>0</v>
      </c>
      <c r="AI161">
        <f t="shared" si="8"/>
        <v>0</v>
      </c>
      <c r="AJ161">
        <f>Data!A161</f>
        <v>0</v>
      </c>
      <c r="AK161">
        <f>Data!H161</f>
        <v>0</v>
      </c>
      <c r="AL161">
        <f>Data!B161</f>
        <v>0</v>
      </c>
      <c r="AM161" t="str">
        <f>Data!R161</f>
        <v/>
      </c>
      <c r="AN161" t="str">
        <f>Data!N161</f>
        <v/>
      </c>
      <c r="AO161" t="e">
        <f t="shared" si="6"/>
        <v>#VALUE!</v>
      </c>
    </row>
    <row r="162" spans="19:41">
      <c r="S162">
        <f>Data!A162</f>
        <v>0</v>
      </c>
      <c r="T162" t="str">
        <f>Data!D162</f>
        <v/>
      </c>
      <c r="U162">
        <f>Data!B162</f>
        <v>0</v>
      </c>
      <c r="V162" t="str">
        <f>Data!P162</f>
        <v/>
      </c>
      <c r="W162" t="str">
        <f>Data!N162</f>
        <v/>
      </c>
      <c r="X162">
        <f t="shared" si="7"/>
        <v>0</v>
      </c>
      <c r="AA162">
        <f>Data!A162</f>
        <v>0</v>
      </c>
      <c r="AB162">
        <f>Data!E162</f>
        <v>0</v>
      </c>
      <c r="AC162">
        <f>Data!F162</f>
        <v>0</v>
      </c>
      <c r="AD162">
        <f>Data!G162</f>
        <v>0</v>
      </c>
      <c r="AE162">
        <f>Data!B162</f>
        <v>0</v>
      </c>
      <c r="AF162" t="str">
        <f>Data!Q162</f>
        <v/>
      </c>
      <c r="AG162" t="str">
        <f>Data!N162</f>
        <v/>
      </c>
      <c r="AH162">
        <f>(IF($H$5="Curries/Stews",COUNTIF(Helper_Ingredient!$N$3:$N$20,AB162),IF($H$5="Salads",COUNTIF(Helper_Ingredient!$O$3:$O$20,AB162),COUNTIF(Helper_Ingredient!$P$3:$P$19,AB162)))&gt;0)+IF(AE162&gt;=30,(IF($H$5="Curries/Stews",COUNTIF(Helper_Ingredient!$N$3:$N$20,AC162),IF($H$5="Salads",COUNTIF(Helper_Ingredient!$O$3:$O$20,AC162),COUNTIF(Helper_Ingredient!$P$3:$P$19,AC162)))&gt;0),0)+IF(AE162&gt;=60,(IF($H$5="Curries/Stews",COUNTIF(Helper_Ingredient!$N$3:$N$20,AD162),IF($H$5="Salads",COUNTIF(Helper_Ingredient!$O$3:$O$20,AD162),COUNTIF(Helper_Ingredient!$P$3:$P$19,AD162)))&gt;0),0)</f>
        <v>0</v>
      </c>
      <c r="AI162">
        <f t="shared" si="8"/>
        <v>0</v>
      </c>
      <c r="AJ162">
        <f>Data!A162</f>
        <v>0</v>
      </c>
      <c r="AK162">
        <f>Data!H162</f>
        <v>0</v>
      </c>
      <c r="AL162">
        <f>Data!B162</f>
        <v>0</v>
      </c>
      <c r="AM162" t="str">
        <f>Data!R162</f>
        <v/>
      </c>
      <c r="AN162" t="str">
        <f>Data!N162</f>
        <v/>
      </c>
      <c r="AO162" t="e">
        <f t="shared" si="6"/>
        <v>#VALUE!</v>
      </c>
    </row>
    <row r="163" spans="19:41">
      <c r="S163">
        <f>Data!A163</f>
        <v>0</v>
      </c>
      <c r="T163" t="str">
        <f>Data!D163</f>
        <v/>
      </c>
      <c r="U163">
        <f>Data!B163</f>
        <v>0</v>
      </c>
      <c r="V163" t="str">
        <f>Data!P163</f>
        <v/>
      </c>
      <c r="W163" t="str">
        <f>Data!N163</f>
        <v/>
      </c>
      <c r="X163">
        <f t="shared" si="7"/>
        <v>0</v>
      </c>
      <c r="AA163">
        <f>Data!A163</f>
        <v>0</v>
      </c>
      <c r="AB163">
        <f>Data!E163</f>
        <v>0</v>
      </c>
      <c r="AC163">
        <f>Data!F163</f>
        <v>0</v>
      </c>
      <c r="AD163">
        <f>Data!G163</f>
        <v>0</v>
      </c>
      <c r="AE163">
        <f>Data!B163</f>
        <v>0</v>
      </c>
      <c r="AF163" t="str">
        <f>Data!Q163</f>
        <v/>
      </c>
      <c r="AG163" t="str">
        <f>Data!N163</f>
        <v/>
      </c>
      <c r="AH163">
        <f>(IF($H$5="Curries/Stews",COUNTIF(Helper_Ingredient!$N$3:$N$20,AB163),IF($H$5="Salads",COUNTIF(Helper_Ingredient!$O$3:$O$20,AB163),COUNTIF(Helper_Ingredient!$P$3:$P$19,AB163)))&gt;0)+IF(AE163&gt;=30,(IF($H$5="Curries/Stews",COUNTIF(Helper_Ingredient!$N$3:$N$20,AC163),IF($H$5="Salads",COUNTIF(Helper_Ingredient!$O$3:$O$20,AC163),COUNTIF(Helper_Ingredient!$P$3:$P$19,AC163)))&gt;0),0)+IF(AE163&gt;=60,(IF($H$5="Curries/Stews",COUNTIF(Helper_Ingredient!$N$3:$N$20,AD163),IF($H$5="Salads",COUNTIF(Helper_Ingredient!$O$3:$O$20,AD163),COUNTIF(Helper_Ingredient!$P$3:$P$19,AD163)))&gt;0),0)</f>
        <v>0</v>
      </c>
      <c r="AI163">
        <f t="shared" si="8"/>
        <v>0</v>
      </c>
      <c r="AJ163">
        <f>Data!A163</f>
        <v>0</v>
      </c>
      <c r="AK163">
        <f>Data!H163</f>
        <v>0</v>
      </c>
      <c r="AL163">
        <f>Data!B163</f>
        <v>0</v>
      </c>
      <c r="AM163" t="str">
        <f>Data!R163</f>
        <v/>
      </c>
      <c r="AN163" t="str">
        <f>Data!N163</f>
        <v/>
      </c>
      <c r="AO163" t="e">
        <f t="shared" si="6"/>
        <v>#VALUE!</v>
      </c>
    </row>
    <row r="164" spans="19:41">
      <c r="S164">
        <f>Data!A164</f>
        <v>0</v>
      </c>
      <c r="T164" t="str">
        <f>Data!D164</f>
        <v/>
      </c>
      <c r="U164">
        <f>Data!B164</f>
        <v>0</v>
      </c>
      <c r="V164" t="str">
        <f>Data!P164</f>
        <v/>
      </c>
      <c r="W164" t="str">
        <f>Data!N164</f>
        <v/>
      </c>
      <c r="X164">
        <f t="shared" si="7"/>
        <v>0</v>
      </c>
      <c r="AA164">
        <f>Data!A164</f>
        <v>0</v>
      </c>
      <c r="AB164">
        <f>Data!E164</f>
        <v>0</v>
      </c>
      <c r="AC164">
        <f>Data!F164</f>
        <v>0</v>
      </c>
      <c r="AD164">
        <f>Data!G164</f>
        <v>0</v>
      </c>
      <c r="AE164">
        <f>Data!B164</f>
        <v>0</v>
      </c>
      <c r="AF164" t="str">
        <f>Data!Q164</f>
        <v/>
      </c>
      <c r="AG164" t="str">
        <f>Data!N164</f>
        <v/>
      </c>
      <c r="AH164">
        <f>(IF($H$5="Curries/Stews",COUNTIF(Helper_Ingredient!$N$3:$N$20,AB164),IF($H$5="Salads",COUNTIF(Helper_Ingredient!$O$3:$O$20,AB164),COUNTIF(Helper_Ingredient!$P$3:$P$19,AB164)))&gt;0)+IF(AE164&gt;=30,(IF($H$5="Curries/Stews",COUNTIF(Helper_Ingredient!$N$3:$N$20,AC164),IF($H$5="Salads",COUNTIF(Helper_Ingredient!$O$3:$O$20,AC164),COUNTIF(Helper_Ingredient!$P$3:$P$19,AC164)))&gt;0),0)+IF(AE164&gt;=60,(IF($H$5="Curries/Stews",COUNTIF(Helper_Ingredient!$N$3:$N$20,AD164),IF($H$5="Salads",COUNTIF(Helper_Ingredient!$O$3:$O$20,AD164),COUNTIF(Helper_Ingredient!$P$3:$P$19,AD164)))&gt;0),0)</f>
        <v>0</v>
      </c>
      <c r="AI164">
        <f t="shared" si="8"/>
        <v>0</v>
      </c>
      <c r="AJ164">
        <f>Data!A164</f>
        <v>0</v>
      </c>
      <c r="AK164">
        <f>Data!H164</f>
        <v>0</v>
      </c>
      <c r="AL164">
        <f>Data!B164</f>
        <v>0</v>
      </c>
      <c r="AM164" t="str">
        <f>Data!R164</f>
        <v/>
      </c>
      <c r="AN164" t="str">
        <f>Data!N164</f>
        <v/>
      </c>
      <c r="AO164" t="e">
        <f t="shared" si="6"/>
        <v>#VALUE!</v>
      </c>
    </row>
    <row r="165" spans="19:41">
      <c r="S165">
        <f>Data!A165</f>
        <v>0</v>
      </c>
      <c r="T165" t="str">
        <f>Data!D165</f>
        <v/>
      </c>
      <c r="U165">
        <f>Data!B165</f>
        <v>0</v>
      </c>
      <c r="V165" t="str">
        <f>Data!P165</f>
        <v/>
      </c>
      <c r="W165" t="str">
        <f>Data!N165</f>
        <v/>
      </c>
      <c r="X165">
        <f t="shared" si="7"/>
        <v>0</v>
      </c>
      <c r="AA165">
        <f>Data!A165</f>
        <v>0</v>
      </c>
      <c r="AB165">
        <f>Data!E165</f>
        <v>0</v>
      </c>
      <c r="AC165">
        <f>Data!F165</f>
        <v>0</v>
      </c>
      <c r="AD165">
        <f>Data!G165</f>
        <v>0</v>
      </c>
      <c r="AE165">
        <f>Data!B165</f>
        <v>0</v>
      </c>
      <c r="AF165" t="str">
        <f>Data!Q165</f>
        <v/>
      </c>
      <c r="AG165" t="str">
        <f>Data!N165</f>
        <v/>
      </c>
      <c r="AH165">
        <f>(IF($H$5="Curries/Stews",COUNTIF(Helper_Ingredient!$N$3:$N$20,AB165),IF($H$5="Salads",COUNTIF(Helper_Ingredient!$O$3:$O$20,AB165),COUNTIF(Helper_Ingredient!$P$3:$P$19,AB165)))&gt;0)+IF(AE165&gt;=30,(IF($H$5="Curries/Stews",COUNTIF(Helper_Ingredient!$N$3:$N$20,AC165),IF($H$5="Salads",COUNTIF(Helper_Ingredient!$O$3:$O$20,AC165),COUNTIF(Helper_Ingredient!$P$3:$P$19,AC165)))&gt;0),0)+IF(AE165&gt;=60,(IF($H$5="Curries/Stews",COUNTIF(Helper_Ingredient!$N$3:$N$20,AD165),IF($H$5="Salads",COUNTIF(Helper_Ingredient!$O$3:$O$20,AD165),COUNTIF(Helper_Ingredient!$P$3:$P$19,AD165)))&gt;0),0)</f>
        <v>0</v>
      </c>
      <c r="AI165">
        <f t="shared" si="8"/>
        <v>0</v>
      </c>
      <c r="AJ165">
        <f>Data!A165</f>
        <v>0</v>
      </c>
      <c r="AK165">
        <f>Data!H165</f>
        <v>0</v>
      </c>
      <c r="AL165">
        <f>Data!B165</f>
        <v>0</v>
      </c>
      <c r="AM165" t="str">
        <f>Data!R165</f>
        <v/>
      </c>
      <c r="AN165" t="str">
        <f>Data!N165</f>
        <v/>
      </c>
      <c r="AO165" t="e">
        <f t="shared" si="6"/>
        <v>#VALUE!</v>
      </c>
    </row>
    <row r="166" spans="19:41">
      <c r="S166">
        <f>Data!A166</f>
        <v>0</v>
      </c>
      <c r="T166" t="str">
        <f>Data!D166</f>
        <v/>
      </c>
      <c r="U166">
        <f>Data!B166</f>
        <v>0</v>
      </c>
      <c r="V166" t="str">
        <f>Data!P166</f>
        <v/>
      </c>
      <c r="W166" t="str">
        <f>Data!N166</f>
        <v/>
      </c>
      <c r="X166">
        <f t="shared" si="7"/>
        <v>0</v>
      </c>
      <c r="AA166">
        <f>Data!A166</f>
        <v>0</v>
      </c>
      <c r="AB166">
        <f>Data!E166</f>
        <v>0</v>
      </c>
      <c r="AC166">
        <f>Data!F166</f>
        <v>0</v>
      </c>
      <c r="AD166">
        <f>Data!G166</f>
        <v>0</v>
      </c>
      <c r="AE166">
        <f>Data!B166</f>
        <v>0</v>
      </c>
      <c r="AF166" t="str">
        <f>Data!Q166</f>
        <v/>
      </c>
      <c r="AG166" t="str">
        <f>Data!N166</f>
        <v/>
      </c>
      <c r="AH166">
        <f>(IF($H$5="Curries/Stews",COUNTIF(Helper_Ingredient!$N$3:$N$20,AB166),IF($H$5="Salads",COUNTIF(Helper_Ingredient!$O$3:$O$20,AB166),COUNTIF(Helper_Ingredient!$P$3:$P$19,AB166)))&gt;0)+IF(AE166&gt;=30,(IF($H$5="Curries/Stews",COUNTIF(Helper_Ingredient!$N$3:$N$20,AC166),IF($H$5="Salads",COUNTIF(Helper_Ingredient!$O$3:$O$20,AC166),COUNTIF(Helper_Ingredient!$P$3:$P$19,AC166)))&gt;0),0)+IF(AE166&gt;=60,(IF($H$5="Curries/Stews",COUNTIF(Helper_Ingredient!$N$3:$N$20,AD166),IF($H$5="Salads",COUNTIF(Helper_Ingredient!$O$3:$O$20,AD166),COUNTIF(Helper_Ingredient!$P$3:$P$19,AD166)))&gt;0),0)</f>
        <v>0</v>
      </c>
      <c r="AI166">
        <f t="shared" si="8"/>
        <v>0</v>
      </c>
      <c r="AJ166">
        <f>Data!A166</f>
        <v>0</v>
      </c>
      <c r="AK166">
        <f>Data!H166</f>
        <v>0</v>
      </c>
      <c r="AL166">
        <f>Data!B166</f>
        <v>0</v>
      </c>
      <c r="AM166" t="str">
        <f>Data!R166</f>
        <v/>
      </c>
      <c r="AN166" t="str">
        <f>Data!N166</f>
        <v/>
      </c>
      <c r="AO166" t="e">
        <f t="shared" si="6"/>
        <v>#VALUE!</v>
      </c>
    </row>
    <row r="167" spans="19:41">
      <c r="S167">
        <f>Data!A167</f>
        <v>0</v>
      </c>
      <c r="T167" t="str">
        <f>Data!D167</f>
        <v/>
      </c>
      <c r="U167">
        <f>Data!B167</f>
        <v>0</v>
      </c>
      <c r="V167" t="str">
        <f>Data!P167</f>
        <v/>
      </c>
      <c r="W167" t="str">
        <f>Data!N167</f>
        <v/>
      </c>
      <c r="X167">
        <f t="shared" si="7"/>
        <v>0</v>
      </c>
      <c r="AA167">
        <f>Data!A167</f>
        <v>0</v>
      </c>
      <c r="AB167">
        <f>Data!E167</f>
        <v>0</v>
      </c>
      <c r="AC167">
        <f>Data!F167</f>
        <v>0</v>
      </c>
      <c r="AD167">
        <f>Data!G167</f>
        <v>0</v>
      </c>
      <c r="AE167">
        <f>Data!B167</f>
        <v>0</v>
      </c>
      <c r="AF167" t="str">
        <f>Data!Q167</f>
        <v/>
      </c>
      <c r="AG167" t="str">
        <f>Data!N167</f>
        <v/>
      </c>
      <c r="AH167">
        <f>(IF($H$5="Curries/Stews",COUNTIF(Helper_Ingredient!$N$3:$N$20,AB167),IF($H$5="Salads",COUNTIF(Helper_Ingredient!$O$3:$O$20,AB167),COUNTIF(Helper_Ingredient!$P$3:$P$19,AB167)))&gt;0)+IF(AE167&gt;=30,(IF($H$5="Curries/Stews",COUNTIF(Helper_Ingredient!$N$3:$N$20,AC167),IF($H$5="Salads",COUNTIF(Helper_Ingredient!$O$3:$O$20,AC167),COUNTIF(Helper_Ingredient!$P$3:$P$19,AC167)))&gt;0),0)+IF(AE167&gt;=60,(IF($H$5="Curries/Stews",COUNTIF(Helper_Ingredient!$N$3:$N$20,AD167),IF($H$5="Salads",COUNTIF(Helper_Ingredient!$O$3:$O$20,AD167),COUNTIF(Helper_Ingredient!$P$3:$P$19,AD167)))&gt;0),0)</f>
        <v>0</v>
      </c>
      <c r="AI167">
        <f t="shared" si="8"/>
        <v>0</v>
      </c>
      <c r="AJ167">
        <f>Data!A167</f>
        <v>0</v>
      </c>
      <c r="AK167">
        <f>Data!H167</f>
        <v>0</v>
      </c>
      <c r="AL167">
        <f>Data!B167</f>
        <v>0</v>
      </c>
      <c r="AM167" t="str">
        <f>Data!R167</f>
        <v/>
      </c>
      <c r="AN167" t="str">
        <f>Data!N167</f>
        <v/>
      </c>
      <c r="AO167" t="e">
        <f t="shared" si="6"/>
        <v>#VALUE!</v>
      </c>
    </row>
    <row r="168" spans="19:41">
      <c r="S168">
        <f>Data!A168</f>
        <v>0</v>
      </c>
      <c r="T168" t="str">
        <f>Data!D168</f>
        <v/>
      </c>
      <c r="U168">
        <f>Data!B168</f>
        <v>0</v>
      </c>
      <c r="V168" t="str">
        <f>Data!P168</f>
        <v/>
      </c>
      <c r="W168" t="str">
        <f>Data!N168</f>
        <v/>
      </c>
      <c r="X168">
        <f t="shared" si="7"/>
        <v>0</v>
      </c>
      <c r="AA168">
        <f>Data!A168</f>
        <v>0</v>
      </c>
      <c r="AB168">
        <f>Data!E168</f>
        <v>0</v>
      </c>
      <c r="AC168">
        <f>Data!F168</f>
        <v>0</v>
      </c>
      <c r="AD168">
        <f>Data!G168</f>
        <v>0</v>
      </c>
      <c r="AE168">
        <f>Data!B168</f>
        <v>0</v>
      </c>
      <c r="AF168" t="str">
        <f>Data!Q168</f>
        <v/>
      </c>
      <c r="AG168" t="str">
        <f>Data!N168</f>
        <v/>
      </c>
      <c r="AH168">
        <f>(IF($H$5="Curries/Stews",COUNTIF(Helper_Ingredient!$N$3:$N$20,AB168),IF($H$5="Salads",COUNTIF(Helper_Ingredient!$O$3:$O$20,AB168),COUNTIF(Helper_Ingredient!$P$3:$P$19,AB168)))&gt;0)+IF(AE168&gt;=30,(IF($H$5="Curries/Stews",COUNTIF(Helper_Ingredient!$N$3:$N$20,AC168),IF($H$5="Salads",COUNTIF(Helper_Ingredient!$O$3:$O$20,AC168),COUNTIF(Helper_Ingredient!$P$3:$P$19,AC168)))&gt;0),0)+IF(AE168&gt;=60,(IF($H$5="Curries/Stews",COUNTIF(Helper_Ingredient!$N$3:$N$20,AD168),IF($H$5="Salads",COUNTIF(Helper_Ingredient!$O$3:$O$20,AD168),COUNTIF(Helper_Ingredient!$P$3:$P$19,AD168)))&gt;0),0)</f>
        <v>0</v>
      </c>
      <c r="AI168">
        <f t="shared" si="8"/>
        <v>0</v>
      </c>
      <c r="AJ168">
        <f>Data!A168</f>
        <v>0</v>
      </c>
      <c r="AK168">
        <f>Data!H168</f>
        <v>0</v>
      </c>
      <c r="AL168">
        <f>Data!B168</f>
        <v>0</v>
      </c>
      <c r="AM168" t="str">
        <f>Data!R168</f>
        <v/>
      </c>
      <c r="AN168" t="str">
        <f>Data!N168</f>
        <v/>
      </c>
      <c r="AO168" t="e">
        <f t="shared" si="6"/>
        <v>#VALUE!</v>
      </c>
    </row>
    <row r="169" spans="19:41">
      <c r="S169">
        <f>Data!A169</f>
        <v>0</v>
      </c>
      <c r="T169" t="str">
        <f>Data!D169</f>
        <v/>
      </c>
      <c r="U169">
        <f>Data!B169</f>
        <v>0</v>
      </c>
      <c r="V169" t="str">
        <f>Data!P169</f>
        <v/>
      </c>
      <c r="W169" t="str">
        <f>Data!N169</f>
        <v/>
      </c>
      <c r="X169">
        <f t="shared" si="7"/>
        <v>0</v>
      </c>
      <c r="AA169">
        <f>Data!A169</f>
        <v>0</v>
      </c>
      <c r="AB169">
        <f>Data!E169</f>
        <v>0</v>
      </c>
      <c r="AC169">
        <f>Data!F169</f>
        <v>0</v>
      </c>
      <c r="AD169">
        <f>Data!G169</f>
        <v>0</v>
      </c>
      <c r="AE169">
        <f>Data!B169</f>
        <v>0</v>
      </c>
      <c r="AF169" t="str">
        <f>Data!Q169</f>
        <v/>
      </c>
      <c r="AG169" t="str">
        <f>Data!N169</f>
        <v/>
      </c>
      <c r="AH169">
        <f>(IF($H$5="Curries/Stews",COUNTIF(Helper_Ingredient!$N$3:$N$20,AB169),IF($H$5="Salads",COUNTIF(Helper_Ingredient!$O$3:$O$20,AB169),COUNTIF(Helper_Ingredient!$P$3:$P$19,AB169)))&gt;0)+IF(AE169&gt;=30,(IF($H$5="Curries/Stews",COUNTIF(Helper_Ingredient!$N$3:$N$20,AC169),IF($H$5="Salads",COUNTIF(Helper_Ingredient!$O$3:$O$20,AC169),COUNTIF(Helper_Ingredient!$P$3:$P$19,AC169)))&gt;0),0)+IF(AE169&gt;=60,(IF($H$5="Curries/Stews",COUNTIF(Helper_Ingredient!$N$3:$N$20,AD169),IF($H$5="Salads",COUNTIF(Helper_Ingredient!$O$3:$O$20,AD169),COUNTIF(Helper_Ingredient!$P$3:$P$19,AD169)))&gt;0),0)</f>
        <v>0</v>
      </c>
      <c r="AI169">
        <f t="shared" si="8"/>
        <v>0</v>
      </c>
      <c r="AJ169">
        <f>Data!A169</f>
        <v>0</v>
      </c>
      <c r="AK169">
        <f>Data!H169</f>
        <v>0</v>
      </c>
      <c r="AL169">
        <f>Data!B169</f>
        <v>0</v>
      </c>
      <c r="AM169" t="str">
        <f>Data!R169</f>
        <v/>
      </c>
      <c r="AN169" t="str">
        <f>Data!N169</f>
        <v/>
      </c>
      <c r="AO169" t="e">
        <f t="shared" si="6"/>
        <v>#VALUE!</v>
      </c>
    </row>
    <row r="170" spans="19:41">
      <c r="S170">
        <f>Data!A170</f>
        <v>0</v>
      </c>
      <c r="T170" t="str">
        <f>Data!D170</f>
        <v/>
      </c>
      <c r="U170">
        <f>Data!B170</f>
        <v>0</v>
      </c>
      <c r="V170" t="str">
        <f>Data!P170</f>
        <v/>
      </c>
      <c r="W170" t="str">
        <f>Data!N170</f>
        <v/>
      </c>
      <c r="X170">
        <f t="shared" si="7"/>
        <v>0</v>
      </c>
      <c r="AA170">
        <f>Data!A170</f>
        <v>0</v>
      </c>
      <c r="AB170">
        <f>Data!E170</f>
        <v>0</v>
      </c>
      <c r="AC170">
        <f>Data!F170</f>
        <v>0</v>
      </c>
      <c r="AD170">
        <f>Data!G170</f>
        <v>0</v>
      </c>
      <c r="AE170">
        <f>Data!B170</f>
        <v>0</v>
      </c>
      <c r="AF170" t="str">
        <f>Data!Q170</f>
        <v/>
      </c>
      <c r="AG170" t="str">
        <f>Data!N170</f>
        <v/>
      </c>
      <c r="AH170">
        <f>(IF($H$5="Curries/Stews",COUNTIF(Helper_Ingredient!$N$3:$N$20,AB170),IF($H$5="Salads",COUNTIF(Helper_Ingredient!$O$3:$O$20,AB170),COUNTIF(Helper_Ingredient!$P$3:$P$19,AB170)))&gt;0)+IF(AE170&gt;=30,(IF($H$5="Curries/Stews",COUNTIF(Helper_Ingredient!$N$3:$N$20,AC170),IF($H$5="Salads",COUNTIF(Helper_Ingredient!$O$3:$O$20,AC170),COUNTIF(Helper_Ingredient!$P$3:$P$19,AC170)))&gt;0),0)+IF(AE170&gt;=60,(IF($H$5="Curries/Stews",COUNTIF(Helper_Ingredient!$N$3:$N$20,AD170),IF($H$5="Salads",COUNTIF(Helper_Ingredient!$O$3:$O$20,AD170),COUNTIF(Helper_Ingredient!$P$3:$P$19,AD170)))&gt;0),0)</f>
        <v>0</v>
      </c>
      <c r="AI170">
        <f t="shared" si="8"/>
        <v>0</v>
      </c>
      <c r="AJ170">
        <f>Data!A170</f>
        <v>0</v>
      </c>
      <c r="AK170">
        <f>Data!H170</f>
        <v>0</v>
      </c>
      <c r="AL170">
        <f>Data!B170</f>
        <v>0</v>
      </c>
      <c r="AM170" t="str">
        <f>Data!R170</f>
        <v/>
      </c>
      <c r="AN170" t="str">
        <f>Data!N170</f>
        <v/>
      </c>
      <c r="AO170" t="e">
        <f t="shared" si="6"/>
        <v>#VALUE!</v>
      </c>
    </row>
    <row r="171" spans="19:41">
      <c r="S171">
        <f>Data!A171</f>
        <v>0</v>
      </c>
      <c r="T171" t="str">
        <f>Data!D171</f>
        <v/>
      </c>
      <c r="U171">
        <f>Data!B171</f>
        <v>0</v>
      </c>
      <c r="V171" t="str">
        <f>Data!P171</f>
        <v/>
      </c>
      <c r="W171" t="str">
        <f>Data!N171</f>
        <v/>
      </c>
      <c r="X171">
        <f t="shared" si="7"/>
        <v>0</v>
      </c>
      <c r="AA171">
        <f>Data!A171</f>
        <v>0</v>
      </c>
      <c r="AB171">
        <f>Data!E171</f>
        <v>0</v>
      </c>
      <c r="AC171">
        <f>Data!F171</f>
        <v>0</v>
      </c>
      <c r="AD171">
        <f>Data!G171</f>
        <v>0</v>
      </c>
      <c r="AE171">
        <f>Data!B171</f>
        <v>0</v>
      </c>
      <c r="AF171" t="str">
        <f>Data!Q171</f>
        <v/>
      </c>
      <c r="AG171" t="str">
        <f>Data!N171</f>
        <v/>
      </c>
      <c r="AH171">
        <f>(IF($H$5="Curries/Stews",COUNTIF(Helper_Ingredient!$N$3:$N$20,AB171),IF($H$5="Salads",COUNTIF(Helper_Ingredient!$O$3:$O$20,AB171),COUNTIF(Helper_Ingredient!$P$3:$P$19,AB171)))&gt;0)+IF(AE171&gt;=30,(IF($H$5="Curries/Stews",COUNTIF(Helper_Ingredient!$N$3:$N$20,AC171),IF($H$5="Salads",COUNTIF(Helper_Ingredient!$O$3:$O$20,AC171),COUNTIF(Helper_Ingredient!$P$3:$P$19,AC171)))&gt;0),0)+IF(AE171&gt;=60,(IF($H$5="Curries/Stews",COUNTIF(Helper_Ingredient!$N$3:$N$20,AD171),IF($H$5="Salads",COUNTIF(Helper_Ingredient!$O$3:$O$20,AD171),COUNTIF(Helper_Ingredient!$P$3:$P$19,AD171)))&gt;0),0)</f>
        <v>0</v>
      </c>
      <c r="AI171">
        <f t="shared" si="8"/>
        <v>0</v>
      </c>
      <c r="AJ171">
        <f>Data!A171</f>
        <v>0</v>
      </c>
      <c r="AK171">
        <f>Data!H171</f>
        <v>0</v>
      </c>
      <c r="AL171">
        <f>Data!B171</f>
        <v>0</v>
      </c>
      <c r="AM171" t="str">
        <f>Data!R171</f>
        <v/>
      </c>
      <c r="AN171" t="str">
        <f>Data!N171</f>
        <v/>
      </c>
      <c r="AO171" t="e">
        <f t="shared" si="6"/>
        <v>#VALUE!</v>
      </c>
    </row>
    <row r="172" spans="19:41">
      <c r="S172">
        <f>Data!A172</f>
        <v>0</v>
      </c>
      <c r="T172" t="str">
        <f>Data!D172</f>
        <v/>
      </c>
      <c r="U172">
        <f>Data!B172</f>
        <v>0</v>
      </c>
      <c r="V172" t="str">
        <f>Data!P172</f>
        <v/>
      </c>
      <c r="W172" t="str">
        <f>Data!N172</f>
        <v/>
      </c>
      <c r="X172">
        <f t="shared" si="7"/>
        <v>0</v>
      </c>
      <c r="AA172">
        <f>Data!A172</f>
        <v>0</v>
      </c>
      <c r="AB172">
        <f>Data!E172</f>
        <v>0</v>
      </c>
      <c r="AC172">
        <f>Data!F172</f>
        <v>0</v>
      </c>
      <c r="AD172">
        <f>Data!G172</f>
        <v>0</v>
      </c>
      <c r="AE172">
        <f>Data!B172</f>
        <v>0</v>
      </c>
      <c r="AF172" t="str">
        <f>Data!Q172</f>
        <v/>
      </c>
      <c r="AG172" t="str">
        <f>Data!N172</f>
        <v/>
      </c>
      <c r="AH172">
        <f>(IF($H$5="Curries/Stews",COUNTIF(Helper_Ingredient!$N$3:$N$20,AB172),IF($H$5="Salads",COUNTIF(Helper_Ingredient!$O$3:$O$20,AB172),COUNTIF(Helper_Ingredient!$P$3:$P$19,AB172)))&gt;0)+IF(AE172&gt;=30,(IF($H$5="Curries/Stews",COUNTIF(Helper_Ingredient!$N$3:$N$20,AC172),IF($H$5="Salads",COUNTIF(Helper_Ingredient!$O$3:$O$20,AC172),COUNTIF(Helper_Ingredient!$P$3:$P$19,AC172)))&gt;0),0)+IF(AE172&gt;=60,(IF($H$5="Curries/Stews",COUNTIF(Helper_Ingredient!$N$3:$N$20,AD172),IF($H$5="Salads",COUNTIF(Helper_Ingredient!$O$3:$O$20,AD172),COUNTIF(Helper_Ingredient!$P$3:$P$19,AD172)))&gt;0),0)</f>
        <v>0</v>
      </c>
      <c r="AI172">
        <f t="shared" si="8"/>
        <v>0</v>
      </c>
      <c r="AJ172">
        <f>Data!A172</f>
        <v>0</v>
      </c>
      <c r="AK172">
        <f>Data!H172</f>
        <v>0</v>
      </c>
      <c r="AL172">
        <f>Data!B172</f>
        <v>0</v>
      </c>
      <c r="AM172" t="str">
        <f>Data!R172</f>
        <v/>
      </c>
      <c r="AN172" t="str">
        <f>Data!N172</f>
        <v/>
      </c>
      <c r="AO172" t="e">
        <f t="shared" si="6"/>
        <v>#VALUE!</v>
      </c>
    </row>
    <row r="173" spans="19:41">
      <c r="S173">
        <f>Data!A173</f>
        <v>0</v>
      </c>
      <c r="T173" t="str">
        <f>Data!D173</f>
        <v/>
      </c>
      <c r="U173">
        <f>Data!B173</f>
        <v>0</v>
      </c>
      <c r="V173" t="str">
        <f>Data!P173</f>
        <v/>
      </c>
      <c r="W173" t="str">
        <f>Data!N173</f>
        <v/>
      </c>
      <c r="X173">
        <f t="shared" si="7"/>
        <v>0</v>
      </c>
      <c r="AA173">
        <f>Data!A173</f>
        <v>0</v>
      </c>
      <c r="AB173">
        <f>Data!E173</f>
        <v>0</v>
      </c>
      <c r="AC173">
        <f>Data!F173</f>
        <v>0</v>
      </c>
      <c r="AD173">
        <f>Data!G173</f>
        <v>0</v>
      </c>
      <c r="AE173">
        <f>Data!B173</f>
        <v>0</v>
      </c>
      <c r="AF173" t="str">
        <f>Data!Q173</f>
        <v/>
      </c>
      <c r="AG173" t="str">
        <f>Data!N173</f>
        <v/>
      </c>
      <c r="AH173">
        <f>(IF($H$5="Curries/Stews",COUNTIF(Helper_Ingredient!$N$3:$N$20,AB173),IF($H$5="Salads",COUNTIF(Helper_Ingredient!$O$3:$O$20,AB173),COUNTIF(Helper_Ingredient!$P$3:$P$19,AB173)))&gt;0)+IF(AE173&gt;=30,(IF($H$5="Curries/Stews",COUNTIF(Helper_Ingredient!$N$3:$N$20,AC173),IF($H$5="Salads",COUNTIF(Helper_Ingredient!$O$3:$O$20,AC173),COUNTIF(Helper_Ingredient!$P$3:$P$19,AC173)))&gt;0),0)+IF(AE173&gt;=60,(IF($H$5="Curries/Stews",COUNTIF(Helper_Ingredient!$N$3:$N$20,AD173),IF($H$5="Salads",COUNTIF(Helper_Ingredient!$O$3:$O$20,AD173),COUNTIF(Helper_Ingredient!$P$3:$P$19,AD173)))&gt;0),0)</f>
        <v>0</v>
      </c>
      <c r="AI173">
        <f t="shared" si="8"/>
        <v>0</v>
      </c>
      <c r="AJ173">
        <f>Data!A173</f>
        <v>0</v>
      </c>
      <c r="AK173">
        <f>Data!H173</f>
        <v>0</v>
      </c>
      <c r="AL173">
        <f>Data!B173</f>
        <v>0</v>
      </c>
      <c r="AM173" t="str">
        <f>Data!R173</f>
        <v/>
      </c>
      <c r="AN173" t="str">
        <f>Data!N173</f>
        <v/>
      </c>
      <c r="AO173" t="e">
        <f t="shared" si="6"/>
        <v>#VALUE!</v>
      </c>
    </row>
    <row r="174" spans="19:41">
      <c r="S174">
        <f>Data!A174</f>
        <v>0</v>
      </c>
      <c r="T174" t="str">
        <f>Data!D174</f>
        <v/>
      </c>
      <c r="U174">
        <f>Data!B174</f>
        <v>0</v>
      </c>
      <c r="V174" t="str">
        <f>Data!P174</f>
        <v/>
      </c>
      <c r="W174" t="str">
        <f>Data!N174</f>
        <v/>
      </c>
      <c r="X174">
        <f t="shared" si="7"/>
        <v>0</v>
      </c>
      <c r="AA174">
        <f>Data!A174</f>
        <v>0</v>
      </c>
      <c r="AB174">
        <f>Data!E174</f>
        <v>0</v>
      </c>
      <c r="AC174">
        <f>Data!F174</f>
        <v>0</v>
      </c>
      <c r="AD174">
        <f>Data!G174</f>
        <v>0</v>
      </c>
      <c r="AE174">
        <f>Data!B174</f>
        <v>0</v>
      </c>
      <c r="AF174" t="str">
        <f>Data!Q174</f>
        <v/>
      </c>
      <c r="AG174" t="str">
        <f>Data!N174</f>
        <v/>
      </c>
      <c r="AH174">
        <f>(IF($H$5="Curries/Stews",COUNTIF(Helper_Ingredient!$N$3:$N$20,AB174),IF($H$5="Salads",COUNTIF(Helper_Ingredient!$O$3:$O$20,AB174),COUNTIF(Helper_Ingredient!$P$3:$P$19,AB174)))&gt;0)+IF(AE174&gt;=30,(IF($H$5="Curries/Stews",COUNTIF(Helper_Ingredient!$N$3:$N$20,AC174),IF($H$5="Salads",COUNTIF(Helper_Ingredient!$O$3:$O$20,AC174),COUNTIF(Helper_Ingredient!$P$3:$P$19,AC174)))&gt;0),0)+IF(AE174&gt;=60,(IF($H$5="Curries/Stews",COUNTIF(Helper_Ingredient!$N$3:$N$20,AD174),IF($H$5="Salads",COUNTIF(Helper_Ingredient!$O$3:$O$20,AD174),COUNTIF(Helper_Ingredient!$P$3:$P$19,AD174)))&gt;0),0)</f>
        <v>0</v>
      </c>
      <c r="AI174">
        <f t="shared" si="8"/>
        <v>0</v>
      </c>
      <c r="AJ174">
        <f>Data!A174</f>
        <v>0</v>
      </c>
      <c r="AK174">
        <f>Data!H174</f>
        <v>0</v>
      </c>
      <c r="AL174">
        <f>Data!B174</f>
        <v>0</v>
      </c>
      <c r="AM174" t="str">
        <f>Data!R174</f>
        <v/>
      </c>
      <c r="AN174" t="str">
        <f>Data!N174</f>
        <v/>
      </c>
      <c r="AO174" t="e">
        <f t="shared" si="6"/>
        <v>#VALUE!</v>
      </c>
    </row>
    <row r="175" spans="19:41">
      <c r="S175">
        <f>Data!A175</f>
        <v>0</v>
      </c>
      <c r="T175" t="str">
        <f>Data!D175</f>
        <v/>
      </c>
      <c r="U175">
        <f>Data!B175</f>
        <v>0</v>
      </c>
      <c r="V175" t="str">
        <f>Data!P175</f>
        <v/>
      </c>
      <c r="W175" t="str">
        <f>Data!N175</f>
        <v/>
      </c>
      <c r="X175">
        <f t="shared" si="7"/>
        <v>0</v>
      </c>
      <c r="AA175">
        <f>Data!A175</f>
        <v>0</v>
      </c>
      <c r="AB175">
        <f>Data!E175</f>
        <v>0</v>
      </c>
      <c r="AC175">
        <f>Data!F175</f>
        <v>0</v>
      </c>
      <c r="AD175">
        <f>Data!G175</f>
        <v>0</v>
      </c>
      <c r="AE175">
        <f>Data!B175</f>
        <v>0</v>
      </c>
      <c r="AF175" t="str">
        <f>Data!Q175</f>
        <v/>
      </c>
      <c r="AG175" t="str">
        <f>Data!N175</f>
        <v/>
      </c>
      <c r="AH175">
        <f>(IF($H$5="Curries/Stews",COUNTIF(Helper_Ingredient!$N$3:$N$20,AB175),IF($H$5="Salads",COUNTIF(Helper_Ingredient!$O$3:$O$20,AB175),COUNTIF(Helper_Ingredient!$P$3:$P$19,AB175)))&gt;0)+IF(AE175&gt;=30,(IF($H$5="Curries/Stews",COUNTIF(Helper_Ingredient!$N$3:$N$20,AC175),IF($H$5="Salads",COUNTIF(Helper_Ingredient!$O$3:$O$20,AC175),COUNTIF(Helper_Ingredient!$P$3:$P$19,AC175)))&gt;0),0)+IF(AE175&gt;=60,(IF($H$5="Curries/Stews",COUNTIF(Helper_Ingredient!$N$3:$N$20,AD175),IF($H$5="Salads",COUNTIF(Helper_Ingredient!$O$3:$O$20,AD175),COUNTIF(Helper_Ingredient!$P$3:$P$19,AD175)))&gt;0),0)</f>
        <v>0</v>
      </c>
      <c r="AI175">
        <f t="shared" si="8"/>
        <v>0</v>
      </c>
      <c r="AJ175">
        <f>Data!A175</f>
        <v>0</v>
      </c>
      <c r="AK175">
        <f>Data!H175</f>
        <v>0</v>
      </c>
      <c r="AL175">
        <f>Data!B175</f>
        <v>0</v>
      </c>
      <c r="AM175" t="str">
        <f>Data!R175</f>
        <v/>
      </c>
      <c r="AN175" t="str">
        <f>Data!N175</f>
        <v/>
      </c>
      <c r="AO175" t="e">
        <f t="shared" si="6"/>
        <v>#VALUE!</v>
      </c>
    </row>
    <row r="176" spans="19:41">
      <c r="S176">
        <f>Data!A176</f>
        <v>0</v>
      </c>
      <c r="T176" t="str">
        <f>Data!D176</f>
        <v/>
      </c>
      <c r="U176">
        <f>Data!B176</f>
        <v>0</v>
      </c>
      <c r="V176" t="str">
        <f>Data!P176</f>
        <v/>
      </c>
      <c r="W176" t="str">
        <f>Data!N176</f>
        <v/>
      </c>
      <c r="X176">
        <f t="shared" si="7"/>
        <v>0</v>
      </c>
      <c r="AA176">
        <f>Data!A176</f>
        <v>0</v>
      </c>
      <c r="AB176">
        <f>Data!E176</f>
        <v>0</v>
      </c>
      <c r="AC176">
        <f>Data!F176</f>
        <v>0</v>
      </c>
      <c r="AD176">
        <f>Data!G176</f>
        <v>0</v>
      </c>
      <c r="AE176">
        <f>Data!B176</f>
        <v>0</v>
      </c>
      <c r="AF176" t="str">
        <f>Data!Q176</f>
        <v/>
      </c>
      <c r="AG176" t="str">
        <f>Data!N176</f>
        <v/>
      </c>
      <c r="AH176">
        <f>(IF($H$5="Curries/Stews",COUNTIF(Helper_Ingredient!$N$3:$N$20,AB176),IF($H$5="Salads",COUNTIF(Helper_Ingredient!$O$3:$O$20,AB176),COUNTIF(Helper_Ingredient!$P$3:$P$19,AB176)))&gt;0)+IF(AE176&gt;=30,(IF($H$5="Curries/Stews",COUNTIF(Helper_Ingredient!$N$3:$N$20,AC176),IF($H$5="Salads",COUNTIF(Helper_Ingredient!$O$3:$O$20,AC176),COUNTIF(Helper_Ingredient!$P$3:$P$19,AC176)))&gt;0),0)+IF(AE176&gt;=60,(IF($H$5="Curries/Stews",COUNTIF(Helper_Ingredient!$N$3:$N$20,AD176),IF($H$5="Salads",COUNTIF(Helper_Ingredient!$O$3:$O$20,AD176),COUNTIF(Helper_Ingredient!$P$3:$P$19,AD176)))&gt;0),0)</f>
        <v>0</v>
      </c>
      <c r="AI176">
        <f t="shared" si="8"/>
        <v>0</v>
      </c>
      <c r="AJ176">
        <f>Data!A176</f>
        <v>0</v>
      </c>
      <c r="AK176">
        <f>Data!H176</f>
        <v>0</v>
      </c>
      <c r="AL176">
        <f>Data!B176</f>
        <v>0</v>
      </c>
      <c r="AM176" t="str">
        <f>Data!R176</f>
        <v/>
      </c>
      <c r="AN176" t="str">
        <f>Data!N176</f>
        <v/>
      </c>
      <c r="AO176" t="e">
        <f t="shared" si="6"/>
        <v>#VALUE!</v>
      </c>
    </row>
    <row r="177" spans="19:41">
      <c r="S177">
        <f>Data!A177</f>
        <v>0</v>
      </c>
      <c r="T177" t="str">
        <f>Data!D177</f>
        <v/>
      </c>
      <c r="U177">
        <f>Data!B177</f>
        <v>0</v>
      </c>
      <c r="V177" t="str">
        <f>Data!P177</f>
        <v/>
      </c>
      <c r="W177" t="str">
        <f>Data!N177</f>
        <v/>
      </c>
      <c r="X177">
        <f t="shared" si="7"/>
        <v>0</v>
      </c>
      <c r="AA177">
        <f>Data!A177</f>
        <v>0</v>
      </c>
      <c r="AB177">
        <f>Data!E177</f>
        <v>0</v>
      </c>
      <c r="AC177">
        <f>Data!F177</f>
        <v>0</v>
      </c>
      <c r="AD177">
        <f>Data!G177</f>
        <v>0</v>
      </c>
      <c r="AE177">
        <f>Data!B177</f>
        <v>0</v>
      </c>
      <c r="AF177" t="str">
        <f>Data!Q177</f>
        <v/>
      </c>
      <c r="AG177" t="str">
        <f>Data!N177</f>
        <v/>
      </c>
      <c r="AH177">
        <f>(IF($H$5="Curries/Stews",COUNTIF(Helper_Ingredient!$N$3:$N$20,AB177),IF($H$5="Salads",COUNTIF(Helper_Ingredient!$O$3:$O$20,AB177),COUNTIF(Helper_Ingredient!$P$3:$P$19,AB177)))&gt;0)+IF(AE177&gt;=30,(IF($H$5="Curries/Stews",COUNTIF(Helper_Ingredient!$N$3:$N$20,AC177),IF($H$5="Salads",COUNTIF(Helper_Ingredient!$O$3:$O$20,AC177),COUNTIF(Helper_Ingredient!$P$3:$P$19,AC177)))&gt;0),0)+IF(AE177&gt;=60,(IF($H$5="Curries/Stews",COUNTIF(Helper_Ingredient!$N$3:$N$20,AD177),IF($H$5="Salads",COUNTIF(Helper_Ingredient!$O$3:$O$20,AD177),COUNTIF(Helper_Ingredient!$P$3:$P$19,AD177)))&gt;0),0)</f>
        <v>0</v>
      </c>
      <c r="AI177">
        <f t="shared" si="8"/>
        <v>0</v>
      </c>
      <c r="AJ177">
        <f>Data!A177</f>
        <v>0</v>
      </c>
      <c r="AK177">
        <f>Data!H177</f>
        <v>0</v>
      </c>
      <c r="AL177">
        <f>Data!B177</f>
        <v>0</v>
      </c>
      <c r="AM177" t="str">
        <f>Data!R177</f>
        <v/>
      </c>
      <c r="AN177" t="str">
        <f>Data!N177</f>
        <v/>
      </c>
      <c r="AO177" t="e">
        <f t="shared" si="6"/>
        <v>#VALUE!</v>
      </c>
    </row>
    <row r="178" spans="19:41">
      <c r="S178">
        <f>Data!A178</f>
        <v>0</v>
      </c>
      <c r="T178" t="str">
        <f>Data!D178</f>
        <v/>
      </c>
      <c r="U178">
        <f>Data!B178</f>
        <v>0</v>
      </c>
      <c r="V178" t="str">
        <f>Data!P178</f>
        <v/>
      </c>
      <c r="W178" t="str">
        <f>Data!N178</f>
        <v/>
      </c>
      <c r="X178">
        <f t="shared" si="7"/>
        <v>0</v>
      </c>
      <c r="AA178">
        <f>Data!A178</f>
        <v>0</v>
      </c>
      <c r="AB178">
        <f>Data!E178</f>
        <v>0</v>
      </c>
      <c r="AC178">
        <f>Data!F178</f>
        <v>0</v>
      </c>
      <c r="AD178">
        <f>Data!G178</f>
        <v>0</v>
      </c>
      <c r="AE178">
        <f>Data!B178</f>
        <v>0</v>
      </c>
      <c r="AF178" t="str">
        <f>Data!Q178</f>
        <v/>
      </c>
      <c r="AG178" t="str">
        <f>Data!N178</f>
        <v/>
      </c>
      <c r="AH178">
        <f>(IF($H$5="Curries/Stews",COUNTIF(Helper_Ingredient!$N$3:$N$20,AB178),IF($H$5="Salads",COUNTIF(Helper_Ingredient!$O$3:$O$20,AB178),COUNTIF(Helper_Ingredient!$P$3:$P$19,AB178)))&gt;0)+IF(AE178&gt;=30,(IF($H$5="Curries/Stews",COUNTIF(Helper_Ingredient!$N$3:$N$20,AC178),IF($H$5="Salads",COUNTIF(Helper_Ingredient!$O$3:$O$20,AC178),COUNTIF(Helper_Ingredient!$P$3:$P$19,AC178)))&gt;0),0)+IF(AE178&gt;=60,(IF($H$5="Curries/Stews",COUNTIF(Helper_Ingredient!$N$3:$N$20,AD178),IF($H$5="Salads",COUNTIF(Helper_Ingredient!$O$3:$O$20,AD178),COUNTIF(Helper_Ingredient!$P$3:$P$19,AD178)))&gt;0),0)</f>
        <v>0</v>
      </c>
      <c r="AI178">
        <f t="shared" si="8"/>
        <v>0</v>
      </c>
      <c r="AJ178">
        <f>Data!A178</f>
        <v>0</v>
      </c>
      <c r="AK178">
        <f>Data!H178</f>
        <v>0</v>
      </c>
      <c r="AL178">
        <f>Data!B178</f>
        <v>0</v>
      </c>
      <c r="AM178" t="str">
        <f>Data!R178</f>
        <v/>
      </c>
      <c r="AN178" t="str">
        <f>Data!N178</f>
        <v/>
      </c>
      <c r="AO178" t="e">
        <f t="shared" ref="AO178:AO241" si="9">(AM178*1000)+AL178+ROW()/1000000</f>
        <v>#VALUE!</v>
      </c>
    </row>
    <row r="179" spans="19:41">
      <c r="S179">
        <f>Data!A179</f>
        <v>0</v>
      </c>
      <c r="T179" t="str">
        <f>Data!D179</f>
        <v/>
      </c>
      <c r="U179">
        <f>Data!B179</f>
        <v>0</v>
      </c>
      <c r="V179" t="str">
        <f>Data!P179</f>
        <v/>
      </c>
      <c r="W179" t="str">
        <f>Data!N179</f>
        <v/>
      </c>
      <c r="X179">
        <f t="shared" si="7"/>
        <v>0</v>
      </c>
      <c r="AA179">
        <f>Data!A179</f>
        <v>0</v>
      </c>
      <c r="AB179">
        <f>Data!E179</f>
        <v>0</v>
      </c>
      <c r="AC179">
        <f>Data!F179</f>
        <v>0</v>
      </c>
      <c r="AD179">
        <f>Data!G179</f>
        <v>0</v>
      </c>
      <c r="AE179">
        <f>Data!B179</f>
        <v>0</v>
      </c>
      <c r="AF179" t="str">
        <f>Data!Q179</f>
        <v/>
      </c>
      <c r="AG179" t="str">
        <f>Data!N179</f>
        <v/>
      </c>
      <c r="AH179">
        <f>(IF($H$5="Curries/Stews",COUNTIF(Helper_Ingredient!$N$3:$N$20,AB179),IF($H$5="Salads",COUNTIF(Helper_Ingredient!$O$3:$O$20,AB179),COUNTIF(Helper_Ingredient!$P$3:$P$19,AB179)))&gt;0)+IF(AE179&gt;=30,(IF($H$5="Curries/Stews",COUNTIF(Helper_Ingredient!$N$3:$N$20,AC179),IF($H$5="Salads",COUNTIF(Helper_Ingredient!$O$3:$O$20,AC179),COUNTIF(Helper_Ingredient!$P$3:$P$19,AC179)))&gt;0),0)+IF(AE179&gt;=60,(IF($H$5="Curries/Stews",COUNTIF(Helper_Ingredient!$N$3:$N$20,AD179),IF($H$5="Salads",COUNTIF(Helper_Ingredient!$O$3:$O$20,AD179),COUNTIF(Helper_Ingredient!$P$3:$P$19,AD179)))&gt;0),0)</f>
        <v>0</v>
      </c>
      <c r="AI179">
        <f t="shared" si="8"/>
        <v>0</v>
      </c>
      <c r="AJ179">
        <f>Data!A179</f>
        <v>0</v>
      </c>
      <c r="AK179">
        <f>Data!H179</f>
        <v>0</v>
      </c>
      <c r="AL179">
        <f>Data!B179</f>
        <v>0</v>
      </c>
      <c r="AM179" t="str">
        <f>Data!R179</f>
        <v/>
      </c>
      <c r="AN179" t="str">
        <f>Data!N179</f>
        <v/>
      </c>
      <c r="AO179" t="e">
        <f t="shared" si="9"/>
        <v>#VALUE!</v>
      </c>
    </row>
    <row r="180" spans="19:41">
      <c r="S180">
        <f>Data!A180</f>
        <v>0</v>
      </c>
      <c r="T180" t="str">
        <f>Data!D180</f>
        <v/>
      </c>
      <c r="U180">
        <f>Data!B180</f>
        <v>0</v>
      </c>
      <c r="V180" t="str">
        <f>Data!P180</f>
        <v/>
      </c>
      <c r="W180" t="str">
        <f>Data!N180</f>
        <v/>
      </c>
      <c r="X180">
        <f t="shared" si="7"/>
        <v>0</v>
      </c>
      <c r="AA180">
        <f>Data!A180</f>
        <v>0</v>
      </c>
      <c r="AB180">
        <f>Data!E180</f>
        <v>0</v>
      </c>
      <c r="AC180">
        <f>Data!F180</f>
        <v>0</v>
      </c>
      <c r="AD180">
        <f>Data!G180</f>
        <v>0</v>
      </c>
      <c r="AE180">
        <f>Data!B180</f>
        <v>0</v>
      </c>
      <c r="AF180" t="str">
        <f>Data!Q180</f>
        <v/>
      </c>
      <c r="AG180" t="str">
        <f>Data!N180</f>
        <v/>
      </c>
      <c r="AH180">
        <f>(IF($H$5="Curries/Stews",COUNTIF(Helper_Ingredient!$N$3:$N$20,AB180),IF($H$5="Salads",COUNTIF(Helper_Ingredient!$O$3:$O$20,AB180),COUNTIF(Helper_Ingredient!$P$3:$P$19,AB180)))&gt;0)+IF(AE180&gt;=30,(IF($H$5="Curries/Stews",COUNTIF(Helper_Ingredient!$N$3:$N$20,AC180),IF($H$5="Salads",COUNTIF(Helper_Ingredient!$O$3:$O$20,AC180),COUNTIF(Helper_Ingredient!$P$3:$P$19,AC180)))&gt;0),0)+IF(AE180&gt;=60,(IF($H$5="Curries/Stews",COUNTIF(Helper_Ingredient!$N$3:$N$20,AD180),IF($H$5="Salads",COUNTIF(Helper_Ingredient!$O$3:$O$20,AD180),COUNTIF(Helper_Ingredient!$P$3:$P$19,AD180)))&gt;0),0)</f>
        <v>0</v>
      </c>
      <c r="AI180">
        <f t="shared" si="8"/>
        <v>0</v>
      </c>
      <c r="AJ180">
        <f>Data!A180</f>
        <v>0</v>
      </c>
      <c r="AK180">
        <f>Data!H180</f>
        <v>0</v>
      </c>
      <c r="AL180">
        <f>Data!B180</f>
        <v>0</v>
      </c>
      <c r="AM180" t="str">
        <f>Data!R180</f>
        <v/>
      </c>
      <c r="AN180" t="str">
        <f>Data!N180</f>
        <v/>
      </c>
      <c r="AO180" t="e">
        <f t="shared" si="9"/>
        <v>#VALUE!</v>
      </c>
    </row>
    <row r="181" spans="19:41">
      <c r="S181">
        <f>Data!A181</f>
        <v>0</v>
      </c>
      <c r="T181" t="str">
        <f>Data!D181</f>
        <v/>
      </c>
      <c r="U181">
        <f>Data!B181</f>
        <v>0</v>
      </c>
      <c r="V181" t="str">
        <f>Data!P181</f>
        <v/>
      </c>
      <c r="W181" t="str">
        <f>Data!N181</f>
        <v/>
      </c>
      <c r="X181">
        <f t="shared" si="7"/>
        <v>0</v>
      </c>
      <c r="AA181">
        <f>Data!A181</f>
        <v>0</v>
      </c>
      <c r="AB181">
        <f>Data!E181</f>
        <v>0</v>
      </c>
      <c r="AC181">
        <f>Data!F181</f>
        <v>0</v>
      </c>
      <c r="AD181">
        <f>Data!G181</f>
        <v>0</v>
      </c>
      <c r="AE181">
        <f>Data!B181</f>
        <v>0</v>
      </c>
      <c r="AF181" t="str">
        <f>Data!Q181</f>
        <v/>
      </c>
      <c r="AG181" t="str">
        <f>Data!N181</f>
        <v/>
      </c>
      <c r="AH181">
        <f>(IF($H$5="Curries/Stews",COUNTIF(Helper_Ingredient!$N$3:$N$20,AB181),IF($H$5="Salads",COUNTIF(Helper_Ingredient!$O$3:$O$20,AB181),COUNTIF(Helper_Ingredient!$P$3:$P$19,AB181)))&gt;0)+IF(AE181&gt;=30,(IF($H$5="Curries/Stews",COUNTIF(Helper_Ingredient!$N$3:$N$20,AC181),IF($H$5="Salads",COUNTIF(Helper_Ingredient!$O$3:$O$20,AC181),COUNTIF(Helper_Ingredient!$P$3:$P$19,AC181)))&gt;0),0)+IF(AE181&gt;=60,(IF($H$5="Curries/Stews",COUNTIF(Helper_Ingredient!$N$3:$N$20,AD181),IF($H$5="Salads",COUNTIF(Helper_Ingredient!$O$3:$O$20,AD181),COUNTIF(Helper_Ingredient!$P$3:$P$19,AD181)))&gt;0),0)</f>
        <v>0</v>
      </c>
      <c r="AI181">
        <f t="shared" si="8"/>
        <v>0</v>
      </c>
      <c r="AJ181">
        <f>Data!A181</f>
        <v>0</v>
      </c>
      <c r="AK181">
        <f>Data!H181</f>
        <v>0</v>
      </c>
      <c r="AL181">
        <f>Data!B181</f>
        <v>0</v>
      </c>
      <c r="AM181" t="str">
        <f>Data!R181</f>
        <v/>
      </c>
      <c r="AN181" t="str">
        <f>Data!N181</f>
        <v/>
      </c>
      <c r="AO181" t="e">
        <f t="shared" si="9"/>
        <v>#VALUE!</v>
      </c>
    </row>
    <row r="182" spans="19:41">
      <c r="S182">
        <f>Data!A182</f>
        <v>0</v>
      </c>
      <c r="T182" t="str">
        <f>Data!D182</f>
        <v/>
      </c>
      <c r="U182">
        <f>Data!B182</f>
        <v>0</v>
      </c>
      <c r="V182" t="str">
        <f>Data!P182</f>
        <v/>
      </c>
      <c r="W182" t="str">
        <f>Data!N182</f>
        <v/>
      </c>
      <c r="X182">
        <f t="shared" si="7"/>
        <v>0</v>
      </c>
      <c r="AA182">
        <f>Data!A182</f>
        <v>0</v>
      </c>
      <c r="AB182">
        <f>Data!E182</f>
        <v>0</v>
      </c>
      <c r="AC182">
        <f>Data!F182</f>
        <v>0</v>
      </c>
      <c r="AD182">
        <f>Data!G182</f>
        <v>0</v>
      </c>
      <c r="AE182">
        <f>Data!B182</f>
        <v>0</v>
      </c>
      <c r="AF182" t="str">
        <f>Data!Q182</f>
        <v/>
      </c>
      <c r="AG182" t="str">
        <f>Data!N182</f>
        <v/>
      </c>
      <c r="AH182">
        <f>(IF($H$5="Curries/Stews",COUNTIF(Helper_Ingredient!$N$3:$N$20,AB182),IF($H$5="Salads",COUNTIF(Helper_Ingredient!$O$3:$O$20,AB182),COUNTIF(Helper_Ingredient!$P$3:$P$19,AB182)))&gt;0)+IF(AE182&gt;=30,(IF($H$5="Curries/Stews",COUNTIF(Helper_Ingredient!$N$3:$N$20,AC182),IF($H$5="Salads",COUNTIF(Helper_Ingredient!$O$3:$O$20,AC182),COUNTIF(Helper_Ingredient!$P$3:$P$19,AC182)))&gt;0),0)+IF(AE182&gt;=60,(IF($H$5="Curries/Stews",COUNTIF(Helper_Ingredient!$N$3:$N$20,AD182),IF($H$5="Salads",COUNTIF(Helper_Ingredient!$O$3:$O$20,AD182),COUNTIF(Helper_Ingredient!$P$3:$P$19,AD182)))&gt;0),0)</f>
        <v>0</v>
      </c>
      <c r="AI182">
        <f t="shared" si="8"/>
        <v>0</v>
      </c>
      <c r="AJ182">
        <f>Data!A182</f>
        <v>0</v>
      </c>
      <c r="AK182">
        <f>Data!H182</f>
        <v>0</v>
      </c>
      <c r="AL182">
        <f>Data!B182</f>
        <v>0</v>
      </c>
      <c r="AM182" t="str">
        <f>Data!R182</f>
        <v/>
      </c>
      <c r="AN182" t="str">
        <f>Data!N182</f>
        <v/>
      </c>
      <c r="AO182" t="e">
        <f t="shared" si="9"/>
        <v>#VALUE!</v>
      </c>
    </row>
    <row r="183" spans="19:41">
      <c r="S183">
        <f>Data!A183</f>
        <v>0</v>
      </c>
      <c r="T183" t="str">
        <f>Data!D183</f>
        <v/>
      </c>
      <c r="U183">
        <f>Data!B183</f>
        <v>0</v>
      </c>
      <c r="V183" t="str">
        <f>Data!P183</f>
        <v/>
      </c>
      <c r="W183" t="str">
        <f>Data!N183</f>
        <v/>
      </c>
      <c r="X183">
        <f t="shared" si="7"/>
        <v>0</v>
      </c>
      <c r="AA183">
        <f>Data!A183</f>
        <v>0</v>
      </c>
      <c r="AB183">
        <f>Data!E183</f>
        <v>0</v>
      </c>
      <c r="AC183">
        <f>Data!F183</f>
        <v>0</v>
      </c>
      <c r="AD183">
        <f>Data!G183</f>
        <v>0</v>
      </c>
      <c r="AE183">
        <f>Data!B183</f>
        <v>0</v>
      </c>
      <c r="AF183" t="str">
        <f>Data!Q183</f>
        <v/>
      </c>
      <c r="AG183" t="str">
        <f>Data!N183</f>
        <v/>
      </c>
      <c r="AH183">
        <f>(IF($H$5="Curries/Stews",COUNTIF(Helper_Ingredient!$N$3:$N$20,AB183),IF($H$5="Salads",COUNTIF(Helper_Ingredient!$O$3:$O$20,AB183),COUNTIF(Helper_Ingredient!$P$3:$P$19,AB183)))&gt;0)+IF(AE183&gt;=30,(IF($H$5="Curries/Stews",COUNTIF(Helper_Ingredient!$N$3:$N$20,AC183),IF($H$5="Salads",COUNTIF(Helper_Ingredient!$O$3:$O$20,AC183),COUNTIF(Helper_Ingredient!$P$3:$P$19,AC183)))&gt;0),0)+IF(AE183&gt;=60,(IF($H$5="Curries/Stews",COUNTIF(Helper_Ingredient!$N$3:$N$20,AD183),IF($H$5="Salads",COUNTIF(Helper_Ingredient!$O$3:$O$20,AD183),COUNTIF(Helper_Ingredient!$P$3:$P$19,AD183)))&gt;0),0)</f>
        <v>0</v>
      </c>
      <c r="AI183">
        <f t="shared" si="8"/>
        <v>0</v>
      </c>
      <c r="AJ183">
        <f>Data!A183</f>
        <v>0</v>
      </c>
      <c r="AK183">
        <f>Data!H183</f>
        <v>0</v>
      </c>
      <c r="AL183">
        <f>Data!B183</f>
        <v>0</v>
      </c>
      <c r="AM183" t="str">
        <f>Data!R183</f>
        <v/>
      </c>
      <c r="AN183" t="str">
        <f>Data!N183</f>
        <v/>
      </c>
      <c r="AO183" t="e">
        <f t="shared" si="9"/>
        <v>#VALUE!</v>
      </c>
    </row>
    <row r="184" spans="19:41">
      <c r="S184">
        <f>Data!A184</f>
        <v>0</v>
      </c>
      <c r="T184" t="str">
        <f>Data!D184</f>
        <v/>
      </c>
      <c r="U184">
        <f>Data!B184</f>
        <v>0</v>
      </c>
      <c r="V184" t="str">
        <f>Data!P184</f>
        <v/>
      </c>
      <c r="W184" t="str">
        <f>Data!N184</f>
        <v/>
      </c>
      <c r="X184">
        <f t="shared" si="7"/>
        <v>0</v>
      </c>
      <c r="AA184">
        <f>Data!A184</f>
        <v>0</v>
      </c>
      <c r="AB184">
        <f>Data!E184</f>
        <v>0</v>
      </c>
      <c r="AC184">
        <f>Data!F184</f>
        <v>0</v>
      </c>
      <c r="AD184">
        <f>Data!G184</f>
        <v>0</v>
      </c>
      <c r="AE184">
        <f>Data!B184</f>
        <v>0</v>
      </c>
      <c r="AF184" t="str">
        <f>Data!Q184</f>
        <v/>
      </c>
      <c r="AG184" t="str">
        <f>Data!N184</f>
        <v/>
      </c>
      <c r="AH184">
        <f>(IF($H$5="Curries/Stews",COUNTIF(Helper_Ingredient!$N$3:$N$20,AB184),IF($H$5="Salads",COUNTIF(Helper_Ingredient!$O$3:$O$20,AB184),COUNTIF(Helper_Ingredient!$P$3:$P$19,AB184)))&gt;0)+IF(AE184&gt;=30,(IF($H$5="Curries/Stews",COUNTIF(Helper_Ingredient!$N$3:$N$20,AC184),IF($H$5="Salads",COUNTIF(Helper_Ingredient!$O$3:$O$20,AC184),COUNTIF(Helper_Ingredient!$P$3:$P$19,AC184)))&gt;0),0)+IF(AE184&gt;=60,(IF($H$5="Curries/Stews",COUNTIF(Helper_Ingredient!$N$3:$N$20,AD184),IF($H$5="Salads",COUNTIF(Helper_Ingredient!$O$3:$O$20,AD184),COUNTIF(Helper_Ingredient!$P$3:$P$19,AD184)))&gt;0),0)</f>
        <v>0</v>
      </c>
      <c r="AI184">
        <f t="shared" si="8"/>
        <v>0</v>
      </c>
      <c r="AJ184">
        <f>Data!A184</f>
        <v>0</v>
      </c>
      <c r="AK184">
        <f>Data!H184</f>
        <v>0</v>
      </c>
      <c r="AL184">
        <f>Data!B184</f>
        <v>0</v>
      </c>
      <c r="AM184" t="str">
        <f>Data!R184</f>
        <v/>
      </c>
      <c r="AN184" t="str">
        <f>Data!N184</f>
        <v/>
      </c>
      <c r="AO184" t="e">
        <f t="shared" si="9"/>
        <v>#VALUE!</v>
      </c>
    </row>
    <row r="185" spans="19:41">
      <c r="S185">
        <f>Data!A185</f>
        <v>0</v>
      </c>
      <c r="T185" t="str">
        <f>Data!D185</f>
        <v/>
      </c>
      <c r="U185">
        <f>Data!B185</f>
        <v>0</v>
      </c>
      <c r="V185" t="str">
        <f>Data!P185</f>
        <v/>
      </c>
      <c r="W185" t="str">
        <f>Data!N185</f>
        <v/>
      </c>
      <c r="X185">
        <f t="shared" si="7"/>
        <v>0</v>
      </c>
      <c r="AA185">
        <f>Data!A185</f>
        <v>0</v>
      </c>
      <c r="AB185">
        <f>Data!E185</f>
        <v>0</v>
      </c>
      <c r="AC185">
        <f>Data!F185</f>
        <v>0</v>
      </c>
      <c r="AD185">
        <f>Data!G185</f>
        <v>0</v>
      </c>
      <c r="AE185">
        <f>Data!B185</f>
        <v>0</v>
      </c>
      <c r="AF185" t="str">
        <f>Data!Q185</f>
        <v/>
      </c>
      <c r="AG185" t="str">
        <f>Data!N185</f>
        <v/>
      </c>
      <c r="AH185">
        <f>(IF($H$5="Curries/Stews",COUNTIF(Helper_Ingredient!$N$3:$N$20,AB185),IF($H$5="Salads",COUNTIF(Helper_Ingredient!$O$3:$O$20,AB185),COUNTIF(Helper_Ingredient!$P$3:$P$19,AB185)))&gt;0)+IF(AE185&gt;=30,(IF($H$5="Curries/Stews",COUNTIF(Helper_Ingredient!$N$3:$N$20,AC185),IF($H$5="Salads",COUNTIF(Helper_Ingredient!$O$3:$O$20,AC185),COUNTIF(Helper_Ingredient!$P$3:$P$19,AC185)))&gt;0),0)+IF(AE185&gt;=60,(IF($H$5="Curries/Stews",COUNTIF(Helper_Ingredient!$N$3:$N$20,AD185),IF($H$5="Salads",COUNTIF(Helper_Ingredient!$O$3:$O$20,AD185),COUNTIF(Helper_Ingredient!$P$3:$P$19,AD185)))&gt;0),0)</f>
        <v>0</v>
      </c>
      <c r="AI185">
        <f t="shared" si="8"/>
        <v>0</v>
      </c>
      <c r="AJ185">
        <f>Data!A185</f>
        <v>0</v>
      </c>
      <c r="AK185">
        <f>Data!H185</f>
        <v>0</v>
      </c>
      <c r="AL185">
        <f>Data!B185</f>
        <v>0</v>
      </c>
      <c r="AM185" t="str">
        <f>Data!R185</f>
        <v/>
      </c>
      <c r="AN185" t="str">
        <f>Data!N185</f>
        <v/>
      </c>
      <c r="AO185" t="e">
        <f t="shared" si="9"/>
        <v>#VALUE!</v>
      </c>
    </row>
    <row r="186" spans="19:41">
      <c r="S186">
        <f>Data!A186</f>
        <v>0</v>
      </c>
      <c r="T186" t="str">
        <f>Data!D186</f>
        <v/>
      </c>
      <c r="U186">
        <f>Data!B186</f>
        <v>0</v>
      </c>
      <c r="V186" t="str">
        <f>Data!P186</f>
        <v/>
      </c>
      <c r="W186" t="str">
        <f>Data!N186</f>
        <v/>
      </c>
      <c r="X186">
        <f t="shared" si="7"/>
        <v>0</v>
      </c>
      <c r="AA186">
        <f>Data!A186</f>
        <v>0</v>
      </c>
      <c r="AB186">
        <f>Data!E186</f>
        <v>0</v>
      </c>
      <c r="AC186">
        <f>Data!F186</f>
        <v>0</v>
      </c>
      <c r="AD186">
        <f>Data!G186</f>
        <v>0</v>
      </c>
      <c r="AE186">
        <f>Data!B186</f>
        <v>0</v>
      </c>
      <c r="AF186" t="str">
        <f>Data!Q186</f>
        <v/>
      </c>
      <c r="AG186" t="str">
        <f>Data!N186</f>
        <v/>
      </c>
      <c r="AH186">
        <f>(IF($H$5="Curries/Stews",COUNTIF(Helper_Ingredient!$N$3:$N$20,AB186),IF($H$5="Salads",COUNTIF(Helper_Ingredient!$O$3:$O$20,AB186),COUNTIF(Helper_Ingredient!$P$3:$P$19,AB186)))&gt;0)+IF(AE186&gt;=30,(IF($H$5="Curries/Stews",COUNTIF(Helper_Ingredient!$N$3:$N$20,AC186),IF($H$5="Salads",COUNTIF(Helper_Ingredient!$O$3:$O$20,AC186),COUNTIF(Helper_Ingredient!$P$3:$P$19,AC186)))&gt;0),0)+IF(AE186&gt;=60,(IF($H$5="Curries/Stews",COUNTIF(Helper_Ingredient!$N$3:$N$20,AD186),IF($H$5="Salads",COUNTIF(Helper_Ingredient!$O$3:$O$20,AD186),COUNTIF(Helper_Ingredient!$P$3:$P$19,AD186)))&gt;0),0)</f>
        <v>0</v>
      </c>
      <c r="AI186">
        <f t="shared" si="8"/>
        <v>0</v>
      </c>
      <c r="AJ186">
        <f>Data!A186</f>
        <v>0</v>
      </c>
      <c r="AK186">
        <f>Data!H186</f>
        <v>0</v>
      </c>
      <c r="AL186">
        <f>Data!B186</f>
        <v>0</v>
      </c>
      <c r="AM186" t="str">
        <f>Data!R186</f>
        <v/>
      </c>
      <c r="AN186" t="str">
        <f>Data!N186</f>
        <v/>
      </c>
      <c r="AO186" t="e">
        <f t="shared" si="9"/>
        <v>#VALUE!</v>
      </c>
    </row>
    <row r="187" spans="19:41">
      <c r="S187">
        <f>Data!A187</f>
        <v>0</v>
      </c>
      <c r="T187" t="str">
        <f>Data!D187</f>
        <v/>
      </c>
      <c r="U187">
        <f>Data!B187</f>
        <v>0</v>
      </c>
      <c r="V187" t="str">
        <f>Data!P187</f>
        <v/>
      </c>
      <c r="W187" t="str">
        <f>Data!N187</f>
        <v/>
      </c>
      <c r="X187">
        <f t="shared" si="7"/>
        <v>0</v>
      </c>
      <c r="AA187">
        <f>Data!A187</f>
        <v>0</v>
      </c>
      <c r="AB187">
        <f>Data!E187</f>
        <v>0</v>
      </c>
      <c r="AC187">
        <f>Data!F187</f>
        <v>0</v>
      </c>
      <c r="AD187">
        <f>Data!G187</f>
        <v>0</v>
      </c>
      <c r="AE187">
        <f>Data!B187</f>
        <v>0</v>
      </c>
      <c r="AF187" t="str">
        <f>Data!Q187</f>
        <v/>
      </c>
      <c r="AG187" t="str">
        <f>Data!N187</f>
        <v/>
      </c>
      <c r="AH187">
        <f>(IF($H$5="Curries/Stews",COUNTIF(Helper_Ingredient!$N$3:$N$20,AB187),IF($H$5="Salads",COUNTIF(Helper_Ingredient!$O$3:$O$20,AB187),COUNTIF(Helper_Ingredient!$P$3:$P$19,AB187)))&gt;0)+IF(AE187&gt;=30,(IF($H$5="Curries/Stews",COUNTIF(Helper_Ingredient!$N$3:$N$20,AC187),IF($H$5="Salads",COUNTIF(Helper_Ingredient!$O$3:$O$20,AC187),COUNTIF(Helper_Ingredient!$P$3:$P$19,AC187)))&gt;0),0)+IF(AE187&gt;=60,(IF($H$5="Curries/Stews",COUNTIF(Helper_Ingredient!$N$3:$N$20,AD187),IF($H$5="Salads",COUNTIF(Helper_Ingredient!$O$3:$O$20,AD187),COUNTIF(Helper_Ingredient!$P$3:$P$19,AD187)))&gt;0),0)</f>
        <v>0</v>
      </c>
      <c r="AI187">
        <f t="shared" si="8"/>
        <v>0</v>
      </c>
      <c r="AJ187">
        <f>Data!A187</f>
        <v>0</v>
      </c>
      <c r="AK187">
        <f>Data!H187</f>
        <v>0</v>
      </c>
      <c r="AL187">
        <f>Data!B187</f>
        <v>0</v>
      </c>
      <c r="AM187" t="str">
        <f>Data!R187</f>
        <v/>
      </c>
      <c r="AN187" t="str">
        <f>Data!N187</f>
        <v/>
      </c>
      <c r="AO187" t="e">
        <f t="shared" si="9"/>
        <v>#VALUE!</v>
      </c>
    </row>
    <row r="188" spans="19:41">
      <c r="S188">
        <f>Data!A188</f>
        <v>0</v>
      </c>
      <c r="T188" t="str">
        <f>Data!D188</f>
        <v/>
      </c>
      <c r="U188">
        <f>Data!B188</f>
        <v>0</v>
      </c>
      <c r="V188" t="str">
        <f>Data!P188</f>
        <v/>
      </c>
      <c r="W188" t="str">
        <f>Data!N188</f>
        <v/>
      </c>
      <c r="X188">
        <f t="shared" si="7"/>
        <v>0</v>
      </c>
      <c r="AA188">
        <f>Data!A188</f>
        <v>0</v>
      </c>
      <c r="AB188">
        <f>Data!E188</f>
        <v>0</v>
      </c>
      <c r="AC188">
        <f>Data!F188</f>
        <v>0</v>
      </c>
      <c r="AD188">
        <f>Data!G188</f>
        <v>0</v>
      </c>
      <c r="AE188">
        <f>Data!B188</f>
        <v>0</v>
      </c>
      <c r="AF188" t="str">
        <f>Data!Q188</f>
        <v/>
      </c>
      <c r="AG188" t="str">
        <f>Data!N188</f>
        <v/>
      </c>
      <c r="AH188">
        <f>(IF($H$5="Curries/Stews",COUNTIF(Helper_Ingredient!$N$3:$N$20,AB188),IF($H$5="Salads",COUNTIF(Helper_Ingredient!$O$3:$O$20,AB188),COUNTIF(Helper_Ingredient!$P$3:$P$19,AB188)))&gt;0)+IF(AE188&gt;=30,(IF($H$5="Curries/Stews",COUNTIF(Helper_Ingredient!$N$3:$N$20,AC188),IF($H$5="Salads",COUNTIF(Helper_Ingredient!$O$3:$O$20,AC188),COUNTIF(Helper_Ingredient!$P$3:$P$19,AC188)))&gt;0),0)+IF(AE188&gt;=60,(IF($H$5="Curries/Stews",COUNTIF(Helper_Ingredient!$N$3:$N$20,AD188),IF($H$5="Salads",COUNTIF(Helper_Ingredient!$O$3:$O$20,AD188),COUNTIF(Helper_Ingredient!$P$3:$P$19,AD188)))&gt;0),0)</f>
        <v>0</v>
      </c>
      <c r="AI188">
        <f t="shared" si="8"/>
        <v>0</v>
      </c>
      <c r="AJ188">
        <f>Data!A188</f>
        <v>0</v>
      </c>
      <c r="AK188">
        <f>Data!H188</f>
        <v>0</v>
      </c>
      <c r="AL188">
        <f>Data!B188</f>
        <v>0</v>
      </c>
      <c r="AM188" t="str">
        <f>Data!R188</f>
        <v/>
      </c>
      <c r="AN188" t="str">
        <f>Data!N188</f>
        <v/>
      </c>
      <c r="AO188" t="e">
        <f t="shared" si="9"/>
        <v>#VALUE!</v>
      </c>
    </row>
    <row r="189" spans="19:41">
      <c r="S189">
        <f>Data!A189</f>
        <v>0</v>
      </c>
      <c r="T189" t="str">
        <f>Data!D189</f>
        <v/>
      </c>
      <c r="U189">
        <f>Data!B189</f>
        <v>0</v>
      </c>
      <c r="V189" t="str">
        <f>Data!P189</f>
        <v/>
      </c>
      <c r="W189" t="str">
        <f>Data!N189</f>
        <v/>
      </c>
      <c r="X189">
        <f t="shared" si="7"/>
        <v>0</v>
      </c>
      <c r="AA189">
        <f>Data!A189</f>
        <v>0</v>
      </c>
      <c r="AB189">
        <f>Data!E189</f>
        <v>0</v>
      </c>
      <c r="AC189">
        <f>Data!F189</f>
        <v>0</v>
      </c>
      <c r="AD189">
        <f>Data!G189</f>
        <v>0</v>
      </c>
      <c r="AE189">
        <f>Data!B189</f>
        <v>0</v>
      </c>
      <c r="AF189" t="str">
        <f>Data!Q189</f>
        <v/>
      </c>
      <c r="AG189" t="str">
        <f>Data!N189</f>
        <v/>
      </c>
      <c r="AH189">
        <f>(IF($H$5="Curries/Stews",COUNTIF(Helper_Ingredient!$N$3:$N$20,AB189),IF($H$5="Salads",COUNTIF(Helper_Ingredient!$O$3:$O$20,AB189),COUNTIF(Helper_Ingredient!$P$3:$P$19,AB189)))&gt;0)+IF(AE189&gt;=30,(IF($H$5="Curries/Stews",COUNTIF(Helper_Ingredient!$N$3:$N$20,AC189),IF($H$5="Salads",COUNTIF(Helper_Ingredient!$O$3:$O$20,AC189),COUNTIF(Helper_Ingredient!$P$3:$P$19,AC189)))&gt;0),0)+IF(AE189&gt;=60,(IF($H$5="Curries/Stews",COUNTIF(Helper_Ingredient!$N$3:$N$20,AD189),IF($H$5="Salads",COUNTIF(Helper_Ingredient!$O$3:$O$20,AD189),COUNTIF(Helper_Ingredient!$P$3:$P$19,AD189)))&gt;0),0)</f>
        <v>0</v>
      </c>
      <c r="AI189">
        <f t="shared" si="8"/>
        <v>0</v>
      </c>
      <c r="AJ189">
        <f>Data!A189</f>
        <v>0</v>
      </c>
      <c r="AK189">
        <f>Data!H189</f>
        <v>0</v>
      </c>
      <c r="AL189">
        <f>Data!B189</f>
        <v>0</v>
      </c>
      <c r="AM189" t="str">
        <f>Data!R189</f>
        <v/>
      </c>
      <c r="AN189" t="str">
        <f>Data!N189</f>
        <v/>
      </c>
      <c r="AO189" t="e">
        <f t="shared" si="9"/>
        <v>#VALUE!</v>
      </c>
    </row>
    <row r="190" spans="19:41">
      <c r="S190">
        <f>Data!A190</f>
        <v>0</v>
      </c>
      <c r="T190" t="str">
        <f>Data!D190</f>
        <v/>
      </c>
      <c r="U190">
        <f>Data!B190</f>
        <v>0</v>
      </c>
      <c r="V190" t="str">
        <f>Data!P190</f>
        <v/>
      </c>
      <c r="W190" t="str">
        <f>Data!N190</f>
        <v/>
      </c>
      <c r="X190">
        <f t="shared" si="7"/>
        <v>0</v>
      </c>
      <c r="AA190">
        <f>Data!A190</f>
        <v>0</v>
      </c>
      <c r="AB190">
        <f>Data!E190</f>
        <v>0</v>
      </c>
      <c r="AC190">
        <f>Data!F190</f>
        <v>0</v>
      </c>
      <c r="AD190">
        <f>Data!G190</f>
        <v>0</v>
      </c>
      <c r="AE190">
        <f>Data!B190</f>
        <v>0</v>
      </c>
      <c r="AF190" t="str">
        <f>Data!Q190</f>
        <v/>
      </c>
      <c r="AG190" t="str">
        <f>Data!N190</f>
        <v/>
      </c>
      <c r="AH190">
        <f>(IF($H$5="Curries/Stews",COUNTIF(Helper_Ingredient!$N$3:$N$20,AB190),IF($H$5="Salads",COUNTIF(Helper_Ingredient!$O$3:$O$20,AB190),COUNTIF(Helper_Ingredient!$P$3:$P$19,AB190)))&gt;0)+IF(AE190&gt;=30,(IF($H$5="Curries/Stews",COUNTIF(Helper_Ingredient!$N$3:$N$20,AC190),IF($H$5="Salads",COUNTIF(Helper_Ingredient!$O$3:$O$20,AC190),COUNTIF(Helper_Ingredient!$P$3:$P$19,AC190)))&gt;0),0)+IF(AE190&gt;=60,(IF($H$5="Curries/Stews",COUNTIF(Helper_Ingredient!$N$3:$N$20,AD190),IF($H$5="Salads",COUNTIF(Helper_Ingredient!$O$3:$O$20,AD190),COUNTIF(Helper_Ingredient!$P$3:$P$19,AD190)))&gt;0),0)</f>
        <v>0</v>
      </c>
      <c r="AI190">
        <f t="shared" si="8"/>
        <v>0</v>
      </c>
      <c r="AJ190">
        <f>Data!A190</f>
        <v>0</v>
      </c>
      <c r="AK190">
        <f>Data!H190</f>
        <v>0</v>
      </c>
      <c r="AL190">
        <f>Data!B190</f>
        <v>0</v>
      </c>
      <c r="AM190" t="str">
        <f>Data!R190</f>
        <v/>
      </c>
      <c r="AN190" t="str">
        <f>Data!N190</f>
        <v/>
      </c>
      <c r="AO190" t="e">
        <f t="shared" si="9"/>
        <v>#VALUE!</v>
      </c>
    </row>
    <row r="191" spans="19:41">
      <c r="S191">
        <f>Data!A191</f>
        <v>0</v>
      </c>
      <c r="T191" t="str">
        <f>Data!D191</f>
        <v/>
      </c>
      <c r="U191">
        <f>Data!B191</f>
        <v>0</v>
      </c>
      <c r="V191" t="str">
        <f>Data!P191</f>
        <v/>
      </c>
      <c r="W191" t="str">
        <f>Data!N191</f>
        <v/>
      </c>
      <c r="X191">
        <f t="shared" si="7"/>
        <v>0</v>
      </c>
      <c r="AA191">
        <f>Data!A191</f>
        <v>0</v>
      </c>
      <c r="AB191">
        <f>Data!E191</f>
        <v>0</v>
      </c>
      <c r="AC191">
        <f>Data!F191</f>
        <v>0</v>
      </c>
      <c r="AD191">
        <f>Data!G191</f>
        <v>0</v>
      </c>
      <c r="AE191">
        <f>Data!B191</f>
        <v>0</v>
      </c>
      <c r="AF191" t="str">
        <f>Data!Q191</f>
        <v/>
      </c>
      <c r="AG191" t="str">
        <f>Data!N191</f>
        <v/>
      </c>
      <c r="AH191">
        <f>(IF($H$5="Curries/Stews",COUNTIF(Helper_Ingredient!$N$3:$N$20,AB191),IF($H$5="Salads",COUNTIF(Helper_Ingredient!$O$3:$O$20,AB191),COUNTIF(Helper_Ingredient!$P$3:$P$19,AB191)))&gt;0)+IF(AE191&gt;=30,(IF($H$5="Curries/Stews",COUNTIF(Helper_Ingredient!$N$3:$N$20,AC191),IF($H$5="Salads",COUNTIF(Helper_Ingredient!$O$3:$O$20,AC191),COUNTIF(Helper_Ingredient!$P$3:$P$19,AC191)))&gt;0),0)+IF(AE191&gt;=60,(IF($H$5="Curries/Stews",COUNTIF(Helper_Ingredient!$N$3:$N$20,AD191),IF($H$5="Salads",COUNTIF(Helper_Ingredient!$O$3:$O$20,AD191),COUNTIF(Helper_Ingredient!$P$3:$P$19,AD191)))&gt;0),0)</f>
        <v>0</v>
      </c>
      <c r="AI191">
        <f t="shared" si="8"/>
        <v>0</v>
      </c>
      <c r="AJ191">
        <f>Data!A191</f>
        <v>0</v>
      </c>
      <c r="AK191">
        <f>Data!H191</f>
        <v>0</v>
      </c>
      <c r="AL191">
        <f>Data!B191</f>
        <v>0</v>
      </c>
      <c r="AM191" t="str">
        <f>Data!R191</f>
        <v/>
      </c>
      <c r="AN191" t="str">
        <f>Data!N191</f>
        <v/>
      </c>
      <c r="AO191" t="e">
        <f t="shared" si="9"/>
        <v>#VALUE!</v>
      </c>
    </row>
    <row r="192" spans="19:41">
      <c r="S192">
        <f>Data!A192</f>
        <v>0</v>
      </c>
      <c r="T192" t="str">
        <f>Data!D192</f>
        <v/>
      </c>
      <c r="U192">
        <f>Data!B192</f>
        <v>0</v>
      </c>
      <c r="V192" t="str">
        <f>Data!P192</f>
        <v/>
      </c>
      <c r="W192" t="str">
        <f>Data!N192</f>
        <v/>
      </c>
      <c r="X192">
        <f t="shared" si="7"/>
        <v>0</v>
      </c>
      <c r="AA192">
        <f>Data!A192</f>
        <v>0</v>
      </c>
      <c r="AB192">
        <f>Data!E192</f>
        <v>0</v>
      </c>
      <c r="AC192">
        <f>Data!F192</f>
        <v>0</v>
      </c>
      <c r="AD192">
        <f>Data!G192</f>
        <v>0</v>
      </c>
      <c r="AE192">
        <f>Data!B192</f>
        <v>0</v>
      </c>
      <c r="AF192" t="str">
        <f>Data!Q192</f>
        <v/>
      </c>
      <c r="AG192" t="str">
        <f>Data!N192</f>
        <v/>
      </c>
      <c r="AH192">
        <f>(IF($H$5="Curries/Stews",COUNTIF(Helper_Ingredient!$N$3:$N$20,AB192),IF($H$5="Salads",COUNTIF(Helper_Ingredient!$O$3:$O$20,AB192),COUNTIF(Helper_Ingredient!$P$3:$P$19,AB192)))&gt;0)+IF(AE192&gt;=30,(IF($H$5="Curries/Stews",COUNTIF(Helper_Ingredient!$N$3:$N$20,AC192),IF($H$5="Salads",COUNTIF(Helper_Ingredient!$O$3:$O$20,AC192),COUNTIF(Helper_Ingredient!$P$3:$P$19,AC192)))&gt;0),0)+IF(AE192&gt;=60,(IF($H$5="Curries/Stews",COUNTIF(Helper_Ingredient!$N$3:$N$20,AD192),IF($H$5="Salads",COUNTIF(Helper_Ingredient!$O$3:$O$20,AD192),COUNTIF(Helper_Ingredient!$P$3:$P$19,AD192)))&gt;0),0)</f>
        <v>0</v>
      </c>
      <c r="AI192">
        <f t="shared" si="8"/>
        <v>0</v>
      </c>
      <c r="AJ192">
        <f>Data!A192</f>
        <v>0</v>
      </c>
      <c r="AK192">
        <f>Data!H192</f>
        <v>0</v>
      </c>
      <c r="AL192">
        <f>Data!B192</f>
        <v>0</v>
      </c>
      <c r="AM192" t="str">
        <f>Data!R192</f>
        <v/>
      </c>
      <c r="AN192" t="str">
        <f>Data!N192</f>
        <v/>
      </c>
      <c r="AO192" t="e">
        <f t="shared" si="9"/>
        <v>#VALUE!</v>
      </c>
    </row>
    <row r="193" spans="19:41">
      <c r="S193">
        <f>Data!A193</f>
        <v>0</v>
      </c>
      <c r="T193" t="str">
        <f>Data!D193</f>
        <v/>
      </c>
      <c r="U193">
        <f>Data!B193</f>
        <v>0</v>
      </c>
      <c r="V193" t="str">
        <f>Data!P193</f>
        <v/>
      </c>
      <c r="W193" t="str">
        <f>Data!N193</f>
        <v/>
      </c>
      <c r="X193">
        <f t="shared" si="7"/>
        <v>0</v>
      </c>
      <c r="AA193">
        <f>Data!A193</f>
        <v>0</v>
      </c>
      <c r="AB193">
        <f>Data!E193</f>
        <v>0</v>
      </c>
      <c r="AC193">
        <f>Data!F193</f>
        <v>0</v>
      </c>
      <c r="AD193">
        <f>Data!G193</f>
        <v>0</v>
      </c>
      <c r="AE193">
        <f>Data!B193</f>
        <v>0</v>
      </c>
      <c r="AF193" t="str">
        <f>Data!Q193</f>
        <v/>
      </c>
      <c r="AG193" t="str">
        <f>Data!N193</f>
        <v/>
      </c>
      <c r="AH193">
        <f>(IF($H$5="Curries/Stews",COUNTIF(Helper_Ingredient!$N$3:$N$20,AB193),IF($H$5="Salads",COUNTIF(Helper_Ingredient!$O$3:$O$20,AB193),COUNTIF(Helper_Ingredient!$P$3:$P$19,AB193)))&gt;0)+IF(AE193&gt;=30,(IF($H$5="Curries/Stews",COUNTIF(Helper_Ingredient!$N$3:$N$20,AC193),IF($H$5="Salads",COUNTIF(Helper_Ingredient!$O$3:$O$20,AC193),COUNTIF(Helper_Ingredient!$P$3:$P$19,AC193)))&gt;0),0)+IF(AE193&gt;=60,(IF($H$5="Curries/Stews",COUNTIF(Helper_Ingredient!$N$3:$N$20,AD193),IF($H$5="Salads",COUNTIF(Helper_Ingredient!$O$3:$O$20,AD193),COUNTIF(Helper_Ingredient!$P$3:$P$19,AD193)))&gt;0),0)</f>
        <v>0</v>
      </c>
      <c r="AI193">
        <f t="shared" si="8"/>
        <v>0</v>
      </c>
      <c r="AJ193">
        <f>Data!A193</f>
        <v>0</v>
      </c>
      <c r="AK193">
        <f>Data!H193</f>
        <v>0</v>
      </c>
      <c r="AL193">
        <f>Data!B193</f>
        <v>0</v>
      </c>
      <c r="AM193" t="str">
        <f>Data!R193</f>
        <v/>
      </c>
      <c r="AN193" t="str">
        <f>Data!N193</f>
        <v/>
      </c>
      <c r="AO193" t="e">
        <f t="shared" si="9"/>
        <v>#VALUE!</v>
      </c>
    </row>
    <row r="194" spans="19:41">
      <c r="S194">
        <f>Data!A194</f>
        <v>0</v>
      </c>
      <c r="T194" t="str">
        <f>Data!D194</f>
        <v/>
      </c>
      <c r="U194">
        <f>Data!B194</f>
        <v>0</v>
      </c>
      <c r="V194" t="str">
        <f>Data!P194</f>
        <v/>
      </c>
      <c r="W194" t="str">
        <f>Data!N194</f>
        <v/>
      </c>
      <c r="X194">
        <f t="shared" ref="X194:X250" si="10">IF(OR(T194=$B$5,T194=$B$6,T194=$B$7),(V194*1000)+U194+ROW()/1000000,0)</f>
        <v>0</v>
      </c>
      <c r="AA194">
        <f>Data!A194</f>
        <v>0</v>
      </c>
      <c r="AB194">
        <f>Data!E194</f>
        <v>0</v>
      </c>
      <c r="AC194">
        <f>Data!F194</f>
        <v>0</v>
      </c>
      <c r="AD194">
        <f>Data!G194</f>
        <v>0</v>
      </c>
      <c r="AE194">
        <f>Data!B194</f>
        <v>0</v>
      </c>
      <c r="AF194" t="str">
        <f>Data!Q194</f>
        <v/>
      </c>
      <c r="AG194" t="str">
        <f>Data!N194</f>
        <v/>
      </c>
      <c r="AH194">
        <f>(IF($H$5="Curries/Stews",COUNTIF(Helper_Ingredient!$N$3:$N$20,AB194),IF($H$5="Salads",COUNTIF(Helper_Ingredient!$O$3:$O$20,AB194),COUNTIF(Helper_Ingredient!$P$3:$P$19,AB194)))&gt;0)+IF(AE194&gt;=30,(IF($H$5="Curries/Stews",COUNTIF(Helper_Ingredient!$N$3:$N$20,AC194),IF($H$5="Salads",COUNTIF(Helper_Ingredient!$O$3:$O$20,AC194),COUNTIF(Helper_Ingredient!$P$3:$P$19,AC194)))&gt;0),0)+IF(AE194&gt;=60,(IF($H$5="Curries/Stews",COUNTIF(Helper_Ingredient!$N$3:$N$20,AD194),IF($H$5="Salads",COUNTIF(Helper_Ingredient!$O$3:$O$20,AD194),COUNTIF(Helper_Ingredient!$P$3:$P$19,AD194)))&gt;0),0)</f>
        <v>0</v>
      </c>
      <c r="AI194">
        <f t="shared" ref="AI194:AI250" si="11">IF(AH194&gt;0,(AH194*1000000)+(AF194*1000)+AE194+ROW()/1000000,0)</f>
        <v>0</v>
      </c>
      <c r="AJ194">
        <f>Data!A194</f>
        <v>0</v>
      </c>
      <c r="AK194">
        <f>Data!H194</f>
        <v>0</v>
      </c>
      <c r="AL194">
        <f>Data!B194</f>
        <v>0</v>
      </c>
      <c r="AM194" t="str">
        <f>Data!R194</f>
        <v/>
      </c>
      <c r="AN194" t="str">
        <f>Data!N194</f>
        <v/>
      </c>
      <c r="AO194" t="e">
        <f t="shared" si="9"/>
        <v>#VALUE!</v>
      </c>
    </row>
    <row r="195" spans="19:41">
      <c r="S195">
        <f>Data!A195</f>
        <v>0</v>
      </c>
      <c r="T195" t="str">
        <f>Data!D195</f>
        <v/>
      </c>
      <c r="U195">
        <f>Data!B195</f>
        <v>0</v>
      </c>
      <c r="V195" t="str">
        <f>Data!P195</f>
        <v/>
      </c>
      <c r="W195" t="str">
        <f>Data!N195</f>
        <v/>
      </c>
      <c r="X195">
        <f t="shared" si="10"/>
        <v>0</v>
      </c>
      <c r="AA195">
        <f>Data!A195</f>
        <v>0</v>
      </c>
      <c r="AB195">
        <f>Data!E195</f>
        <v>0</v>
      </c>
      <c r="AC195">
        <f>Data!F195</f>
        <v>0</v>
      </c>
      <c r="AD195">
        <f>Data!G195</f>
        <v>0</v>
      </c>
      <c r="AE195">
        <f>Data!B195</f>
        <v>0</v>
      </c>
      <c r="AF195" t="str">
        <f>Data!Q195</f>
        <v/>
      </c>
      <c r="AG195" t="str">
        <f>Data!N195</f>
        <v/>
      </c>
      <c r="AH195">
        <f>(IF($H$5="Curries/Stews",COUNTIF(Helper_Ingredient!$N$3:$N$20,AB195),IF($H$5="Salads",COUNTIF(Helper_Ingredient!$O$3:$O$20,AB195),COUNTIF(Helper_Ingredient!$P$3:$P$19,AB195)))&gt;0)+IF(AE195&gt;=30,(IF($H$5="Curries/Stews",COUNTIF(Helper_Ingredient!$N$3:$N$20,AC195),IF($H$5="Salads",COUNTIF(Helper_Ingredient!$O$3:$O$20,AC195),COUNTIF(Helper_Ingredient!$P$3:$P$19,AC195)))&gt;0),0)+IF(AE195&gt;=60,(IF($H$5="Curries/Stews",COUNTIF(Helper_Ingredient!$N$3:$N$20,AD195),IF($H$5="Salads",COUNTIF(Helper_Ingredient!$O$3:$O$20,AD195),COUNTIF(Helper_Ingredient!$P$3:$P$19,AD195)))&gt;0),0)</f>
        <v>0</v>
      </c>
      <c r="AI195">
        <f t="shared" si="11"/>
        <v>0</v>
      </c>
      <c r="AJ195">
        <f>Data!A195</f>
        <v>0</v>
      </c>
      <c r="AK195">
        <f>Data!H195</f>
        <v>0</v>
      </c>
      <c r="AL195">
        <f>Data!B195</f>
        <v>0</v>
      </c>
      <c r="AM195" t="str">
        <f>Data!R195</f>
        <v/>
      </c>
      <c r="AN195" t="str">
        <f>Data!N195</f>
        <v/>
      </c>
      <c r="AO195" t="e">
        <f t="shared" si="9"/>
        <v>#VALUE!</v>
      </c>
    </row>
    <row r="196" spans="19:41">
      <c r="S196">
        <f>Data!A196</f>
        <v>0</v>
      </c>
      <c r="T196" t="str">
        <f>Data!D196</f>
        <v/>
      </c>
      <c r="U196">
        <f>Data!B196</f>
        <v>0</v>
      </c>
      <c r="V196" t="str">
        <f>Data!P196</f>
        <v/>
      </c>
      <c r="W196" t="str">
        <f>Data!N196</f>
        <v/>
      </c>
      <c r="X196">
        <f t="shared" si="10"/>
        <v>0</v>
      </c>
      <c r="AA196">
        <f>Data!A196</f>
        <v>0</v>
      </c>
      <c r="AB196">
        <f>Data!E196</f>
        <v>0</v>
      </c>
      <c r="AC196">
        <f>Data!F196</f>
        <v>0</v>
      </c>
      <c r="AD196">
        <f>Data!G196</f>
        <v>0</v>
      </c>
      <c r="AE196">
        <f>Data!B196</f>
        <v>0</v>
      </c>
      <c r="AF196" t="str">
        <f>Data!Q196</f>
        <v/>
      </c>
      <c r="AG196" t="str">
        <f>Data!N196</f>
        <v/>
      </c>
      <c r="AH196">
        <f>(IF($H$5="Curries/Stews",COUNTIF(Helper_Ingredient!$N$3:$N$20,AB196),IF($H$5="Salads",COUNTIF(Helper_Ingredient!$O$3:$O$20,AB196),COUNTIF(Helper_Ingredient!$P$3:$P$19,AB196)))&gt;0)+IF(AE196&gt;=30,(IF($H$5="Curries/Stews",COUNTIF(Helper_Ingredient!$N$3:$N$20,AC196),IF($H$5="Salads",COUNTIF(Helper_Ingredient!$O$3:$O$20,AC196),COUNTIF(Helper_Ingredient!$P$3:$P$19,AC196)))&gt;0),0)+IF(AE196&gt;=60,(IF($H$5="Curries/Stews",COUNTIF(Helper_Ingredient!$N$3:$N$20,AD196),IF($H$5="Salads",COUNTIF(Helper_Ingredient!$O$3:$O$20,AD196),COUNTIF(Helper_Ingredient!$P$3:$P$19,AD196)))&gt;0),0)</f>
        <v>0</v>
      </c>
      <c r="AI196">
        <f t="shared" si="11"/>
        <v>0</v>
      </c>
      <c r="AJ196">
        <f>Data!A196</f>
        <v>0</v>
      </c>
      <c r="AK196">
        <f>Data!H196</f>
        <v>0</v>
      </c>
      <c r="AL196">
        <f>Data!B196</f>
        <v>0</v>
      </c>
      <c r="AM196" t="str">
        <f>Data!R196</f>
        <v/>
      </c>
      <c r="AN196" t="str">
        <f>Data!N196</f>
        <v/>
      </c>
      <c r="AO196" t="e">
        <f t="shared" si="9"/>
        <v>#VALUE!</v>
      </c>
    </row>
    <row r="197" spans="19:41">
      <c r="S197">
        <f>Data!A197</f>
        <v>0</v>
      </c>
      <c r="T197" t="str">
        <f>Data!D197</f>
        <v/>
      </c>
      <c r="U197">
        <f>Data!B197</f>
        <v>0</v>
      </c>
      <c r="V197" t="str">
        <f>Data!P197</f>
        <v/>
      </c>
      <c r="W197" t="str">
        <f>Data!N197</f>
        <v/>
      </c>
      <c r="X197">
        <f t="shared" si="10"/>
        <v>0</v>
      </c>
      <c r="AA197">
        <f>Data!A197</f>
        <v>0</v>
      </c>
      <c r="AB197">
        <f>Data!E197</f>
        <v>0</v>
      </c>
      <c r="AC197">
        <f>Data!F197</f>
        <v>0</v>
      </c>
      <c r="AD197">
        <f>Data!G197</f>
        <v>0</v>
      </c>
      <c r="AE197">
        <f>Data!B197</f>
        <v>0</v>
      </c>
      <c r="AF197" t="str">
        <f>Data!Q197</f>
        <v/>
      </c>
      <c r="AG197" t="str">
        <f>Data!N197</f>
        <v/>
      </c>
      <c r="AH197">
        <f>(IF($H$5="Curries/Stews",COUNTIF(Helper_Ingredient!$N$3:$N$20,AB197),IF($H$5="Salads",COUNTIF(Helper_Ingredient!$O$3:$O$20,AB197),COUNTIF(Helper_Ingredient!$P$3:$P$19,AB197)))&gt;0)+IF(AE197&gt;=30,(IF($H$5="Curries/Stews",COUNTIF(Helper_Ingredient!$N$3:$N$20,AC197),IF($H$5="Salads",COUNTIF(Helper_Ingredient!$O$3:$O$20,AC197),COUNTIF(Helper_Ingredient!$P$3:$P$19,AC197)))&gt;0),0)+IF(AE197&gt;=60,(IF($H$5="Curries/Stews",COUNTIF(Helper_Ingredient!$N$3:$N$20,AD197),IF($H$5="Salads",COUNTIF(Helper_Ingredient!$O$3:$O$20,AD197),COUNTIF(Helper_Ingredient!$P$3:$P$19,AD197)))&gt;0),0)</f>
        <v>0</v>
      </c>
      <c r="AI197">
        <f t="shared" si="11"/>
        <v>0</v>
      </c>
      <c r="AJ197">
        <f>Data!A197</f>
        <v>0</v>
      </c>
      <c r="AK197">
        <f>Data!H197</f>
        <v>0</v>
      </c>
      <c r="AL197">
        <f>Data!B197</f>
        <v>0</v>
      </c>
      <c r="AM197" t="str">
        <f>Data!R197</f>
        <v/>
      </c>
      <c r="AN197" t="str">
        <f>Data!N197</f>
        <v/>
      </c>
      <c r="AO197" t="e">
        <f t="shared" si="9"/>
        <v>#VALUE!</v>
      </c>
    </row>
    <row r="198" spans="19:41">
      <c r="S198">
        <f>Data!A198</f>
        <v>0</v>
      </c>
      <c r="T198" t="str">
        <f>Data!D198</f>
        <v/>
      </c>
      <c r="U198">
        <f>Data!B198</f>
        <v>0</v>
      </c>
      <c r="V198" t="str">
        <f>Data!P198</f>
        <v/>
      </c>
      <c r="W198" t="str">
        <f>Data!N198</f>
        <v/>
      </c>
      <c r="X198">
        <f t="shared" si="10"/>
        <v>0</v>
      </c>
      <c r="AA198">
        <f>Data!A198</f>
        <v>0</v>
      </c>
      <c r="AB198">
        <f>Data!E198</f>
        <v>0</v>
      </c>
      <c r="AC198">
        <f>Data!F198</f>
        <v>0</v>
      </c>
      <c r="AD198">
        <f>Data!G198</f>
        <v>0</v>
      </c>
      <c r="AE198">
        <f>Data!B198</f>
        <v>0</v>
      </c>
      <c r="AF198" t="str">
        <f>Data!Q198</f>
        <v/>
      </c>
      <c r="AG198" t="str">
        <f>Data!N198</f>
        <v/>
      </c>
      <c r="AH198">
        <f>(IF($H$5="Curries/Stews",COUNTIF(Helper_Ingredient!$N$3:$N$20,AB198),IF($H$5="Salads",COUNTIF(Helper_Ingredient!$O$3:$O$20,AB198),COUNTIF(Helper_Ingredient!$P$3:$P$19,AB198)))&gt;0)+IF(AE198&gt;=30,(IF($H$5="Curries/Stews",COUNTIF(Helper_Ingredient!$N$3:$N$20,AC198),IF($H$5="Salads",COUNTIF(Helper_Ingredient!$O$3:$O$20,AC198),COUNTIF(Helper_Ingredient!$P$3:$P$19,AC198)))&gt;0),0)+IF(AE198&gt;=60,(IF($H$5="Curries/Stews",COUNTIF(Helper_Ingredient!$N$3:$N$20,AD198),IF($H$5="Salads",COUNTIF(Helper_Ingredient!$O$3:$O$20,AD198),COUNTIF(Helper_Ingredient!$P$3:$P$19,AD198)))&gt;0),0)</f>
        <v>0</v>
      </c>
      <c r="AI198">
        <f t="shared" si="11"/>
        <v>0</v>
      </c>
      <c r="AJ198">
        <f>Data!A198</f>
        <v>0</v>
      </c>
      <c r="AK198">
        <f>Data!H198</f>
        <v>0</v>
      </c>
      <c r="AL198">
        <f>Data!B198</f>
        <v>0</v>
      </c>
      <c r="AM198" t="str">
        <f>Data!R198</f>
        <v/>
      </c>
      <c r="AN198" t="str">
        <f>Data!N198</f>
        <v/>
      </c>
      <c r="AO198" t="e">
        <f t="shared" si="9"/>
        <v>#VALUE!</v>
      </c>
    </row>
    <row r="199" spans="19:41">
      <c r="S199">
        <f>Data!A199</f>
        <v>0</v>
      </c>
      <c r="T199" t="str">
        <f>Data!D199</f>
        <v/>
      </c>
      <c r="U199">
        <f>Data!B199</f>
        <v>0</v>
      </c>
      <c r="V199" t="str">
        <f>Data!P199</f>
        <v/>
      </c>
      <c r="W199" t="str">
        <f>Data!N199</f>
        <v/>
      </c>
      <c r="X199">
        <f t="shared" si="10"/>
        <v>0</v>
      </c>
      <c r="AA199">
        <f>Data!A199</f>
        <v>0</v>
      </c>
      <c r="AB199">
        <f>Data!E199</f>
        <v>0</v>
      </c>
      <c r="AC199">
        <f>Data!F199</f>
        <v>0</v>
      </c>
      <c r="AD199">
        <f>Data!G199</f>
        <v>0</v>
      </c>
      <c r="AE199">
        <f>Data!B199</f>
        <v>0</v>
      </c>
      <c r="AF199" t="str">
        <f>Data!Q199</f>
        <v/>
      </c>
      <c r="AG199" t="str">
        <f>Data!N199</f>
        <v/>
      </c>
      <c r="AH199">
        <f>(IF($H$5="Curries/Stews",COUNTIF(Helper_Ingredient!$N$3:$N$20,AB199),IF($H$5="Salads",COUNTIF(Helper_Ingredient!$O$3:$O$20,AB199),COUNTIF(Helper_Ingredient!$P$3:$P$19,AB199)))&gt;0)+IF(AE199&gt;=30,(IF($H$5="Curries/Stews",COUNTIF(Helper_Ingredient!$N$3:$N$20,AC199),IF($H$5="Salads",COUNTIF(Helper_Ingredient!$O$3:$O$20,AC199),COUNTIF(Helper_Ingredient!$P$3:$P$19,AC199)))&gt;0),0)+IF(AE199&gt;=60,(IF($H$5="Curries/Stews",COUNTIF(Helper_Ingredient!$N$3:$N$20,AD199),IF($H$5="Salads",COUNTIF(Helper_Ingredient!$O$3:$O$20,AD199),COUNTIF(Helper_Ingredient!$P$3:$P$19,AD199)))&gt;0),0)</f>
        <v>0</v>
      </c>
      <c r="AI199">
        <f t="shared" si="11"/>
        <v>0</v>
      </c>
      <c r="AJ199">
        <f>Data!A199</f>
        <v>0</v>
      </c>
      <c r="AK199">
        <f>Data!H199</f>
        <v>0</v>
      </c>
      <c r="AL199">
        <f>Data!B199</f>
        <v>0</v>
      </c>
      <c r="AM199" t="str">
        <f>Data!R199</f>
        <v/>
      </c>
      <c r="AN199" t="str">
        <f>Data!N199</f>
        <v/>
      </c>
      <c r="AO199" t="e">
        <f t="shared" si="9"/>
        <v>#VALUE!</v>
      </c>
    </row>
    <row r="200" spans="19:41">
      <c r="S200">
        <f>Data!A200</f>
        <v>0</v>
      </c>
      <c r="T200" t="str">
        <f>Data!D200</f>
        <v/>
      </c>
      <c r="U200">
        <f>Data!B200</f>
        <v>0</v>
      </c>
      <c r="V200" t="str">
        <f>Data!P200</f>
        <v/>
      </c>
      <c r="W200" t="str">
        <f>Data!N200</f>
        <v/>
      </c>
      <c r="X200">
        <f t="shared" si="10"/>
        <v>0</v>
      </c>
      <c r="AA200">
        <f>Data!A200</f>
        <v>0</v>
      </c>
      <c r="AB200">
        <f>Data!E200</f>
        <v>0</v>
      </c>
      <c r="AC200">
        <f>Data!F200</f>
        <v>0</v>
      </c>
      <c r="AD200">
        <f>Data!G200</f>
        <v>0</v>
      </c>
      <c r="AE200">
        <f>Data!B200</f>
        <v>0</v>
      </c>
      <c r="AF200" t="str">
        <f>Data!Q200</f>
        <v/>
      </c>
      <c r="AG200" t="str">
        <f>Data!N200</f>
        <v/>
      </c>
      <c r="AH200">
        <f>(IF($H$5="Curries/Stews",COUNTIF(Helper_Ingredient!$N$3:$N$20,AB200),IF($H$5="Salads",COUNTIF(Helper_Ingredient!$O$3:$O$20,AB200),COUNTIF(Helper_Ingredient!$P$3:$P$19,AB200)))&gt;0)+IF(AE200&gt;=30,(IF($H$5="Curries/Stews",COUNTIF(Helper_Ingredient!$N$3:$N$20,AC200),IF($H$5="Salads",COUNTIF(Helper_Ingredient!$O$3:$O$20,AC200),COUNTIF(Helper_Ingredient!$P$3:$P$19,AC200)))&gt;0),0)+IF(AE200&gt;=60,(IF($H$5="Curries/Stews",COUNTIF(Helper_Ingredient!$N$3:$N$20,AD200),IF($H$5="Salads",COUNTIF(Helper_Ingredient!$O$3:$O$20,AD200),COUNTIF(Helper_Ingredient!$P$3:$P$19,AD200)))&gt;0),0)</f>
        <v>0</v>
      </c>
      <c r="AI200">
        <f t="shared" si="11"/>
        <v>0</v>
      </c>
      <c r="AJ200">
        <f>Data!A200</f>
        <v>0</v>
      </c>
      <c r="AK200">
        <f>Data!H200</f>
        <v>0</v>
      </c>
      <c r="AL200">
        <f>Data!B200</f>
        <v>0</v>
      </c>
      <c r="AM200" t="str">
        <f>Data!R200</f>
        <v/>
      </c>
      <c r="AN200" t="str">
        <f>Data!N200</f>
        <v/>
      </c>
      <c r="AO200" t="e">
        <f t="shared" si="9"/>
        <v>#VALUE!</v>
      </c>
    </row>
    <row r="201" spans="19:41">
      <c r="S201">
        <f>Data!A201</f>
        <v>0</v>
      </c>
      <c r="T201" t="str">
        <f>Data!D201</f>
        <v/>
      </c>
      <c r="U201">
        <f>Data!B201</f>
        <v>0</v>
      </c>
      <c r="V201" t="str">
        <f>Data!P201</f>
        <v/>
      </c>
      <c r="W201" t="str">
        <f>Data!N201</f>
        <v/>
      </c>
      <c r="X201">
        <f t="shared" si="10"/>
        <v>0</v>
      </c>
      <c r="AA201">
        <f>Data!A201</f>
        <v>0</v>
      </c>
      <c r="AB201">
        <f>Data!E201</f>
        <v>0</v>
      </c>
      <c r="AC201">
        <f>Data!F201</f>
        <v>0</v>
      </c>
      <c r="AD201">
        <f>Data!G201</f>
        <v>0</v>
      </c>
      <c r="AE201">
        <f>Data!B201</f>
        <v>0</v>
      </c>
      <c r="AF201" t="str">
        <f>Data!Q201</f>
        <v/>
      </c>
      <c r="AG201" t="str">
        <f>Data!N201</f>
        <v/>
      </c>
      <c r="AH201">
        <f>(IF($H$5="Curries/Stews",COUNTIF(Helper_Ingredient!$N$3:$N$20,AB201),IF($H$5="Salads",COUNTIF(Helper_Ingredient!$O$3:$O$20,AB201),COUNTIF(Helper_Ingredient!$P$3:$P$19,AB201)))&gt;0)+IF(AE201&gt;=30,(IF($H$5="Curries/Stews",COUNTIF(Helper_Ingredient!$N$3:$N$20,AC201),IF($H$5="Salads",COUNTIF(Helper_Ingredient!$O$3:$O$20,AC201),COUNTIF(Helper_Ingredient!$P$3:$P$19,AC201)))&gt;0),0)+IF(AE201&gt;=60,(IF($H$5="Curries/Stews",COUNTIF(Helper_Ingredient!$N$3:$N$20,AD201),IF($H$5="Salads",COUNTIF(Helper_Ingredient!$O$3:$O$20,AD201),COUNTIF(Helper_Ingredient!$P$3:$P$19,AD201)))&gt;0),0)</f>
        <v>0</v>
      </c>
      <c r="AI201">
        <f t="shared" si="11"/>
        <v>0</v>
      </c>
      <c r="AJ201">
        <f>Data!A201</f>
        <v>0</v>
      </c>
      <c r="AK201">
        <f>Data!H201</f>
        <v>0</v>
      </c>
      <c r="AL201">
        <f>Data!B201</f>
        <v>0</v>
      </c>
      <c r="AM201" t="str">
        <f>Data!R201</f>
        <v/>
      </c>
      <c r="AN201" t="str">
        <f>Data!N201</f>
        <v/>
      </c>
      <c r="AO201" t="e">
        <f t="shared" si="9"/>
        <v>#VALUE!</v>
      </c>
    </row>
    <row r="202" spans="19:41">
      <c r="S202">
        <f>Data!A202</f>
        <v>0</v>
      </c>
      <c r="T202" t="str">
        <f>Data!D202</f>
        <v/>
      </c>
      <c r="U202">
        <f>Data!B202</f>
        <v>0</v>
      </c>
      <c r="V202" t="str">
        <f>Data!P202</f>
        <v/>
      </c>
      <c r="W202" t="str">
        <f>Data!N202</f>
        <v/>
      </c>
      <c r="X202">
        <f t="shared" si="10"/>
        <v>0</v>
      </c>
      <c r="AA202">
        <f>Data!A202</f>
        <v>0</v>
      </c>
      <c r="AB202">
        <f>Data!E202</f>
        <v>0</v>
      </c>
      <c r="AC202">
        <f>Data!F202</f>
        <v>0</v>
      </c>
      <c r="AD202">
        <f>Data!G202</f>
        <v>0</v>
      </c>
      <c r="AE202">
        <f>Data!B202</f>
        <v>0</v>
      </c>
      <c r="AF202" t="str">
        <f>Data!Q202</f>
        <v/>
      </c>
      <c r="AG202" t="str">
        <f>Data!N202</f>
        <v/>
      </c>
      <c r="AH202">
        <f>(IF($H$5="Curries/Stews",COUNTIF(Helper_Ingredient!$N$3:$N$20,AB202),IF($H$5="Salads",COUNTIF(Helper_Ingredient!$O$3:$O$20,AB202),COUNTIF(Helper_Ingredient!$P$3:$P$19,AB202)))&gt;0)+IF(AE202&gt;=30,(IF($H$5="Curries/Stews",COUNTIF(Helper_Ingredient!$N$3:$N$20,AC202),IF($H$5="Salads",COUNTIF(Helper_Ingredient!$O$3:$O$20,AC202),COUNTIF(Helper_Ingredient!$P$3:$P$19,AC202)))&gt;0),0)+IF(AE202&gt;=60,(IF($H$5="Curries/Stews",COUNTIF(Helper_Ingredient!$N$3:$N$20,AD202),IF($H$5="Salads",COUNTIF(Helper_Ingredient!$O$3:$O$20,AD202),COUNTIF(Helper_Ingredient!$P$3:$P$19,AD202)))&gt;0),0)</f>
        <v>0</v>
      </c>
      <c r="AI202">
        <f t="shared" si="11"/>
        <v>0</v>
      </c>
      <c r="AJ202">
        <f>Data!A202</f>
        <v>0</v>
      </c>
      <c r="AK202">
        <f>Data!H202</f>
        <v>0</v>
      </c>
      <c r="AL202">
        <f>Data!B202</f>
        <v>0</v>
      </c>
      <c r="AM202" t="str">
        <f>Data!R202</f>
        <v/>
      </c>
      <c r="AN202" t="str">
        <f>Data!N202</f>
        <v/>
      </c>
      <c r="AO202" t="e">
        <f t="shared" si="9"/>
        <v>#VALUE!</v>
      </c>
    </row>
    <row r="203" spans="19:41">
      <c r="S203">
        <f>Data!A203</f>
        <v>0</v>
      </c>
      <c r="T203" t="str">
        <f>Data!D203</f>
        <v/>
      </c>
      <c r="U203">
        <f>Data!B203</f>
        <v>0</v>
      </c>
      <c r="V203" t="str">
        <f>Data!P203</f>
        <v/>
      </c>
      <c r="W203" t="str">
        <f>Data!N203</f>
        <v/>
      </c>
      <c r="X203">
        <f t="shared" si="10"/>
        <v>0</v>
      </c>
      <c r="AA203">
        <f>Data!A203</f>
        <v>0</v>
      </c>
      <c r="AB203">
        <f>Data!E203</f>
        <v>0</v>
      </c>
      <c r="AC203">
        <f>Data!F203</f>
        <v>0</v>
      </c>
      <c r="AD203">
        <f>Data!G203</f>
        <v>0</v>
      </c>
      <c r="AE203">
        <f>Data!B203</f>
        <v>0</v>
      </c>
      <c r="AF203" t="str">
        <f>Data!Q203</f>
        <v/>
      </c>
      <c r="AG203" t="str">
        <f>Data!N203</f>
        <v/>
      </c>
      <c r="AH203">
        <f>(IF($H$5="Curries/Stews",COUNTIF(Helper_Ingredient!$N$3:$N$20,AB203),IF($H$5="Salads",COUNTIF(Helper_Ingredient!$O$3:$O$20,AB203),COUNTIF(Helper_Ingredient!$P$3:$P$19,AB203)))&gt;0)+IF(AE203&gt;=30,(IF($H$5="Curries/Stews",COUNTIF(Helper_Ingredient!$N$3:$N$20,AC203),IF($H$5="Salads",COUNTIF(Helper_Ingredient!$O$3:$O$20,AC203),COUNTIF(Helper_Ingredient!$P$3:$P$19,AC203)))&gt;0),0)+IF(AE203&gt;=60,(IF($H$5="Curries/Stews",COUNTIF(Helper_Ingredient!$N$3:$N$20,AD203),IF($H$5="Salads",COUNTIF(Helper_Ingredient!$O$3:$O$20,AD203),COUNTIF(Helper_Ingredient!$P$3:$P$19,AD203)))&gt;0),0)</f>
        <v>0</v>
      </c>
      <c r="AI203">
        <f t="shared" si="11"/>
        <v>0</v>
      </c>
      <c r="AJ203">
        <f>Data!A203</f>
        <v>0</v>
      </c>
      <c r="AK203">
        <f>Data!H203</f>
        <v>0</v>
      </c>
      <c r="AL203">
        <f>Data!B203</f>
        <v>0</v>
      </c>
      <c r="AM203" t="str">
        <f>Data!R203</f>
        <v/>
      </c>
      <c r="AN203" t="str">
        <f>Data!N203</f>
        <v/>
      </c>
      <c r="AO203" t="e">
        <f t="shared" si="9"/>
        <v>#VALUE!</v>
      </c>
    </row>
    <row r="204" spans="19:41">
      <c r="S204">
        <f>Data!A204</f>
        <v>0</v>
      </c>
      <c r="T204" t="str">
        <f>Data!D204</f>
        <v/>
      </c>
      <c r="U204">
        <f>Data!B204</f>
        <v>0</v>
      </c>
      <c r="V204" t="str">
        <f>Data!P204</f>
        <v/>
      </c>
      <c r="W204" t="str">
        <f>Data!N204</f>
        <v/>
      </c>
      <c r="X204">
        <f t="shared" si="10"/>
        <v>0</v>
      </c>
      <c r="AA204">
        <f>Data!A204</f>
        <v>0</v>
      </c>
      <c r="AB204">
        <f>Data!E204</f>
        <v>0</v>
      </c>
      <c r="AC204">
        <f>Data!F204</f>
        <v>0</v>
      </c>
      <c r="AD204">
        <f>Data!G204</f>
        <v>0</v>
      </c>
      <c r="AE204">
        <f>Data!B204</f>
        <v>0</v>
      </c>
      <c r="AF204" t="str">
        <f>Data!Q204</f>
        <v/>
      </c>
      <c r="AG204" t="str">
        <f>Data!N204</f>
        <v/>
      </c>
      <c r="AH204">
        <f>(IF($H$5="Curries/Stews",COUNTIF(Helper_Ingredient!$N$3:$N$20,AB204),IF($H$5="Salads",COUNTIF(Helper_Ingredient!$O$3:$O$20,AB204),COUNTIF(Helper_Ingredient!$P$3:$P$19,AB204)))&gt;0)+IF(AE204&gt;=30,(IF($H$5="Curries/Stews",COUNTIF(Helper_Ingredient!$N$3:$N$20,AC204),IF($H$5="Salads",COUNTIF(Helper_Ingredient!$O$3:$O$20,AC204),COUNTIF(Helper_Ingredient!$P$3:$P$19,AC204)))&gt;0),0)+IF(AE204&gt;=60,(IF($H$5="Curries/Stews",COUNTIF(Helper_Ingredient!$N$3:$N$20,AD204),IF($H$5="Salads",COUNTIF(Helper_Ingredient!$O$3:$O$20,AD204),COUNTIF(Helper_Ingredient!$P$3:$P$19,AD204)))&gt;0),0)</f>
        <v>0</v>
      </c>
      <c r="AI204">
        <f t="shared" si="11"/>
        <v>0</v>
      </c>
      <c r="AJ204">
        <f>Data!A204</f>
        <v>0</v>
      </c>
      <c r="AK204">
        <f>Data!H204</f>
        <v>0</v>
      </c>
      <c r="AL204">
        <f>Data!B204</f>
        <v>0</v>
      </c>
      <c r="AM204" t="str">
        <f>Data!R204</f>
        <v/>
      </c>
      <c r="AN204" t="str">
        <f>Data!N204</f>
        <v/>
      </c>
      <c r="AO204" t="e">
        <f t="shared" si="9"/>
        <v>#VALUE!</v>
      </c>
    </row>
    <row r="205" spans="19:41">
      <c r="S205">
        <f>Data!A205</f>
        <v>0</v>
      </c>
      <c r="T205" t="str">
        <f>Data!D205</f>
        <v/>
      </c>
      <c r="U205">
        <f>Data!B205</f>
        <v>0</v>
      </c>
      <c r="V205" t="str">
        <f>Data!P205</f>
        <v/>
      </c>
      <c r="W205" t="str">
        <f>Data!N205</f>
        <v/>
      </c>
      <c r="X205">
        <f t="shared" si="10"/>
        <v>0</v>
      </c>
      <c r="AA205">
        <f>Data!A205</f>
        <v>0</v>
      </c>
      <c r="AB205">
        <f>Data!E205</f>
        <v>0</v>
      </c>
      <c r="AC205">
        <f>Data!F205</f>
        <v>0</v>
      </c>
      <c r="AD205">
        <f>Data!G205</f>
        <v>0</v>
      </c>
      <c r="AE205">
        <f>Data!B205</f>
        <v>0</v>
      </c>
      <c r="AF205" t="str">
        <f>Data!Q205</f>
        <v/>
      </c>
      <c r="AG205" t="str">
        <f>Data!N205</f>
        <v/>
      </c>
      <c r="AH205">
        <f>(IF($H$5="Curries/Stews",COUNTIF(Helper_Ingredient!$N$3:$N$20,AB205),IF($H$5="Salads",COUNTIF(Helper_Ingredient!$O$3:$O$20,AB205),COUNTIF(Helper_Ingredient!$P$3:$P$19,AB205)))&gt;0)+IF(AE205&gt;=30,(IF($H$5="Curries/Stews",COUNTIF(Helper_Ingredient!$N$3:$N$20,AC205),IF($H$5="Salads",COUNTIF(Helper_Ingredient!$O$3:$O$20,AC205),COUNTIF(Helper_Ingredient!$P$3:$P$19,AC205)))&gt;0),0)+IF(AE205&gt;=60,(IF($H$5="Curries/Stews",COUNTIF(Helper_Ingredient!$N$3:$N$20,AD205),IF($H$5="Salads",COUNTIF(Helper_Ingredient!$O$3:$O$20,AD205),COUNTIF(Helper_Ingredient!$P$3:$P$19,AD205)))&gt;0),0)</f>
        <v>0</v>
      </c>
      <c r="AI205">
        <f t="shared" si="11"/>
        <v>0</v>
      </c>
      <c r="AJ205">
        <f>Data!A205</f>
        <v>0</v>
      </c>
      <c r="AK205">
        <f>Data!H205</f>
        <v>0</v>
      </c>
      <c r="AL205">
        <f>Data!B205</f>
        <v>0</v>
      </c>
      <c r="AM205" t="str">
        <f>Data!R205</f>
        <v/>
      </c>
      <c r="AN205" t="str">
        <f>Data!N205</f>
        <v/>
      </c>
      <c r="AO205" t="e">
        <f t="shared" si="9"/>
        <v>#VALUE!</v>
      </c>
    </row>
    <row r="206" spans="19:41">
      <c r="S206">
        <f>Data!A206</f>
        <v>0</v>
      </c>
      <c r="T206" t="str">
        <f>Data!D206</f>
        <v/>
      </c>
      <c r="U206">
        <f>Data!B206</f>
        <v>0</v>
      </c>
      <c r="V206" t="str">
        <f>Data!P206</f>
        <v/>
      </c>
      <c r="W206" t="str">
        <f>Data!N206</f>
        <v/>
      </c>
      <c r="X206">
        <f t="shared" si="10"/>
        <v>0</v>
      </c>
      <c r="AA206">
        <f>Data!A206</f>
        <v>0</v>
      </c>
      <c r="AB206">
        <f>Data!E206</f>
        <v>0</v>
      </c>
      <c r="AC206">
        <f>Data!F206</f>
        <v>0</v>
      </c>
      <c r="AD206">
        <f>Data!G206</f>
        <v>0</v>
      </c>
      <c r="AE206">
        <f>Data!B206</f>
        <v>0</v>
      </c>
      <c r="AF206" t="str">
        <f>Data!Q206</f>
        <v/>
      </c>
      <c r="AG206" t="str">
        <f>Data!N206</f>
        <v/>
      </c>
      <c r="AH206">
        <f>(IF($H$5="Curries/Stews",COUNTIF(Helper_Ingredient!$N$3:$N$20,AB206),IF($H$5="Salads",COUNTIF(Helper_Ingredient!$O$3:$O$20,AB206),COUNTIF(Helper_Ingredient!$P$3:$P$19,AB206)))&gt;0)+IF(AE206&gt;=30,(IF($H$5="Curries/Stews",COUNTIF(Helper_Ingredient!$N$3:$N$20,AC206),IF($H$5="Salads",COUNTIF(Helper_Ingredient!$O$3:$O$20,AC206),COUNTIF(Helper_Ingredient!$P$3:$P$19,AC206)))&gt;0),0)+IF(AE206&gt;=60,(IF($H$5="Curries/Stews",COUNTIF(Helper_Ingredient!$N$3:$N$20,AD206),IF($H$5="Salads",COUNTIF(Helper_Ingredient!$O$3:$O$20,AD206),COUNTIF(Helper_Ingredient!$P$3:$P$19,AD206)))&gt;0),0)</f>
        <v>0</v>
      </c>
      <c r="AI206">
        <f t="shared" si="11"/>
        <v>0</v>
      </c>
      <c r="AJ206">
        <f>Data!A206</f>
        <v>0</v>
      </c>
      <c r="AK206">
        <f>Data!H206</f>
        <v>0</v>
      </c>
      <c r="AL206">
        <f>Data!B206</f>
        <v>0</v>
      </c>
      <c r="AM206" t="str">
        <f>Data!R206</f>
        <v/>
      </c>
      <c r="AN206" t="str">
        <f>Data!N206</f>
        <v/>
      </c>
      <c r="AO206" t="e">
        <f t="shared" si="9"/>
        <v>#VALUE!</v>
      </c>
    </row>
    <row r="207" spans="19:41">
      <c r="S207">
        <f>Data!A207</f>
        <v>0</v>
      </c>
      <c r="T207" t="str">
        <f>Data!D207</f>
        <v/>
      </c>
      <c r="U207">
        <f>Data!B207</f>
        <v>0</v>
      </c>
      <c r="V207" t="str">
        <f>Data!P207</f>
        <v/>
      </c>
      <c r="W207" t="str">
        <f>Data!N207</f>
        <v/>
      </c>
      <c r="X207">
        <f t="shared" si="10"/>
        <v>0</v>
      </c>
      <c r="AA207">
        <f>Data!A207</f>
        <v>0</v>
      </c>
      <c r="AB207">
        <f>Data!E207</f>
        <v>0</v>
      </c>
      <c r="AC207">
        <f>Data!F207</f>
        <v>0</v>
      </c>
      <c r="AD207">
        <f>Data!G207</f>
        <v>0</v>
      </c>
      <c r="AE207">
        <f>Data!B207</f>
        <v>0</v>
      </c>
      <c r="AF207" t="str">
        <f>Data!Q207</f>
        <v/>
      </c>
      <c r="AG207" t="str">
        <f>Data!N207</f>
        <v/>
      </c>
      <c r="AH207">
        <f>(IF($H$5="Curries/Stews",COUNTIF(Helper_Ingredient!$N$3:$N$20,AB207),IF($H$5="Salads",COUNTIF(Helper_Ingredient!$O$3:$O$20,AB207),COUNTIF(Helper_Ingredient!$P$3:$P$19,AB207)))&gt;0)+IF(AE207&gt;=30,(IF($H$5="Curries/Stews",COUNTIF(Helper_Ingredient!$N$3:$N$20,AC207),IF($H$5="Salads",COUNTIF(Helper_Ingredient!$O$3:$O$20,AC207),COUNTIF(Helper_Ingredient!$P$3:$P$19,AC207)))&gt;0),0)+IF(AE207&gt;=60,(IF($H$5="Curries/Stews",COUNTIF(Helper_Ingredient!$N$3:$N$20,AD207),IF($H$5="Salads",COUNTIF(Helper_Ingredient!$O$3:$O$20,AD207),COUNTIF(Helper_Ingredient!$P$3:$P$19,AD207)))&gt;0),0)</f>
        <v>0</v>
      </c>
      <c r="AI207">
        <f t="shared" si="11"/>
        <v>0</v>
      </c>
      <c r="AJ207">
        <f>Data!A207</f>
        <v>0</v>
      </c>
      <c r="AK207">
        <f>Data!H207</f>
        <v>0</v>
      </c>
      <c r="AL207">
        <f>Data!B207</f>
        <v>0</v>
      </c>
      <c r="AM207" t="str">
        <f>Data!R207</f>
        <v/>
      </c>
      <c r="AN207" t="str">
        <f>Data!N207</f>
        <v/>
      </c>
      <c r="AO207" t="e">
        <f t="shared" si="9"/>
        <v>#VALUE!</v>
      </c>
    </row>
    <row r="208" spans="19:41">
      <c r="S208">
        <f>Data!A208</f>
        <v>0</v>
      </c>
      <c r="T208" t="str">
        <f>Data!D208</f>
        <v/>
      </c>
      <c r="U208">
        <f>Data!B208</f>
        <v>0</v>
      </c>
      <c r="V208" t="str">
        <f>Data!P208</f>
        <v/>
      </c>
      <c r="W208" t="str">
        <f>Data!N208</f>
        <v/>
      </c>
      <c r="X208">
        <f t="shared" si="10"/>
        <v>0</v>
      </c>
      <c r="AA208">
        <f>Data!A208</f>
        <v>0</v>
      </c>
      <c r="AB208">
        <f>Data!E208</f>
        <v>0</v>
      </c>
      <c r="AC208">
        <f>Data!F208</f>
        <v>0</v>
      </c>
      <c r="AD208">
        <f>Data!G208</f>
        <v>0</v>
      </c>
      <c r="AE208">
        <f>Data!B208</f>
        <v>0</v>
      </c>
      <c r="AF208" t="str">
        <f>Data!Q208</f>
        <v/>
      </c>
      <c r="AG208" t="str">
        <f>Data!N208</f>
        <v/>
      </c>
      <c r="AH208">
        <f>(IF($H$5="Curries/Stews",COUNTIF(Helper_Ingredient!$N$3:$N$20,AB208),IF($H$5="Salads",COUNTIF(Helper_Ingredient!$O$3:$O$20,AB208),COUNTIF(Helper_Ingredient!$P$3:$P$19,AB208)))&gt;0)+IF(AE208&gt;=30,(IF($H$5="Curries/Stews",COUNTIF(Helper_Ingredient!$N$3:$N$20,AC208),IF($H$5="Salads",COUNTIF(Helper_Ingredient!$O$3:$O$20,AC208),COUNTIF(Helper_Ingredient!$P$3:$P$19,AC208)))&gt;0),0)+IF(AE208&gt;=60,(IF($H$5="Curries/Stews",COUNTIF(Helper_Ingredient!$N$3:$N$20,AD208),IF($H$5="Salads",COUNTIF(Helper_Ingredient!$O$3:$O$20,AD208),COUNTIF(Helper_Ingredient!$P$3:$P$19,AD208)))&gt;0),0)</f>
        <v>0</v>
      </c>
      <c r="AI208">
        <f t="shared" si="11"/>
        <v>0</v>
      </c>
      <c r="AJ208">
        <f>Data!A208</f>
        <v>0</v>
      </c>
      <c r="AK208">
        <f>Data!H208</f>
        <v>0</v>
      </c>
      <c r="AL208">
        <f>Data!B208</f>
        <v>0</v>
      </c>
      <c r="AM208" t="str">
        <f>Data!R208</f>
        <v/>
      </c>
      <c r="AN208" t="str">
        <f>Data!N208</f>
        <v/>
      </c>
      <c r="AO208" t="e">
        <f t="shared" si="9"/>
        <v>#VALUE!</v>
      </c>
    </row>
    <row r="209" spans="19:41">
      <c r="S209">
        <f>Data!A209</f>
        <v>0</v>
      </c>
      <c r="T209" t="str">
        <f>Data!D209</f>
        <v/>
      </c>
      <c r="U209">
        <f>Data!B209</f>
        <v>0</v>
      </c>
      <c r="V209" t="str">
        <f>Data!P209</f>
        <v/>
      </c>
      <c r="W209" t="str">
        <f>Data!N209</f>
        <v/>
      </c>
      <c r="X209">
        <f t="shared" si="10"/>
        <v>0</v>
      </c>
      <c r="AA209">
        <f>Data!A209</f>
        <v>0</v>
      </c>
      <c r="AB209">
        <f>Data!E209</f>
        <v>0</v>
      </c>
      <c r="AC209">
        <f>Data!F209</f>
        <v>0</v>
      </c>
      <c r="AD209">
        <f>Data!G209</f>
        <v>0</v>
      </c>
      <c r="AE209">
        <f>Data!B209</f>
        <v>0</v>
      </c>
      <c r="AF209" t="str">
        <f>Data!Q209</f>
        <v/>
      </c>
      <c r="AG209" t="str">
        <f>Data!N209</f>
        <v/>
      </c>
      <c r="AH209">
        <f>(IF($H$5="Curries/Stews",COUNTIF(Helper_Ingredient!$N$3:$N$20,AB209),IF($H$5="Salads",COUNTIF(Helper_Ingredient!$O$3:$O$20,AB209),COUNTIF(Helper_Ingredient!$P$3:$P$19,AB209)))&gt;0)+IF(AE209&gt;=30,(IF($H$5="Curries/Stews",COUNTIF(Helper_Ingredient!$N$3:$N$20,AC209),IF($H$5="Salads",COUNTIF(Helper_Ingredient!$O$3:$O$20,AC209),COUNTIF(Helper_Ingredient!$P$3:$P$19,AC209)))&gt;0),0)+IF(AE209&gt;=60,(IF($H$5="Curries/Stews",COUNTIF(Helper_Ingredient!$N$3:$N$20,AD209),IF($H$5="Salads",COUNTIF(Helper_Ingredient!$O$3:$O$20,AD209),COUNTIF(Helper_Ingredient!$P$3:$P$19,AD209)))&gt;0),0)</f>
        <v>0</v>
      </c>
      <c r="AI209">
        <f t="shared" si="11"/>
        <v>0</v>
      </c>
      <c r="AJ209">
        <f>Data!A209</f>
        <v>0</v>
      </c>
      <c r="AK209">
        <f>Data!H209</f>
        <v>0</v>
      </c>
      <c r="AL209">
        <f>Data!B209</f>
        <v>0</v>
      </c>
      <c r="AM209" t="str">
        <f>Data!R209</f>
        <v/>
      </c>
      <c r="AN209" t="str">
        <f>Data!N209</f>
        <v/>
      </c>
      <c r="AO209" t="e">
        <f t="shared" si="9"/>
        <v>#VALUE!</v>
      </c>
    </row>
    <row r="210" spans="19:41">
      <c r="S210">
        <f>Data!A210</f>
        <v>0</v>
      </c>
      <c r="T210" t="str">
        <f>Data!D210</f>
        <v/>
      </c>
      <c r="U210">
        <f>Data!B210</f>
        <v>0</v>
      </c>
      <c r="V210" t="str">
        <f>Data!P210</f>
        <v/>
      </c>
      <c r="W210" t="str">
        <f>Data!N210</f>
        <v/>
      </c>
      <c r="X210">
        <f t="shared" si="10"/>
        <v>0</v>
      </c>
      <c r="AA210">
        <f>Data!A210</f>
        <v>0</v>
      </c>
      <c r="AB210">
        <f>Data!E210</f>
        <v>0</v>
      </c>
      <c r="AC210">
        <f>Data!F210</f>
        <v>0</v>
      </c>
      <c r="AD210">
        <f>Data!G210</f>
        <v>0</v>
      </c>
      <c r="AE210">
        <f>Data!B210</f>
        <v>0</v>
      </c>
      <c r="AF210" t="str">
        <f>Data!Q210</f>
        <v/>
      </c>
      <c r="AG210" t="str">
        <f>Data!N210</f>
        <v/>
      </c>
      <c r="AH210">
        <f>(IF($H$5="Curries/Stews",COUNTIF(Helper_Ingredient!$N$3:$N$20,AB210),IF($H$5="Salads",COUNTIF(Helper_Ingredient!$O$3:$O$20,AB210),COUNTIF(Helper_Ingredient!$P$3:$P$19,AB210)))&gt;0)+IF(AE210&gt;=30,(IF($H$5="Curries/Stews",COUNTIF(Helper_Ingredient!$N$3:$N$20,AC210),IF($H$5="Salads",COUNTIF(Helper_Ingredient!$O$3:$O$20,AC210),COUNTIF(Helper_Ingredient!$P$3:$P$19,AC210)))&gt;0),0)+IF(AE210&gt;=60,(IF($H$5="Curries/Stews",COUNTIF(Helper_Ingredient!$N$3:$N$20,AD210),IF($H$5="Salads",COUNTIF(Helper_Ingredient!$O$3:$O$20,AD210),COUNTIF(Helper_Ingredient!$P$3:$P$19,AD210)))&gt;0),0)</f>
        <v>0</v>
      </c>
      <c r="AI210">
        <f t="shared" si="11"/>
        <v>0</v>
      </c>
      <c r="AJ210">
        <f>Data!A210</f>
        <v>0</v>
      </c>
      <c r="AK210">
        <f>Data!H210</f>
        <v>0</v>
      </c>
      <c r="AL210">
        <f>Data!B210</f>
        <v>0</v>
      </c>
      <c r="AM210" t="str">
        <f>Data!R210</f>
        <v/>
      </c>
      <c r="AN210" t="str">
        <f>Data!N210</f>
        <v/>
      </c>
      <c r="AO210" t="e">
        <f t="shared" si="9"/>
        <v>#VALUE!</v>
      </c>
    </row>
    <row r="211" spans="19:41">
      <c r="S211">
        <f>Data!A211</f>
        <v>0</v>
      </c>
      <c r="T211" t="str">
        <f>Data!D211</f>
        <v/>
      </c>
      <c r="U211">
        <f>Data!B211</f>
        <v>0</v>
      </c>
      <c r="V211" t="str">
        <f>Data!P211</f>
        <v/>
      </c>
      <c r="W211" t="str">
        <f>Data!N211</f>
        <v/>
      </c>
      <c r="X211">
        <f t="shared" si="10"/>
        <v>0</v>
      </c>
      <c r="AA211">
        <f>Data!A211</f>
        <v>0</v>
      </c>
      <c r="AB211">
        <f>Data!E211</f>
        <v>0</v>
      </c>
      <c r="AC211">
        <f>Data!F211</f>
        <v>0</v>
      </c>
      <c r="AD211">
        <f>Data!G211</f>
        <v>0</v>
      </c>
      <c r="AE211">
        <f>Data!B211</f>
        <v>0</v>
      </c>
      <c r="AF211" t="str">
        <f>Data!Q211</f>
        <v/>
      </c>
      <c r="AG211" t="str">
        <f>Data!N211</f>
        <v/>
      </c>
      <c r="AH211">
        <f>(IF($H$5="Curries/Stews",COUNTIF(Helper_Ingredient!$N$3:$N$20,AB211),IF($H$5="Salads",COUNTIF(Helper_Ingredient!$O$3:$O$20,AB211),COUNTIF(Helper_Ingredient!$P$3:$P$19,AB211)))&gt;0)+IF(AE211&gt;=30,(IF($H$5="Curries/Stews",COUNTIF(Helper_Ingredient!$N$3:$N$20,AC211),IF($H$5="Salads",COUNTIF(Helper_Ingredient!$O$3:$O$20,AC211),COUNTIF(Helper_Ingredient!$P$3:$P$19,AC211)))&gt;0),0)+IF(AE211&gt;=60,(IF($H$5="Curries/Stews",COUNTIF(Helper_Ingredient!$N$3:$N$20,AD211),IF($H$5="Salads",COUNTIF(Helper_Ingredient!$O$3:$O$20,AD211),COUNTIF(Helper_Ingredient!$P$3:$P$19,AD211)))&gt;0),0)</f>
        <v>0</v>
      </c>
      <c r="AI211">
        <f t="shared" si="11"/>
        <v>0</v>
      </c>
      <c r="AJ211">
        <f>Data!A211</f>
        <v>0</v>
      </c>
      <c r="AK211">
        <f>Data!H211</f>
        <v>0</v>
      </c>
      <c r="AL211">
        <f>Data!B211</f>
        <v>0</v>
      </c>
      <c r="AM211" t="str">
        <f>Data!R211</f>
        <v/>
      </c>
      <c r="AN211" t="str">
        <f>Data!N211</f>
        <v/>
      </c>
      <c r="AO211" t="e">
        <f t="shared" si="9"/>
        <v>#VALUE!</v>
      </c>
    </row>
    <row r="212" spans="19:41">
      <c r="S212">
        <f>Data!A212</f>
        <v>0</v>
      </c>
      <c r="T212" t="str">
        <f>Data!D212</f>
        <v/>
      </c>
      <c r="U212">
        <f>Data!B212</f>
        <v>0</v>
      </c>
      <c r="V212" t="str">
        <f>Data!P212</f>
        <v/>
      </c>
      <c r="W212" t="str">
        <f>Data!N212</f>
        <v/>
      </c>
      <c r="X212">
        <f t="shared" si="10"/>
        <v>0</v>
      </c>
      <c r="AA212">
        <f>Data!A212</f>
        <v>0</v>
      </c>
      <c r="AB212">
        <f>Data!E212</f>
        <v>0</v>
      </c>
      <c r="AC212">
        <f>Data!F212</f>
        <v>0</v>
      </c>
      <c r="AD212">
        <f>Data!G212</f>
        <v>0</v>
      </c>
      <c r="AE212">
        <f>Data!B212</f>
        <v>0</v>
      </c>
      <c r="AF212" t="str">
        <f>Data!Q212</f>
        <v/>
      </c>
      <c r="AG212" t="str">
        <f>Data!N212</f>
        <v/>
      </c>
      <c r="AH212">
        <f>(IF($H$5="Curries/Stews",COUNTIF(Helper_Ingredient!$N$3:$N$20,AB212),IF($H$5="Salads",COUNTIF(Helper_Ingredient!$O$3:$O$20,AB212),COUNTIF(Helper_Ingredient!$P$3:$P$19,AB212)))&gt;0)+IF(AE212&gt;=30,(IF($H$5="Curries/Stews",COUNTIF(Helper_Ingredient!$N$3:$N$20,AC212),IF($H$5="Salads",COUNTIF(Helper_Ingredient!$O$3:$O$20,AC212),COUNTIF(Helper_Ingredient!$P$3:$P$19,AC212)))&gt;0),0)+IF(AE212&gt;=60,(IF($H$5="Curries/Stews",COUNTIF(Helper_Ingredient!$N$3:$N$20,AD212),IF($H$5="Salads",COUNTIF(Helper_Ingredient!$O$3:$O$20,AD212),COUNTIF(Helper_Ingredient!$P$3:$P$19,AD212)))&gt;0),0)</f>
        <v>0</v>
      </c>
      <c r="AI212">
        <f t="shared" si="11"/>
        <v>0</v>
      </c>
      <c r="AJ212">
        <f>Data!A212</f>
        <v>0</v>
      </c>
      <c r="AK212">
        <f>Data!H212</f>
        <v>0</v>
      </c>
      <c r="AL212">
        <f>Data!B212</f>
        <v>0</v>
      </c>
      <c r="AM212" t="str">
        <f>Data!R212</f>
        <v/>
      </c>
      <c r="AN212" t="str">
        <f>Data!N212</f>
        <v/>
      </c>
      <c r="AO212" t="e">
        <f t="shared" si="9"/>
        <v>#VALUE!</v>
      </c>
    </row>
    <row r="213" spans="19:41">
      <c r="S213">
        <f>Data!A213</f>
        <v>0</v>
      </c>
      <c r="T213" t="str">
        <f>Data!D213</f>
        <v/>
      </c>
      <c r="U213">
        <f>Data!B213</f>
        <v>0</v>
      </c>
      <c r="V213" t="str">
        <f>Data!P213</f>
        <v/>
      </c>
      <c r="W213" t="str">
        <f>Data!N213</f>
        <v/>
      </c>
      <c r="X213">
        <f t="shared" si="10"/>
        <v>0</v>
      </c>
      <c r="AA213">
        <f>Data!A213</f>
        <v>0</v>
      </c>
      <c r="AB213">
        <f>Data!E213</f>
        <v>0</v>
      </c>
      <c r="AC213">
        <f>Data!F213</f>
        <v>0</v>
      </c>
      <c r="AD213">
        <f>Data!G213</f>
        <v>0</v>
      </c>
      <c r="AE213">
        <f>Data!B213</f>
        <v>0</v>
      </c>
      <c r="AF213" t="str">
        <f>Data!Q213</f>
        <v/>
      </c>
      <c r="AG213" t="str">
        <f>Data!N213</f>
        <v/>
      </c>
      <c r="AH213">
        <f>(IF($H$5="Curries/Stews",COUNTIF(Helper_Ingredient!$N$3:$N$20,AB213),IF($H$5="Salads",COUNTIF(Helper_Ingredient!$O$3:$O$20,AB213),COUNTIF(Helper_Ingredient!$P$3:$P$19,AB213)))&gt;0)+IF(AE213&gt;=30,(IF($H$5="Curries/Stews",COUNTIF(Helper_Ingredient!$N$3:$N$20,AC213),IF($H$5="Salads",COUNTIF(Helper_Ingredient!$O$3:$O$20,AC213),COUNTIF(Helper_Ingredient!$P$3:$P$19,AC213)))&gt;0),0)+IF(AE213&gt;=60,(IF($H$5="Curries/Stews",COUNTIF(Helper_Ingredient!$N$3:$N$20,AD213),IF($H$5="Salads",COUNTIF(Helper_Ingredient!$O$3:$O$20,AD213),COUNTIF(Helper_Ingredient!$P$3:$P$19,AD213)))&gt;0),0)</f>
        <v>0</v>
      </c>
      <c r="AI213">
        <f t="shared" si="11"/>
        <v>0</v>
      </c>
      <c r="AJ213">
        <f>Data!A213</f>
        <v>0</v>
      </c>
      <c r="AK213">
        <f>Data!H213</f>
        <v>0</v>
      </c>
      <c r="AL213">
        <f>Data!B213</f>
        <v>0</v>
      </c>
      <c r="AM213" t="str">
        <f>Data!R213</f>
        <v/>
      </c>
      <c r="AN213" t="str">
        <f>Data!N213</f>
        <v/>
      </c>
      <c r="AO213" t="e">
        <f t="shared" si="9"/>
        <v>#VALUE!</v>
      </c>
    </row>
    <row r="214" spans="19:41">
      <c r="S214">
        <f>Data!A214</f>
        <v>0</v>
      </c>
      <c r="T214" t="str">
        <f>Data!D214</f>
        <v/>
      </c>
      <c r="U214">
        <f>Data!B214</f>
        <v>0</v>
      </c>
      <c r="V214" t="str">
        <f>Data!P214</f>
        <v/>
      </c>
      <c r="W214" t="str">
        <f>Data!N214</f>
        <v/>
      </c>
      <c r="X214">
        <f t="shared" si="10"/>
        <v>0</v>
      </c>
      <c r="AA214">
        <f>Data!A214</f>
        <v>0</v>
      </c>
      <c r="AB214">
        <f>Data!E214</f>
        <v>0</v>
      </c>
      <c r="AC214">
        <f>Data!F214</f>
        <v>0</v>
      </c>
      <c r="AD214">
        <f>Data!G214</f>
        <v>0</v>
      </c>
      <c r="AE214">
        <f>Data!B214</f>
        <v>0</v>
      </c>
      <c r="AF214" t="str">
        <f>Data!Q214</f>
        <v/>
      </c>
      <c r="AG214" t="str">
        <f>Data!N214</f>
        <v/>
      </c>
      <c r="AH214">
        <f>(IF($H$5="Curries/Stews",COUNTIF(Helper_Ingredient!$N$3:$N$20,AB214),IF($H$5="Salads",COUNTIF(Helper_Ingredient!$O$3:$O$20,AB214),COUNTIF(Helper_Ingredient!$P$3:$P$19,AB214)))&gt;0)+IF(AE214&gt;=30,(IF($H$5="Curries/Stews",COUNTIF(Helper_Ingredient!$N$3:$N$20,AC214),IF($H$5="Salads",COUNTIF(Helper_Ingredient!$O$3:$O$20,AC214),COUNTIF(Helper_Ingredient!$P$3:$P$19,AC214)))&gt;0),0)+IF(AE214&gt;=60,(IF($H$5="Curries/Stews",COUNTIF(Helper_Ingredient!$N$3:$N$20,AD214),IF($H$5="Salads",COUNTIF(Helper_Ingredient!$O$3:$O$20,AD214),COUNTIF(Helper_Ingredient!$P$3:$P$19,AD214)))&gt;0),0)</f>
        <v>0</v>
      </c>
      <c r="AI214">
        <f t="shared" si="11"/>
        <v>0</v>
      </c>
      <c r="AJ214">
        <f>Data!A214</f>
        <v>0</v>
      </c>
      <c r="AK214">
        <f>Data!H214</f>
        <v>0</v>
      </c>
      <c r="AL214">
        <f>Data!B214</f>
        <v>0</v>
      </c>
      <c r="AM214" t="str">
        <f>Data!R214</f>
        <v/>
      </c>
      <c r="AN214" t="str">
        <f>Data!N214</f>
        <v/>
      </c>
      <c r="AO214" t="e">
        <f t="shared" si="9"/>
        <v>#VALUE!</v>
      </c>
    </row>
    <row r="215" spans="19:41">
      <c r="S215">
        <f>Data!A215</f>
        <v>0</v>
      </c>
      <c r="T215" t="str">
        <f>Data!D215</f>
        <v/>
      </c>
      <c r="U215">
        <f>Data!B215</f>
        <v>0</v>
      </c>
      <c r="V215" t="str">
        <f>Data!P215</f>
        <v/>
      </c>
      <c r="W215" t="str">
        <f>Data!N215</f>
        <v/>
      </c>
      <c r="X215">
        <f t="shared" si="10"/>
        <v>0</v>
      </c>
      <c r="AA215">
        <f>Data!A215</f>
        <v>0</v>
      </c>
      <c r="AB215">
        <f>Data!E215</f>
        <v>0</v>
      </c>
      <c r="AC215">
        <f>Data!F215</f>
        <v>0</v>
      </c>
      <c r="AD215">
        <f>Data!G215</f>
        <v>0</v>
      </c>
      <c r="AE215">
        <f>Data!B215</f>
        <v>0</v>
      </c>
      <c r="AF215" t="str">
        <f>Data!Q215</f>
        <v/>
      </c>
      <c r="AG215" t="str">
        <f>Data!N215</f>
        <v/>
      </c>
      <c r="AH215">
        <f>(IF($H$5="Curries/Stews",COUNTIF(Helper_Ingredient!$N$3:$N$20,AB215),IF($H$5="Salads",COUNTIF(Helper_Ingredient!$O$3:$O$20,AB215),COUNTIF(Helper_Ingredient!$P$3:$P$19,AB215)))&gt;0)+IF(AE215&gt;=30,(IF($H$5="Curries/Stews",COUNTIF(Helper_Ingredient!$N$3:$N$20,AC215),IF($H$5="Salads",COUNTIF(Helper_Ingredient!$O$3:$O$20,AC215),COUNTIF(Helper_Ingredient!$P$3:$P$19,AC215)))&gt;0),0)+IF(AE215&gt;=60,(IF($H$5="Curries/Stews",COUNTIF(Helper_Ingredient!$N$3:$N$20,AD215),IF($H$5="Salads",COUNTIF(Helper_Ingredient!$O$3:$O$20,AD215),COUNTIF(Helper_Ingredient!$P$3:$P$19,AD215)))&gt;0),0)</f>
        <v>0</v>
      </c>
      <c r="AI215">
        <f t="shared" si="11"/>
        <v>0</v>
      </c>
      <c r="AJ215">
        <f>Data!A215</f>
        <v>0</v>
      </c>
      <c r="AK215">
        <f>Data!H215</f>
        <v>0</v>
      </c>
      <c r="AL215">
        <f>Data!B215</f>
        <v>0</v>
      </c>
      <c r="AM215" t="str">
        <f>Data!R215</f>
        <v/>
      </c>
      <c r="AN215" t="str">
        <f>Data!N215</f>
        <v/>
      </c>
      <c r="AO215" t="e">
        <f t="shared" si="9"/>
        <v>#VALUE!</v>
      </c>
    </row>
    <row r="216" spans="19:41">
      <c r="S216">
        <f>Data!A216</f>
        <v>0</v>
      </c>
      <c r="T216" t="str">
        <f>Data!D216</f>
        <v/>
      </c>
      <c r="U216">
        <f>Data!B216</f>
        <v>0</v>
      </c>
      <c r="V216" t="str">
        <f>Data!P216</f>
        <v/>
      </c>
      <c r="W216" t="str">
        <f>Data!N216</f>
        <v/>
      </c>
      <c r="X216">
        <f t="shared" si="10"/>
        <v>0</v>
      </c>
      <c r="AA216">
        <f>Data!A216</f>
        <v>0</v>
      </c>
      <c r="AB216">
        <f>Data!E216</f>
        <v>0</v>
      </c>
      <c r="AC216">
        <f>Data!F216</f>
        <v>0</v>
      </c>
      <c r="AD216">
        <f>Data!G216</f>
        <v>0</v>
      </c>
      <c r="AE216">
        <f>Data!B216</f>
        <v>0</v>
      </c>
      <c r="AF216" t="str">
        <f>Data!Q216</f>
        <v/>
      </c>
      <c r="AG216" t="str">
        <f>Data!N216</f>
        <v/>
      </c>
      <c r="AH216">
        <f>(IF($H$5="Curries/Stews",COUNTIF(Helper_Ingredient!$N$3:$N$20,AB216),IF($H$5="Salads",COUNTIF(Helper_Ingredient!$O$3:$O$20,AB216),COUNTIF(Helper_Ingredient!$P$3:$P$19,AB216)))&gt;0)+IF(AE216&gt;=30,(IF($H$5="Curries/Stews",COUNTIF(Helper_Ingredient!$N$3:$N$20,AC216),IF($H$5="Salads",COUNTIF(Helper_Ingredient!$O$3:$O$20,AC216),COUNTIF(Helper_Ingredient!$P$3:$P$19,AC216)))&gt;0),0)+IF(AE216&gt;=60,(IF($H$5="Curries/Stews",COUNTIF(Helper_Ingredient!$N$3:$N$20,AD216),IF($H$5="Salads",COUNTIF(Helper_Ingredient!$O$3:$O$20,AD216),COUNTIF(Helper_Ingredient!$P$3:$P$19,AD216)))&gt;0),0)</f>
        <v>0</v>
      </c>
      <c r="AI216">
        <f t="shared" si="11"/>
        <v>0</v>
      </c>
      <c r="AJ216">
        <f>Data!A216</f>
        <v>0</v>
      </c>
      <c r="AK216">
        <f>Data!H216</f>
        <v>0</v>
      </c>
      <c r="AL216">
        <f>Data!B216</f>
        <v>0</v>
      </c>
      <c r="AM216" t="str">
        <f>Data!R216</f>
        <v/>
      </c>
      <c r="AN216" t="str">
        <f>Data!N216</f>
        <v/>
      </c>
      <c r="AO216" t="e">
        <f t="shared" si="9"/>
        <v>#VALUE!</v>
      </c>
    </row>
    <row r="217" spans="19:41">
      <c r="S217">
        <f>Data!A217</f>
        <v>0</v>
      </c>
      <c r="T217" t="str">
        <f>Data!D217</f>
        <v/>
      </c>
      <c r="U217">
        <f>Data!B217</f>
        <v>0</v>
      </c>
      <c r="V217" t="str">
        <f>Data!P217</f>
        <v/>
      </c>
      <c r="W217" t="str">
        <f>Data!N217</f>
        <v/>
      </c>
      <c r="X217">
        <f t="shared" si="10"/>
        <v>0</v>
      </c>
      <c r="AA217">
        <f>Data!A217</f>
        <v>0</v>
      </c>
      <c r="AB217">
        <f>Data!E217</f>
        <v>0</v>
      </c>
      <c r="AC217">
        <f>Data!F217</f>
        <v>0</v>
      </c>
      <c r="AD217">
        <f>Data!G217</f>
        <v>0</v>
      </c>
      <c r="AE217">
        <f>Data!B217</f>
        <v>0</v>
      </c>
      <c r="AF217" t="str">
        <f>Data!Q217</f>
        <v/>
      </c>
      <c r="AG217" t="str">
        <f>Data!N217</f>
        <v/>
      </c>
      <c r="AH217">
        <f>(IF($H$5="Curries/Stews",COUNTIF(Helper_Ingredient!$N$3:$N$20,AB217),IF($H$5="Salads",COUNTIF(Helper_Ingredient!$O$3:$O$20,AB217),COUNTIF(Helper_Ingredient!$P$3:$P$19,AB217)))&gt;0)+IF(AE217&gt;=30,(IF($H$5="Curries/Stews",COUNTIF(Helper_Ingredient!$N$3:$N$20,AC217),IF($H$5="Salads",COUNTIF(Helper_Ingredient!$O$3:$O$20,AC217),COUNTIF(Helper_Ingredient!$P$3:$P$19,AC217)))&gt;0),0)+IF(AE217&gt;=60,(IF($H$5="Curries/Stews",COUNTIF(Helper_Ingredient!$N$3:$N$20,AD217),IF($H$5="Salads",COUNTIF(Helper_Ingredient!$O$3:$O$20,AD217),COUNTIF(Helper_Ingredient!$P$3:$P$19,AD217)))&gt;0),0)</f>
        <v>0</v>
      </c>
      <c r="AI217">
        <f t="shared" si="11"/>
        <v>0</v>
      </c>
      <c r="AJ217">
        <f>Data!A217</f>
        <v>0</v>
      </c>
      <c r="AK217">
        <f>Data!H217</f>
        <v>0</v>
      </c>
      <c r="AL217">
        <f>Data!B217</f>
        <v>0</v>
      </c>
      <c r="AM217" t="str">
        <f>Data!R217</f>
        <v/>
      </c>
      <c r="AN217" t="str">
        <f>Data!N217</f>
        <v/>
      </c>
      <c r="AO217" t="e">
        <f t="shared" si="9"/>
        <v>#VALUE!</v>
      </c>
    </row>
    <row r="218" spans="19:41">
      <c r="S218">
        <f>Data!A218</f>
        <v>0</v>
      </c>
      <c r="T218" t="str">
        <f>Data!D218</f>
        <v/>
      </c>
      <c r="U218">
        <f>Data!B218</f>
        <v>0</v>
      </c>
      <c r="V218" t="str">
        <f>Data!P218</f>
        <v/>
      </c>
      <c r="W218" t="str">
        <f>Data!N218</f>
        <v/>
      </c>
      <c r="X218">
        <f t="shared" si="10"/>
        <v>0</v>
      </c>
      <c r="AA218">
        <f>Data!A218</f>
        <v>0</v>
      </c>
      <c r="AB218">
        <f>Data!E218</f>
        <v>0</v>
      </c>
      <c r="AC218">
        <f>Data!F218</f>
        <v>0</v>
      </c>
      <c r="AD218">
        <f>Data!G218</f>
        <v>0</v>
      </c>
      <c r="AE218">
        <f>Data!B218</f>
        <v>0</v>
      </c>
      <c r="AF218" t="str">
        <f>Data!Q218</f>
        <v/>
      </c>
      <c r="AG218" t="str">
        <f>Data!N218</f>
        <v/>
      </c>
      <c r="AH218">
        <f>(IF($H$5="Curries/Stews",COUNTIF(Helper_Ingredient!$N$3:$N$20,AB218),IF($H$5="Salads",COUNTIF(Helper_Ingredient!$O$3:$O$20,AB218),COUNTIF(Helper_Ingredient!$P$3:$P$19,AB218)))&gt;0)+IF(AE218&gt;=30,(IF($H$5="Curries/Stews",COUNTIF(Helper_Ingredient!$N$3:$N$20,AC218),IF($H$5="Salads",COUNTIF(Helper_Ingredient!$O$3:$O$20,AC218),COUNTIF(Helper_Ingredient!$P$3:$P$19,AC218)))&gt;0),0)+IF(AE218&gt;=60,(IF($H$5="Curries/Stews",COUNTIF(Helper_Ingredient!$N$3:$N$20,AD218),IF($H$5="Salads",COUNTIF(Helper_Ingredient!$O$3:$O$20,AD218),COUNTIF(Helper_Ingredient!$P$3:$P$19,AD218)))&gt;0),0)</f>
        <v>0</v>
      </c>
      <c r="AI218">
        <f t="shared" si="11"/>
        <v>0</v>
      </c>
      <c r="AJ218">
        <f>Data!A218</f>
        <v>0</v>
      </c>
      <c r="AK218">
        <f>Data!H218</f>
        <v>0</v>
      </c>
      <c r="AL218">
        <f>Data!B218</f>
        <v>0</v>
      </c>
      <c r="AM218" t="str">
        <f>Data!R218</f>
        <v/>
      </c>
      <c r="AN218" t="str">
        <f>Data!N218</f>
        <v/>
      </c>
      <c r="AO218" t="e">
        <f t="shared" si="9"/>
        <v>#VALUE!</v>
      </c>
    </row>
    <row r="219" spans="19:41">
      <c r="S219">
        <f>Data!A219</f>
        <v>0</v>
      </c>
      <c r="T219" t="str">
        <f>Data!D219</f>
        <v/>
      </c>
      <c r="U219">
        <f>Data!B219</f>
        <v>0</v>
      </c>
      <c r="V219" t="str">
        <f>Data!P219</f>
        <v/>
      </c>
      <c r="W219" t="str">
        <f>Data!N219</f>
        <v/>
      </c>
      <c r="X219">
        <f t="shared" si="10"/>
        <v>0</v>
      </c>
      <c r="AA219">
        <f>Data!A219</f>
        <v>0</v>
      </c>
      <c r="AB219">
        <f>Data!E219</f>
        <v>0</v>
      </c>
      <c r="AC219">
        <f>Data!F219</f>
        <v>0</v>
      </c>
      <c r="AD219">
        <f>Data!G219</f>
        <v>0</v>
      </c>
      <c r="AE219">
        <f>Data!B219</f>
        <v>0</v>
      </c>
      <c r="AF219" t="str">
        <f>Data!Q219</f>
        <v/>
      </c>
      <c r="AG219" t="str">
        <f>Data!N219</f>
        <v/>
      </c>
      <c r="AH219">
        <f>(IF($H$5="Curries/Stews",COUNTIF(Helper_Ingredient!$N$3:$N$20,AB219),IF($H$5="Salads",COUNTIF(Helper_Ingredient!$O$3:$O$20,AB219),COUNTIF(Helper_Ingredient!$P$3:$P$19,AB219)))&gt;0)+IF(AE219&gt;=30,(IF($H$5="Curries/Stews",COUNTIF(Helper_Ingredient!$N$3:$N$20,AC219),IF($H$5="Salads",COUNTIF(Helper_Ingredient!$O$3:$O$20,AC219),COUNTIF(Helper_Ingredient!$P$3:$P$19,AC219)))&gt;0),0)+IF(AE219&gt;=60,(IF($H$5="Curries/Stews",COUNTIF(Helper_Ingredient!$N$3:$N$20,AD219),IF($H$5="Salads",COUNTIF(Helper_Ingredient!$O$3:$O$20,AD219),COUNTIF(Helper_Ingredient!$P$3:$P$19,AD219)))&gt;0),0)</f>
        <v>0</v>
      </c>
      <c r="AI219">
        <f t="shared" si="11"/>
        <v>0</v>
      </c>
      <c r="AJ219">
        <f>Data!A219</f>
        <v>0</v>
      </c>
      <c r="AK219">
        <f>Data!H219</f>
        <v>0</v>
      </c>
      <c r="AL219">
        <f>Data!B219</f>
        <v>0</v>
      </c>
      <c r="AM219" t="str">
        <f>Data!R219</f>
        <v/>
      </c>
      <c r="AN219" t="str">
        <f>Data!N219</f>
        <v/>
      </c>
      <c r="AO219" t="e">
        <f t="shared" si="9"/>
        <v>#VALUE!</v>
      </c>
    </row>
    <row r="220" spans="19:41">
      <c r="S220">
        <f>Data!A220</f>
        <v>0</v>
      </c>
      <c r="T220" t="str">
        <f>Data!D220</f>
        <v/>
      </c>
      <c r="U220">
        <f>Data!B220</f>
        <v>0</v>
      </c>
      <c r="V220" t="str">
        <f>Data!P220</f>
        <v/>
      </c>
      <c r="W220" t="str">
        <f>Data!N220</f>
        <v/>
      </c>
      <c r="X220">
        <f t="shared" si="10"/>
        <v>0</v>
      </c>
      <c r="AA220">
        <f>Data!A220</f>
        <v>0</v>
      </c>
      <c r="AB220">
        <f>Data!E220</f>
        <v>0</v>
      </c>
      <c r="AC220">
        <f>Data!F220</f>
        <v>0</v>
      </c>
      <c r="AD220">
        <f>Data!G220</f>
        <v>0</v>
      </c>
      <c r="AE220">
        <f>Data!B220</f>
        <v>0</v>
      </c>
      <c r="AF220" t="str">
        <f>Data!Q220</f>
        <v/>
      </c>
      <c r="AG220" t="str">
        <f>Data!N220</f>
        <v/>
      </c>
      <c r="AH220">
        <f>(IF($H$5="Curries/Stews",COUNTIF(Helper_Ingredient!$N$3:$N$20,AB220),IF($H$5="Salads",COUNTIF(Helper_Ingredient!$O$3:$O$20,AB220),COUNTIF(Helper_Ingredient!$P$3:$P$19,AB220)))&gt;0)+IF(AE220&gt;=30,(IF($H$5="Curries/Stews",COUNTIF(Helper_Ingredient!$N$3:$N$20,AC220),IF($H$5="Salads",COUNTIF(Helper_Ingredient!$O$3:$O$20,AC220),COUNTIF(Helper_Ingredient!$P$3:$P$19,AC220)))&gt;0),0)+IF(AE220&gt;=60,(IF($H$5="Curries/Stews",COUNTIF(Helper_Ingredient!$N$3:$N$20,AD220),IF($H$5="Salads",COUNTIF(Helper_Ingredient!$O$3:$O$20,AD220),COUNTIF(Helper_Ingredient!$P$3:$P$19,AD220)))&gt;0),0)</f>
        <v>0</v>
      </c>
      <c r="AI220">
        <f t="shared" si="11"/>
        <v>0</v>
      </c>
      <c r="AJ220">
        <f>Data!A220</f>
        <v>0</v>
      </c>
      <c r="AK220">
        <f>Data!H220</f>
        <v>0</v>
      </c>
      <c r="AL220">
        <f>Data!B220</f>
        <v>0</v>
      </c>
      <c r="AM220" t="str">
        <f>Data!R220</f>
        <v/>
      </c>
      <c r="AN220" t="str">
        <f>Data!N220</f>
        <v/>
      </c>
      <c r="AO220" t="e">
        <f t="shared" si="9"/>
        <v>#VALUE!</v>
      </c>
    </row>
    <row r="221" spans="19:41">
      <c r="S221">
        <f>Data!A221</f>
        <v>0</v>
      </c>
      <c r="T221" t="str">
        <f>Data!D221</f>
        <v/>
      </c>
      <c r="U221">
        <f>Data!B221</f>
        <v>0</v>
      </c>
      <c r="V221" t="str">
        <f>Data!P221</f>
        <v/>
      </c>
      <c r="W221" t="str">
        <f>Data!N221</f>
        <v/>
      </c>
      <c r="X221">
        <f t="shared" si="10"/>
        <v>0</v>
      </c>
      <c r="AA221">
        <f>Data!A221</f>
        <v>0</v>
      </c>
      <c r="AB221">
        <f>Data!E221</f>
        <v>0</v>
      </c>
      <c r="AC221">
        <f>Data!F221</f>
        <v>0</v>
      </c>
      <c r="AD221">
        <f>Data!G221</f>
        <v>0</v>
      </c>
      <c r="AE221">
        <f>Data!B221</f>
        <v>0</v>
      </c>
      <c r="AF221" t="str">
        <f>Data!Q221</f>
        <v/>
      </c>
      <c r="AG221" t="str">
        <f>Data!N221</f>
        <v/>
      </c>
      <c r="AH221">
        <f>(IF($H$5="Curries/Stews",COUNTIF(Helper_Ingredient!$N$3:$N$20,AB221),IF($H$5="Salads",COUNTIF(Helper_Ingredient!$O$3:$O$20,AB221),COUNTIF(Helper_Ingredient!$P$3:$P$19,AB221)))&gt;0)+IF(AE221&gt;=30,(IF($H$5="Curries/Stews",COUNTIF(Helper_Ingredient!$N$3:$N$20,AC221),IF($H$5="Salads",COUNTIF(Helper_Ingredient!$O$3:$O$20,AC221),COUNTIF(Helper_Ingredient!$P$3:$P$19,AC221)))&gt;0),0)+IF(AE221&gt;=60,(IF($H$5="Curries/Stews",COUNTIF(Helper_Ingredient!$N$3:$N$20,AD221),IF($H$5="Salads",COUNTIF(Helper_Ingredient!$O$3:$O$20,AD221),COUNTIF(Helper_Ingredient!$P$3:$P$19,AD221)))&gt;0),0)</f>
        <v>0</v>
      </c>
      <c r="AI221">
        <f t="shared" si="11"/>
        <v>0</v>
      </c>
      <c r="AJ221">
        <f>Data!A221</f>
        <v>0</v>
      </c>
      <c r="AK221">
        <f>Data!H221</f>
        <v>0</v>
      </c>
      <c r="AL221">
        <f>Data!B221</f>
        <v>0</v>
      </c>
      <c r="AM221" t="str">
        <f>Data!R221</f>
        <v/>
      </c>
      <c r="AN221" t="str">
        <f>Data!N221</f>
        <v/>
      </c>
      <c r="AO221" t="e">
        <f t="shared" si="9"/>
        <v>#VALUE!</v>
      </c>
    </row>
    <row r="222" spans="19:41">
      <c r="S222">
        <f>Data!A222</f>
        <v>0</v>
      </c>
      <c r="T222" t="str">
        <f>Data!D222</f>
        <v/>
      </c>
      <c r="U222">
        <f>Data!B222</f>
        <v>0</v>
      </c>
      <c r="V222" t="str">
        <f>Data!P222</f>
        <v/>
      </c>
      <c r="W222" t="str">
        <f>Data!N222</f>
        <v/>
      </c>
      <c r="X222">
        <f t="shared" si="10"/>
        <v>0</v>
      </c>
      <c r="AA222">
        <f>Data!A222</f>
        <v>0</v>
      </c>
      <c r="AB222">
        <f>Data!E222</f>
        <v>0</v>
      </c>
      <c r="AC222">
        <f>Data!F222</f>
        <v>0</v>
      </c>
      <c r="AD222">
        <f>Data!G222</f>
        <v>0</v>
      </c>
      <c r="AE222">
        <f>Data!B222</f>
        <v>0</v>
      </c>
      <c r="AF222" t="str">
        <f>Data!Q222</f>
        <v/>
      </c>
      <c r="AG222" t="str">
        <f>Data!N222</f>
        <v/>
      </c>
      <c r="AH222">
        <f>(IF($H$5="Curries/Stews",COUNTIF(Helper_Ingredient!$N$3:$N$20,AB222),IF($H$5="Salads",COUNTIF(Helper_Ingredient!$O$3:$O$20,AB222),COUNTIF(Helper_Ingredient!$P$3:$P$19,AB222)))&gt;0)+IF(AE222&gt;=30,(IF($H$5="Curries/Stews",COUNTIF(Helper_Ingredient!$N$3:$N$20,AC222),IF($H$5="Salads",COUNTIF(Helper_Ingredient!$O$3:$O$20,AC222),COUNTIF(Helper_Ingredient!$P$3:$P$19,AC222)))&gt;0),0)+IF(AE222&gt;=60,(IF($H$5="Curries/Stews",COUNTIF(Helper_Ingredient!$N$3:$N$20,AD222),IF($H$5="Salads",COUNTIF(Helper_Ingredient!$O$3:$O$20,AD222),COUNTIF(Helper_Ingredient!$P$3:$P$19,AD222)))&gt;0),0)</f>
        <v>0</v>
      </c>
      <c r="AI222">
        <f t="shared" si="11"/>
        <v>0</v>
      </c>
      <c r="AJ222">
        <f>Data!A222</f>
        <v>0</v>
      </c>
      <c r="AK222">
        <f>Data!H222</f>
        <v>0</v>
      </c>
      <c r="AL222">
        <f>Data!B222</f>
        <v>0</v>
      </c>
      <c r="AM222" t="str">
        <f>Data!R222</f>
        <v/>
      </c>
      <c r="AN222" t="str">
        <f>Data!N222</f>
        <v/>
      </c>
      <c r="AO222" t="e">
        <f t="shared" si="9"/>
        <v>#VALUE!</v>
      </c>
    </row>
    <row r="223" spans="19:41">
      <c r="S223">
        <f>Data!A223</f>
        <v>0</v>
      </c>
      <c r="T223" t="str">
        <f>Data!D223</f>
        <v/>
      </c>
      <c r="U223">
        <f>Data!B223</f>
        <v>0</v>
      </c>
      <c r="V223" t="str">
        <f>Data!P223</f>
        <v/>
      </c>
      <c r="W223" t="str">
        <f>Data!N223</f>
        <v/>
      </c>
      <c r="X223">
        <f t="shared" si="10"/>
        <v>0</v>
      </c>
      <c r="AA223">
        <f>Data!A223</f>
        <v>0</v>
      </c>
      <c r="AB223">
        <f>Data!E223</f>
        <v>0</v>
      </c>
      <c r="AC223">
        <f>Data!F223</f>
        <v>0</v>
      </c>
      <c r="AD223">
        <f>Data!G223</f>
        <v>0</v>
      </c>
      <c r="AE223">
        <f>Data!B223</f>
        <v>0</v>
      </c>
      <c r="AF223" t="str">
        <f>Data!Q223</f>
        <v/>
      </c>
      <c r="AG223" t="str">
        <f>Data!N223</f>
        <v/>
      </c>
      <c r="AH223">
        <f>(IF($H$5="Curries/Stews",COUNTIF(Helper_Ingredient!$N$3:$N$20,AB223),IF($H$5="Salads",COUNTIF(Helper_Ingredient!$O$3:$O$20,AB223),COUNTIF(Helper_Ingredient!$P$3:$P$19,AB223)))&gt;0)+IF(AE223&gt;=30,(IF($H$5="Curries/Stews",COUNTIF(Helper_Ingredient!$N$3:$N$20,AC223),IF($H$5="Salads",COUNTIF(Helper_Ingredient!$O$3:$O$20,AC223),COUNTIF(Helper_Ingredient!$P$3:$P$19,AC223)))&gt;0),0)+IF(AE223&gt;=60,(IF($H$5="Curries/Stews",COUNTIF(Helper_Ingredient!$N$3:$N$20,AD223),IF($H$5="Salads",COUNTIF(Helper_Ingredient!$O$3:$O$20,AD223),COUNTIF(Helper_Ingredient!$P$3:$P$19,AD223)))&gt;0),0)</f>
        <v>0</v>
      </c>
      <c r="AI223">
        <f t="shared" si="11"/>
        <v>0</v>
      </c>
      <c r="AJ223">
        <f>Data!A223</f>
        <v>0</v>
      </c>
      <c r="AK223">
        <f>Data!H223</f>
        <v>0</v>
      </c>
      <c r="AL223">
        <f>Data!B223</f>
        <v>0</v>
      </c>
      <c r="AM223" t="str">
        <f>Data!R223</f>
        <v/>
      </c>
      <c r="AN223" t="str">
        <f>Data!N223</f>
        <v/>
      </c>
      <c r="AO223" t="e">
        <f t="shared" si="9"/>
        <v>#VALUE!</v>
      </c>
    </row>
    <row r="224" spans="19:41">
      <c r="S224">
        <f>Data!A224</f>
        <v>0</v>
      </c>
      <c r="T224" t="str">
        <f>Data!D224</f>
        <v/>
      </c>
      <c r="U224">
        <f>Data!B224</f>
        <v>0</v>
      </c>
      <c r="V224" t="str">
        <f>Data!P224</f>
        <v/>
      </c>
      <c r="W224" t="str">
        <f>Data!N224</f>
        <v/>
      </c>
      <c r="X224">
        <f t="shared" si="10"/>
        <v>0</v>
      </c>
      <c r="AA224">
        <f>Data!A224</f>
        <v>0</v>
      </c>
      <c r="AB224">
        <f>Data!E224</f>
        <v>0</v>
      </c>
      <c r="AC224">
        <f>Data!F224</f>
        <v>0</v>
      </c>
      <c r="AD224">
        <f>Data!G224</f>
        <v>0</v>
      </c>
      <c r="AE224">
        <f>Data!B224</f>
        <v>0</v>
      </c>
      <c r="AF224" t="str">
        <f>Data!Q224</f>
        <v/>
      </c>
      <c r="AG224" t="str">
        <f>Data!N224</f>
        <v/>
      </c>
      <c r="AH224">
        <f>(IF($H$5="Curries/Stews",COUNTIF(Helper_Ingredient!$N$3:$N$20,AB224),IF($H$5="Salads",COUNTIF(Helper_Ingredient!$O$3:$O$20,AB224),COUNTIF(Helper_Ingredient!$P$3:$P$19,AB224)))&gt;0)+IF(AE224&gt;=30,(IF($H$5="Curries/Stews",COUNTIF(Helper_Ingredient!$N$3:$N$20,AC224),IF($H$5="Salads",COUNTIF(Helper_Ingredient!$O$3:$O$20,AC224),COUNTIF(Helper_Ingredient!$P$3:$P$19,AC224)))&gt;0),0)+IF(AE224&gt;=60,(IF($H$5="Curries/Stews",COUNTIF(Helper_Ingredient!$N$3:$N$20,AD224),IF($H$5="Salads",COUNTIF(Helper_Ingredient!$O$3:$O$20,AD224),COUNTIF(Helper_Ingredient!$P$3:$P$19,AD224)))&gt;0),0)</f>
        <v>0</v>
      </c>
      <c r="AI224">
        <f t="shared" si="11"/>
        <v>0</v>
      </c>
      <c r="AJ224">
        <f>Data!A224</f>
        <v>0</v>
      </c>
      <c r="AK224">
        <f>Data!H224</f>
        <v>0</v>
      </c>
      <c r="AL224">
        <f>Data!B224</f>
        <v>0</v>
      </c>
      <c r="AM224" t="str">
        <f>Data!R224</f>
        <v/>
      </c>
      <c r="AN224" t="str">
        <f>Data!N224</f>
        <v/>
      </c>
      <c r="AO224" t="e">
        <f t="shared" si="9"/>
        <v>#VALUE!</v>
      </c>
    </row>
    <row r="225" spans="19:41">
      <c r="S225">
        <f>Data!A225</f>
        <v>0</v>
      </c>
      <c r="T225" t="str">
        <f>Data!D225</f>
        <v/>
      </c>
      <c r="U225">
        <f>Data!B225</f>
        <v>0</v>
      </c>
      <c r="V225" t="str">
        <f>Data!P225</f>
        <v/>
      </c>
      <c r="W225" t="str">
        <f>Data!N225</f>
        <v/>
      </c>
      <c r="X225">
        <f t="shared" si="10"/>
        <v>0</v>
      </c>
      <c r="AA225">
        <f>Data!A225</f>
        <v>0</v>
      </c>
      <c r="AB225">
        <f>Data!E225</f>
        <v>0</v>
      </c>
      <c r="AC225">
        <f>Data!F225</f>
        <v>0</v>
      </c>
      <c r="AD225">
        <f>Data!G225</f>
        <v>0</v>
      </c>
      <c r="AE225">
        <f>Data!B225</f>
        <v>0</v>
      </c>
      <c r="AF225" t="str">
        <f>Data!Q225</f>
        <v/>
      </c>
      <c r="AG225" t="str">
        <f>Data!N225</f>
        <v/>
      </c>
      <c r="AH225">
        <f>(IF($H$5="Curries/Stews",COUNTIF(Helper_Ingredient!$N$3:$N$20,AB225),IF($H$5="Salads",COUNTIF(Helper_Ingredient!$O$3:$O$20,AB225),COUNTIF(Helper_Ingredient!$P$3:$P$19,AB225)))&gt;0)+IF(AE225&gt;=30,(IF($H$5="Curries/Stews",COUNTIF(Helper_Ingredient!$N$3:$N$20,AC225),IF($H$5="Salads",COUNTIF(Helper_Ingredient!$O$3:$O$20,AC225),COUNTIF(Helper_Ingredient!$P$3:$P$19,AC225)))&gt;0),0)+IF(AE225&gt;=60,(IF($H$5="Curries/Stews",COUNTIF(Helper_Ingredient!$N$3:$N$20,AD225),IF($H$5="Salads",COUNTIF(Helper_Ingredient!$O$3:$O$20,AD225),COUNTIF(Helper_Ingredient!$P$3:$P$19,AD225)))&gt;0),0)</f>
        <v>0</v>
      </c>
      <c r="AI225">
        <f t="shared" si="11"/>
        <v>0</v>
      </c>
      <c r="AJ225">
        <f>Data!A225</f>
        <v>0</v>
      </c>
      <c r="AK225">
        <f>Data!H225</f>
        <v>0</v>
      </c>
      <c r="AL225">
        <f>Data!B225</f>
        <v>0</v>
      </c>
      <c r="AM225" t="str">
        <f>Data!R225</f>
        <v/>
      </c>
      <c r="AN225" t="str">
        <f>Data!N225</f>
        <v/>
      </c>
      <c r="AO225" t="e">
        <f t="shared" si="9"/>
        <v>#VALUE!</v>
      </c>
    </row>
    <row r="226" spans="19:41">
      <c r="S226">
        <f>Data!A226</f>
        <v>0</v>
      </c>
      <c r="T226" t="str">
        <f>Data!D226</f>
        <v/>
      </c>
      <c r="U226">
        <f>Data!B226</f>
        <v>0</v>
      </c>
      <c r="V226" t="str">
        <f>Data!P226</f>
        <v/>
      </c>
      <c r="W226" t="str">
        <f>Data!N226</f>
        <v/>
      </c>
      <c r="X226">
        <f t="shared" si="10"/>
        <v>0</v>
      </c>
      <c r="AA226">
        <f>Data!A226</f>
        <v>0</v>
      </c>
      <c r="AB226">
        <f>Data!E226</f>
        <v>0</v>
      </c>
      <c r="AC226">
        <f>Data!F226</f>
        <v>0</v>
      </c>
      <c r="AD226">
        <f>Data!G226</f>
        <v>0</v>
      </c>
      <c r="AE226">
        <f>Data!B226</f>
        <v>0</v>
      </c>
      <c r="AF226" t="str">
        <f>Data!Q226</f>
        <v/>
      </c>
      <c r="AG226" t="str">
        <f>Data!N226</f>
        <v/>
      </c>
      <c r="AH226">
        <f>(IF($H$5="Curries/Stews",COUNTIF(Helper_Ingredient!$N$3:$N$20,AB226),IF($H$5="Salads",COUNTIF(Helper_Ingredient!$O$3:$O$20,AB226),COUNTIF(Helper_Ingredient!$P$3:$P$19,AB226)))&gt;0)+IF(AE226&gt;=30,(IF($H$5="Curries/Stews",COUNTIF(Helper_Ingredient!$N$3:$N$20,AC226),IF($H$5="Salads",COUNTIF(Helper_Ingredient!$O$3:$O$20,AC226),COUNTIF(Helper_Ingredient!$P$3:$P$19,AC226)))&gt;0),0)+IF(AE226&gt;=60,(IF($H$5="Curries/Stews",COUNTIF(Helper_Ingredient!$N$3:$N$20,AD226),IF($H$5="Salads",COUNTIF(Helper_Ingredient!$O$3:$O$20,AD226),COUNTIF(Helper_Ingredient!$P$3:$P$19,AD226)))&gt;0),0)</f>
        <v>0</v>
      </c>
      <c r="AI226">
        <f t="shared" si="11"/>
        <v>0</v>
      </c>
      <c r="AJ226">
        <f>Data!A226</f>
        <v>0</v>
      </c>
      <c r="AK226">
        <f>Data!H226</f>
        <v>0</v>
      </c>
      <c r="AL226">
        <f>Data!B226</f>
        <v>0</v>
      </c>
      <c r="AM226" t="str">
        <f>Data!R226</f>
        <v/>
      </c>
      <c r="AN226" t="str">
        <f>Data!N226</f>
        <v/>
      </c>
      <c r="AO226" t="e">
        <f t="shared" si="9"/>
        <v>#VALUE!</v>
      </c>
    </row>
    <row r="227" spans="19:41">
      <c r="S227">
        <f>Data!A227</f>
        <v>0</v>
      </c>
      <c r="T227" t="str">
        <f>Data!D227</f>
        <v/>
      </c>
      <c r="U227">
        <f>Data!B227</f>
        <v>0</v>
      </c>
      <c r="V227" t="str">
        <f>Data!P227</f>
        <v/>
      </c>
      <c r="W227" t="str">
        <f>Data!N227</f>
        <v/>
      </c>
      <c r="X227">
        <f t="shared" si="10"/>
        <v>0</v>
      </c>
      <c r="AA227">
        <f>Data!A227</f>
        <v>0</v>
      </c>
      <c r="AB227">
        <f>Data!E227</f>
        <v>0</v>
      </c>
      <c r="AC227">
        <f>Data!F227</f>
        <v>0</v>
      </c>
      <c r="AD227">
        <f>Data!G227</f>
        <v>0</v>
      </c>
      <c r="AE227">
        <f>Data!B227</f>
        <v>0</v>
      </c>
      <c r="AF227" t="str">
        <f>Data!Q227</f>
        <v/>
      </c>
      <c r="AG227" t="str">
        <f>Data!N227</f>
        <v/>
      </c>
      <c r="AH227">
        <f>(IF($H$5="Curries/Stews",COUNTIF(Helper_Ingredient!$N$3:$N$20,AB227),IF($H$5="Salads",COUNTIF(Helper_Ingredient!$O$3:$O$20,AB227),COUNTIF(Helper_Ingredient!$P$3:$P$19,AB227)))&gt;0)+IF(AE227&gt;=30,(IF($H$5="Curries/Stews",COUNTIF(Helper_Ingredient!$N$3:$N$20,AC227),IF($H$5="Salads",COUNTIF(Helper_Ingredient!$O$3:$O$20,AC227),COUNTIF(Helper_Ingredient!$P$3:$P$19,AC227)))&gt;0),0)+IF(AE227&gt;=60,(IF($H$5="Curries/Stews",COUNTIF(Helper_Ingredient!$N$3:$N$20,AD227),IF($H$5="Salads",COUNTIF(Helper_Ingredient!$O$3:$O$20,AD227),COUNTIF(Helper_Ingredient!$P$3:$P$19,AD227)))&gt;0),0)</f>
        <v>0</v>
      </c>
      <c r="AI227">
        <f t="shared" si="11"/>
        <v>0</v>
      </c>
      <c r="AJ227">
        <f>Data!A227</f>
        <v>0</v>
      </c>
      <c r="AK227">
        <f>Data!H227</f>
        <v>0</v>
      </c>
      <c r="AL227">
        <f>Data!B227</f>
        <v>0</v>
      </c>
      <c r="AM227" t="str">
        <f>Data!R227</f>
        <v/>
      </c>
      <c r="AN227" t="str">
        <f>Data!N227</f>
        <v/>
      </c>
      <c r="AO227" t="e">
        <f t="shared" si="9"/>
        <v>#VALUE!</v>
      </c>
    </row>
    <row r="228" spans="19:41">
      <c r="S228">
        <f>Data!A228</f>
        <v>0</v>
      </c>
      <c r="T228" t="str">
        <f>Data!D228</f>
        <v/>
      </c>
      <c r="U228">
        <f>Data!B228</f>
        <v>0</v>
      </c>
      <c r="V228" t="str">
        <f>Data!P228</f>
        <v/>
      </c>
      <c r="W228" t="str">
        <f>Data!N228</f>
        <v/>
      </c>
      <c r="X228">
        <f t="shared" si="10"/>
        <v>0</v>
      </c>
      <c r="AA228">
        <f>Data!A228</f>
        <v>0</v>
      </c>
      <c r="AB228">
        <f>Data!E228</f>
        <v>0</v>
      </c>
      <c r="AC228">
        <f>Data!F228</f>
        <v>0</v>
      </c>
      <c r="AD228">
        <f>Data!G228</f>
        <v>0</v>
      </c>
      <c r="AE228">
        <f>Data!B228</f>
        <v>0</v>
      </c>
      <c r="AF228" t="str">
        <f>Data!Q228</f>
        <v/>
      </c>
      <c r="AG228" t="str">
        <f>Data!N228</f>
        <v/>
      </c>
      <c r="AH228">
        <f>(IF($H$5="Curries/Stews",COUNTIF(Helper_Ingredient!$N$3:$N$20,AB228),IF($H$5="Salads",COUNTIF(Helper_Ingredient!$O$3:$O$20,AB228),COUNTIF(Helper_Ingredient!$P$3:$P$19,AB228)))&gt;0)+IF(AE228&gt;=30,(IF($H$5="Curries/Stews",COUNTIF(Helper_Ingredient!$N$3:$N$20,AC228),IF($H$5="Salads",COUNTIF(Helper_Ingredient!$O$3:$O$20,AC228),COUNTIF(Helper_Ingredient!$P$3:$P$19,AC228)))&gt;0),0)+IF(AE228&gt;=60,(IF($H$5="Curries/Stews",COUNTIF(Helper_Ingredient!$N$3:$N$20,AD228),IF($H$5="Salads",COUNTIF(Helper_Ingredient!$O$3:$O$20,AD228),COUNTIF(Helper_Ingredient!$P$3:$P$19,AD228)))&gt;0),0)</f>
        <v>0</v>
      </c>
      <c r="AI228">
        <f t="shared" si="11"/>
        <v>0</v>
      </c>
      <c r="AJ228">
        <f>Data!A228</f>
        <v>0</v>
      </c>
      <c r="AK228">
        <f>Data!H228</f>
        <v>0</v>
      </c>
      <c r="AL228">
        <f>Data!B228</f>
        <v>0</v>
      </c>
      <c r="AM228" t="str">
        <f>Data!R228</f>
        <v/>
      </c>
      <c r="AN228" t="str">
        <f>Data!N228</f>
        <v/>
      </c>
      <c r="AO228" t="e">
        <f t="shared" si="9"/>
        <v>#VALUE!</v>
      </c>
    </row>
    <row r="229" spans="19:41">
      <c r="S229">
        <f>Data!A229</f>
        <v>0</v>
      </c>
      <c r="T229" t="str">
        <f>Data!D229</f>
        <v/>
      </c>
      <c r="U229">
        <f>Data!B229</f>
        <v>0</v>
      </c>
      <c r="V229" t="str">
        <f>Data!P229</f>
        <v/>
      </c>
      <c r="W229" t="str">
        <f>Data!N229</f>
        <v/>
      </c>
      <c r="X229">
        <f t="shared" si="10"/>
        <v>0</v>
      </c>
      <c r="AA229">
        <f>Data!A229</f>
        <v>0</v>
      </c>
      <c r="AB229">
        <f>Data!E229</f>
        <v>0</v>
      </c>
      <c r="AC229">
        <f>Data!F229</f>
        <v>0</v>
      </c>
      <c r="AD229">
        <f>Data!G229</f>
        <v>0</v>
      </c>
      <c r="AE229">
        <f>Data!B229</f>
        <v>0</v>
      </c>
      <c r="AF229" t="str">
        <f>Data!Q229</f>
        <v/>
      </c>
      <c r="AG229" t="str">
        <f>Data!N229</f>
        <v/>
      </c>
      <c r="AH229">
        <f>(IF($H$5="Curries/Stews",COUNTIF(Helper_Ingredient!$N$3:$N$20,AB229),IF($H$5="Salads",COUNTIF(Helper_Ingredient!$O$3:$O$20,AB229),COUNTIF(Helper_Ingredient!$P$3:$P$19,AB229)))&gt;0)+IF(AE229&gt;=30,(IF($H$5="Curries/Stews",COUNTIF(Helper_Ingredient!$N$3:$N$20,AC229),IF($H$5="Salads",COUNTIF(Helper_Ingredient!$O$3:$O$20,AC229),COUNTIF(Helper_Ingredient!$P$3:$P$19,AC229)))&gt;0),0)+IF(AE229&gt;=60,(IF($H$5="Curries/Stews",COUNTIF(Helper_Ingredient!$N$3:$N$20,AD229),IF($H$5="Salads",COUNTIF(Helper_Ingredient!$O$3:$O$20,AD229),COUNTIF(Helper_Ingredient!$P$3:$P$19,AD229)))&gt;0),0)</f>
        <v>0</v>
      </c>
      <c r="AI229">
        <f t="shared" si="11"/>
        <v>0</v>
      </c>
      <c r="AJ229">
        <f>Data!A229</f>
        <v>0</v>
      </c>
      <c r="AK229">
        <f>Data!H229</f>
        <v>0</v>
      </c>
      <c r="AL229">
        <f>Data!B229</f>
        <v>0</v>
      </c>
      <c r="AM229" t="str">
        <f>Data!R229</f>
        <v/>
      </c>
      <c r="AN229" t="str">
        <f>Data!N229</f>
        <v/>
      </c>
      <c r="AO229" t="e">
        <f t="shared" si="9"/>
        <v>#VALUE!</v>
      </c>
    </row>
    <row r="230" spans="19:41">
      <c r="S230">
        <f>Data!A230</f>
        <v>0</v>
      </c>
      <c r="T230" t="str">
        <f>Data!D230</f>
        <v/>
      </c>
      <c r="U230">
        <f>Data!B230</f>
        <v>0</v>
      </c>
      <c r="V230" t="str">
        <f>Data!P230</f>
        <v/>
      </c>
      <c r="W230" t="str">
        <f>Data!N230</f>
        <v/>
      </c>
      <c r="X230">
        <f t="shared" si="10"/>
        <v>0</v>
      </c>
      <c r="AA230">
        <f>Data!A230</f>
        <v>0</v>
      </c>
      <c r="AB230">
        <f>Data!E230</f>
        <v>0</v>
      </c>
      <c r="AC230">
        <f>Data!F230</f>
        <v>0</v>
      </c>
      <c r="AD230">
        <f>Data!G230</f>
        <v>0</v>
      </c>
      <c r="AE230">
        <f>Data!B230</f>
        <v>0</v>
      </c>
      <c r="AF230" t="str">
        <f>Data!Q230</f>
        <v/>
      </c>
      <c r="AG230" t="str">
        <f>Data!N230</f>
        <v/>
      </c>
      <c r="AH230">
        <f>(IF($H$5="Curries/Stews",COUNTIF(Helper_Ingredient!$N$3:$N$20,AB230),IF($H$5="Salads",COUNTIF(Helper_Ingredient!$O$3:$O$20,AB230),COUNTIF(Helper_Ingredient!$P$3:$P$19,AB230)))&gt;0)+IF(AE230&gt;=30,(IF($H$5="Curries/Stews",COUNTIF(Helper_Ingredient!$N$3:$N$20,AC230),IF($H$5="Salads",COUNTIF(Helper_Ingredient!$O$3:$O$20,AC230),COUNTIF(Helper_Ingredient!$P$3:$P$19,AC230)))&gt;0),0)+IF(AE230&gt;=60,(IF($H$5="Curries/Stews",COUNTIF(Helper_Ingredient!$N$3:$N$20,AD230),IF($H$5="Salads",COUNTIF(Helper_Ingredient!$O$3:$O$20,AD230),COUNTIF(Helper_Ingredient!$P$3:$P$19,AD230)))&gt;0),0)</f>
        <v>0</v>
      </c>
      <c r="AI230">
        <f t="shared" si="11"/>
        <v>0</v>
      </c>
      <c r="AJ230">
        <f>Data!A230</f>
        <v>0</v>
      </c>
      <c r="AK230">
        <f>Data!H230</f>
        <v>0</v>
      </c>
      <c r="AL230">
        <f>Data!B230</f>
        <v>0</v>
      </c>
      <c r="AM230" t="str">
        <f>Data!R230</f>
        <v/>
      </c>
      <c r="AN230" t="str">
        <f>Data!N230</f>
        <v/>
      </c>
      <c r="AO230" t="e">
        <f t="shared" si="9"/>
        <v>#VALUE!</v>
      </c>
    </row>
    <row r="231" spans="19:41">
      <c r="S231">
        <f>Data!A231</f>
        <v>0</v>
      </c>
      <c r="T231" t="str">
        <f>Data!D231</f>
        <v/>
      </c>
      <c r="U231">
        <f>Data!B231</f>
        <v>0</v>
      </c>
      <c r="V231" t="str">
        <f>Data!P231</f>
        <v/>
      </c>
      <c r="W231" t="str">
        <f>Data!N231</f>
        <v/>
      </c>
      <c r="X231">
        <f t="shared" si="10"/>
        <v>0</v>
      </c>
      <c r="AA231">
        <f>Data!A231</f>
        <v>0</v>
      </c>
      <c r="AB231">
        <f>Data!E231</f>
        <v>0</v>
      </c>
      <c r="AC231">
        <f>Data!F231</f>
        <v>0</v>
      </c>
      <c r="AD231">
        <f>Data!G231</f>
        <v>0</v>
      </c>
      <c r="AE231">
        <f>Data!B231</f>
        <v>0</v>
      </c>
      <c r="AF231" t="str">
        <f>Data!Q231</f>
        <v/>
      </c>
      <c r="AG231" t="str">
        <f>Data!N231</f>
        <v/>
      </c>
      <c r="AH231">
        <f>(IF($H$5="Curries/Stews",COUNTIF(Helper_Ingredient!$N$3:$N$20,AB231),IF($H$5="Salads",COUNTIF(Helper_Ingredient!$O$3:$O$20,AB231),COUNTIF(Helper_Ingredient!$P$3:$P$19,AB231)))&gt;0)+IF(AE231&gt;=30,(IF($H$5="Curries/Stews",COUNTIF(Helper_Ingredient!$N$3:$N$20,AC231),IF($H$5="Salads",COUNTIF(Helper_Ingredient!$O$3:$O$20,AC231),COUNTIF(Helper_Ingredient!$P$3:$P$19,AC231)))&gt;0),0)+IF(AE231&gt;=60,(IF($H$5="Curries/Stews",COUNTIF(Helper_Ingredient!$N$3:$N$20,AD231),IF($H$5="Salads",COUNTIF(Helper_Ingredient!$O$3:$O$20,AD231),COUNTIF(Helper_Ingredient!$P$3:$P$19,AD231)))&gt;0),0)</f>
        <v>0</v>
      </c>
      <c r="AI231">
        <f t="shared" si="11"/>
        <v>0</v>
      </c>
      <c r="AJ231">
        <f>Data!A231</f>
        <v>0</v>
      </c>
      <c r="AK231">
        <f>Data!H231</f>
        <v>0</v>
      </c>
      <c r="AL231">
        <f>Data!B231</f>
        <v>0</v>
      </c>
      <c r="AM231" t="str">
        <f>Data!R231</f>
        <v/>
      </c>
      <c r="AN231" t="str">
        <f>Data!N231</f>
        <v/>
      </c>
      <c r="AO231" t="e">
        <f t="shared" si="9"/>
        <v>#VALUE!</v>
      </c>
    </row>
    <row r="232" spans="19:41">
      <c r="S232">
        <f>Data!A232</f>
        <v>0</v>
      </c>
      <c r="T232" t="str">
        <f>Data!D232</f>
        <v/>
      </c>
      <c r="U232">
        <f>Data!B232</f>
        <v>0</v>
      </c>
      <c r="V232" t="str">
        <f>Data!P232</f>
        <v/>
      </c>
      <c r="W232" t="str">
        <f>Data!N232</f>
        <v/>
      </c>
      <c r="X232">
        <f t="shared" si="10"/>
        <v>0</v>
      </c>
      <c r="AA232">
        <f>Data!A232</f>
        <v>0</v>
      </c>
      <c r="AB232">
        <f>Data!E232</f>
        <v>0</v>
      </c>
      <c r="AC232">
        <f>Data!F232</f>
        <v>0</v>
      </c>
      <c r="AD232">
        <f>Data!G232</f>
        <v>0</v>
      </c>
      <c r="AE232">
        <f>Data!B232</f>
        <v>0</v>
      </c>
      <c r="AF232" t="str">
        <f>Data!Q232</f>
        <v/>
      </c>
      <c r="AG232" t="str">
        <f>Data!N232</f>
        <v/>
      </c>
      <c r="AH232">
        <f>(IF($H$5="Curries/Stews",COUNTIF(Helper_Ingredient!$N$3:$N$20,AB232),IF($H$5="Salads",COUNTIF(Helper_Ingredient!$O$3:$O$20,AB232),COUNTIF(Helper_Ingredient!$P$3:$P$19,AB232)))&gt;0)+IF(AE232&gt;=30,(IF($H$5="Curries/Stews",COUNTIF(Helper_Ingredient!$N$3:$N$20,AC232),IF($H$5="Salads",COUNTIF(Helper_Ingredient!$O$3:$O$20,AC232),COUNTIF(Helper_Ingredient!$P$3:$P$19,AC232)))&gt;0),0)+IF(AE232&gt;=60,(IF($H$5="Curries/Stews",COUNTIF(Helper_Ingredient!$N$3:$N$20,AD232),IF($H$5="Salads",COUNTIF(Helper_Ingredient!$O$3:$O$20,AD232),COUNTIF(Helper_Ingredient!$P$3:$P$19,AD232)))&gt;0),0)</f>
        <v>0</v>
      </c>
      <c r="AI232">
        <f t="shared" si="11"/>
        <v>0</v>
      </c>
      <c r="AJ232">
        <f>Data!A232</f>
        <v>0</v>
      </c>
      <c r="AK232">
        <f>Data!H232</f>
        <v>0</v>
      </c>
      <c r="AL232">
        <f>Data!B232</f>
        <v>0</v>
      </c>
      <c r="AM232" t="str">
        <f>Data!R232</f>
        <v/>
      </c>
      <c r="AN232" t="str">
        <f>Data!N232</f>
        <v/>
      </c>
      <c r="AO232" t="e">
        <f t="shared" si="9"/>
        <v>#VALUE!</v>
      </c>
    </row>
    <row r="233" spans="19:41">
      <c r="S233">
        <f>Data!A233</f>
        <v>0</v>
      </c>
      <c r="T233" t="str">
        <f>Data!D233</f>
        <v/>
      </c>
      <c r="U233">
        <f>Data!B233</f>
        <v>0</v>
      </c>
      <c r="V233" t="str">
        <f>Data!P233</f>
        <v/>
      </c>
      <c r="W233" t="str">
        <f>Data!N233</f>
        <v/>
      </c>
      <c r="X233">
        <f t="shared" si="10"/>
        <v>0</v>
      </c>
      <c r="AA233">
        <f>Data!A233</f>
        <v>0</v>
      </c>
      <c r="AB233">
        <f>Data!E233</f>
        <v>0</v>
      </c>
      <c r="AC233">
        <f>Data!F233</f>
        <v>0</v>
      </c>
      <c r="AD233">
        <f>Data!G233</f>
        <v>0</v>
      </c>
      <c r="AE233">
        <f>Data!B233</f>
        <v>0</v>
      </c>
      <c r="AF233" t="str">
        <f>Data!Q233</f>
        <v/>
      </c>
      <c r="AG233" t="str">
        <f>Data!N233</f>
        <v/>
      </c>
      <c r="AH233">
        <f>(IF($H$5="Curries/Stews",COUNTIF(Helper_Ingredient!$N$3:$N$20,AB233),IF($H$5="Salads",COUNTIF(Helper_Ingredient!$O$3:$O$20,AB233),COUNTIF(Helper_Ingredient!$P$3:$P$19,AB233)))&gt;0)+IF(AE233&gt;=30,(IF($H$5="Curries/Stews",COUNTIF(Helper_Ingredient!$N$3:$N$20,AC233),IF($H$5="Salads",COUNTIF(Helper_Ingredient!$O$3:$O$20,AC233),COUNTIF(Helper_Ingredient!$P$3:$P$19,AC233)))&gt;0),0)+IF(AE233&gt;=60,(IF($H$5="Curries/Stews",COUNTIF(Helper_Ingredient!$N$3:$N$20,AD233),IF($H$5="Salads",COUNTIF(Helper_Ingredient!$O$3:$O$20,AD233),COUNTIF(Helper_Ingredient!$P$3:$P$19,AD233)))&gt;0),0)</f>
        <v>0</v>
      </c>
      <c r="AI233">
        <f t="shared" si="11"/>
        <v>0</v>
      </c>
      <c r="AJ233">
        <f>Data!A233</f>
        <v>0</v>
      </c>
      <c r="AK233">
        <f>Data!H233</f>
        <v>0</v>
      </c>
      <c r="AL233">
        <f>Data!B233</f>
        <v>0</v>
      </c>
      <c r="AM233" t="str">
        <f>Data!R233</f>
        <v/>
      </c>
      <c r="AN233" t="str">
        <f>Data!N233</f>
        <v/>
      </c>
      <c r="AO233" t="e">
        <f t="shared" si="9"/>
        <v>#VALUE!</v>
      </c>
    </row>
    <row r="234" spans="19:41">
      <c r="S234">
        <f>Data!A234</f>
        <v>0</v>
      </c>
      <c r="T234" t="str">
        <f>Data!D234</f>
        <v/>
      </c>
      <c r="U234">
        <f>Data!B234</f>
        <v>0</v>
      </c>
      <c r="V234" t="str">
        <f>Data!P234</f>
        <v/>
      </c>
      <c r="W234" t="str">
        <f>Data!N234</f>
        <v/>
      </c>
      <c r="X234">
        <f t="shared" si="10"/>
        <v>0</v>
      </c>
      <c r="AA234">
        <f>Data!A234</f>
        <v>0</v>
      </c>
      <c r="AB234">
        <f>Data!E234</f>
        <v>0</v>
      </c>
      <c r="AC234">
        <f>Data!F234</f>
        <v>0</v>
      </c>
      <c r="AD234">
        <f>Data!G234</f>
        <v>0</v>
      </c>
      <c r="AE234">
        <f>Data!B234</f>
        <v>0</v>
      </c>
      <c r="AF234" t="str">
        <f>Data!Q234</f>
        <v/>
      </c>
      <c r="AG234" t="str">
        <f>Data!N234</f>
        <v/>
      </c>
      <c r="AH234">
        <f>(IF($H$5="Curries/Stews",COUNTIF(Helper_Ingredient!$N$3:$N$20,AB234),IF($H$5="Salads",COUNTIF(Helper_Ingredient!$O$3:$O$20,AB234),COUNTIF(Helper_Ingredient!$P$3:$P$19,AB234)))&gt;0)+IF(AE234&gt;=30,(IF($H$5="Curries/Stews",COUNTIF(Helper_Ingredient!$N$3:$N$20,AC234),IF($H$5="Salads",COUNTIF(Helper_Ingredient!$O$3:$O$20,AC234),COUNTIF(Helper_Ingredient!$P$3:$P$19,AC234)))&gt;0),0)+IF(AE234&gt;=60,(IF($H$5="Curries/Stews",COUNTIF(Helper_Ingredient!$N$3:$N$20,AD234),IF($H$5="Salads",COUNTIF(Helper_Ingredient!$O$3:$O$20,AD234),COUNTIF(Helper_Ingredient!$P$3:$P$19,AD234)))&gt;0),0)</f>
        <v>0</v>
      </c>
      <c r="AI234">
        <f t="shared" si="11"/>
        <v>0</v>
      </c>
      <c r="AJ234">
        <f>Data!A234</f>
        <v>0</v>
      </c>
      <c r="AK234">
        <f>Data!H234</f>
        <v>0</v>
      </c>
      <c r="AL234">
        <f>Data!B234</f>
        <v>0</v>
      </c>
      <c r="AM234" t="str">
        <f>Data!R234</f>
        <v/>
      </c>
      <c r="AN234" t="str">
        <f>Data!N234</f>
        <v/>
      </c>
      <c r="AO234" t="e">
        <f t="shared" si="9"/>
        <v>#VALUE!</v>
      </c>
    </row>
    <row r="235" spans="19:41">
      <c r="S235">
        <f>Data!A235</f>
        <v>0</v>
      </c>
      <c r="T235" t="str">
        <f>Data!D235</f>
        <v/>
      </c>
      <c r="U235">
        <f>Data!B235</f>
        <v>0</v>
      </c>
      <c r="V235" t="str">
        <f>Data!P235</f>
        <v/>
      </c>
      <c r="W235" t="str">
        <f>Data!N235</f>
        <v/>
      </c>
      <c r="X235">
        <f t="shared" si="10"/>
        <v>0</v>
      </c>
      <c r="AA235">
        <f>Data!A235</f>
        <v>0</v>
      </c>
      <c r="AB235">
        <f>Data!E235</f>
        <v>0</v>
      </c>
      <c r="AC235">
        <f>Data!F235</f>
        <v>0</v>
      </c>
      <c r="AD235">
        <f>Data!G235</f>
        <v>0</v>
      </c>
      <c r="AE235">
        <f>Data!B235</f>
        <v>0</v>
      </c>
      <c r="AF235" t="str">
        <f>Data!Q235</f>
        <v/>
      </c>
      <c r="AG235" t="str">
        <f>Data!N235</f>
        <v/>
      </c>
      <c r="AH235">
        <f>(IF($H$5="Curries/Stews",COUNTIF(Helper_Ingredient!$N$3:$N$20,AB235),IF($H$5="Salads",COUNTIF(Helper_Ingredient!$O$3:$O$20,AB235),COUNTIF(Helper_Ingredient!$P$3:$P$19,AB235)))&gt;0)+IF(AE235&gt;=30,(IF($H$5="Curries/Stews",COUNTIF(Helper_Ingredient!$N$3:$N$20,AC235),IF($H$5="Salads",COUNTIF(Helper_Ingredient!$O$3:$O$20,AC235),COUNTIF(Helper_Ingredient!$P$3:$P$19,AC235)))&gt;0),0)+IF(AE235&gt;=60,(IF($H$5="Curries/Stews",COUNTIF(Helper_Ingredient!$N$3:$N$20,AD235),IF($H$5="Salads",COUNTIF(Helper_Ingredient!$O$3:$O$20,AD235),COUNTIF(Helper_Ingredient!$P$3:$P$19,AD235)))&gt;0),0)</f>
        <v>0</v>
      </c>
      <c r="AI235">
        <f t="shared" si="11"/>
        <v>0</v>
      </c>
      <c r="AJ235">
        <f>Data!A235</f>
        <v>0</v>
      </c>
      <c r="AK235">
        <f>Data!H235</f>
        <v>0</v>
      </c>
      <c r="AL235">
        <f>Data!B235</f>
        <v>0</v>
      </c>
      <c r="AM235" t="str">
        <f>Data!R235</f>
        <v/>
      </c>
      <c r="AN235" t="str">
        <f>Data!N235</f>
        <v/>
      </c>
      <c r="AO235" t="e">
        <f t="shared" si="9"/>
        <v>#VALUE!</v>
      </c>
    </row>
    <row r="236" spans="19:41">
      <c r="S236">
        <f>Data!A236</f>
        <v>0</v>
      </c>
      <c r="T236" t="str">
        <f>Data!D236</f>
        <v/>
      </c>
      <c r="U236">
        <f>Data!B236</f>
        <v>0</v>
      </c>
      <c r="V236" t="str">
        <f>Data!P236</f>
        <v/>
      </c>
      <c r="W236" t="str">
        <f>Data!N236</f>
        <v/>
      </c>
      <c r="X236">
        <f t="shared" si="10"/>
        <v>0</v>
      </c>
      <c r="AA236">
        <f>Data!A236</f>
        <v>0</v>
      </c>
      <c r="AB236">
        <f>Data!E236</f>
        <v>0</v>
      </c>
      <c r="AC236">
        <f>Data!F236</f>
        <v>0</v>
      </c>
      <c r="AD236">
        <f>Data!G236</f>
        <v>0</v>
      </c>
      <c r="AE236">
        <f>Data!B236</f>
        <v>0</v>
      </c>
      <c r="AF236" t="str">
        <f>Data!Q236</f>
        <v/>
      </c>
      <c r="AG236" t="str">
        <f>Data!N236</f>
        <v/>
      </c>
      <c r="AH236">
        <f>(IF($H$5="Curries/Stews",COUNTIF(Helper_Ingredient!$N$3:$N$20,AB236),IF($H$5="Salads",COUNTIF(Helper_Ingredient!$O$3:$O$20,AB236),COUNTIF(Helper_Ingredient!$P$3:$P$19,AB236)))&gt;0)+IF(AE236&gt;=30,(IF($H$5="Curries/Stews",COUNTIF(Helper_Ingredient!$N$3:$N$20,AC236),IF($H$5="Salads",COUNTIF(Helper_Ingredient!$O$3:$O$20,AC236),COUNTIF(Helper_Ingredient!$P$3:$P$19,AC236)))&gt;0),0)+IF(AE236&gt;=60,(IF($H$5="Curries/Stews",COUNTIF(Helper_Ingredient!$N$3:$N$20,AD236),IF($H$5="Salads",COUNTIF(Helper_Ingredient!$O$3:$O$20,AD236),COUNTIF(Helper_Ingredient!$P$3:$P$19,AD236)))&gt;0),0)</f>
        <v>0</v>
      </c>
      <c r="AI236">
        <f t="shared" si="11"/>
        <v>0</v>
      </c>
      <c r="AJ236">
        <f>Data!A236</f>
        <v>0</v>
      </c>
      <c r="AK236">
        <f>Data!H236</f>
        <v>0</v>
      </c>
      <c r="AL236">
        <f>Data!B236</f>
        <v>0</v>
      </c>
      <c r="AM236" t="str">
        <f>Data!R236</f>
        <v/>
      </c>
      <c r="AN236" t="str">
        <f>Data!N236</f>
        <v/>
      </c>
      <c r="AO236" t="e">
        <f t="shared" si="9"/>
        <v>#VALUE!</v>
      </c>
    </row>
    <row r="237" spans="19:41">
      <c r="S237">
        <f>Data!A237</f>
        <v>0</v>
      </c>
      <c r="T237" t="str">
        <f>Data!D237</f>
        <v/>
      </c>
      <c r="U237">
        <f>Data!B237</f>
        <v>0</v>
      </c>
      <c r="V237" t="str">
        <f>Data!P237</f>
        <v/>
      </c>
      <c r="W237" t="str">
        <f>Data!N237</f>
        <v/>
      </c>
      <c r="X237">
        <f t="shared" si="10"/>
        <v>0</v>
      </c>
      <c r="AA237">
        <f>Data!A237</f>
        <v>0</v>
      </c>
      <c r="AB237">
        <f>Data!E237</f>
        <v>0</v>
      </c>
      <c r="AC237">
        <f>Data!F237</f>
        <v>0</v>
      </c>
      <c r="AD237">
        <f>Data!G237</f>
        <v>0</v>
      </c>
      <c r="AE237">
        <f>Data!B237</f>
        <v>0</v>
      </c>
      <c r="AF237" t="str">
        <f>Data!Q237</f>
        <v/>
      </c>
      <c r="AG237" t="str">
        <f>Data!N237</f>
        <v/>
      </c>
      <c r="AH237">
        <f>(IF($H$5="Curries/Stews",COUNTIF(Helper_Ingredient!$N$3:$N$20,AB237),IF($H$5="Salads",COUNTIF(Helper_Ingredient!$O$3:$O$20,AB237),COUNTIF(Helper_Ingredient!$P$3:$P$19,AB237)))&gt;0)+IF(AE237&gt;=30,(IF($H$5="Curries/Stews",COUNTIF(Helper_Ingredient!$N$3:$N$20,AC237),IF($H$5="Salads",COUNTIF(Helper_Ingredient!$O$3:$O$20,AC237),COUNTIF(Helper_Ingredient!$P$3:$P$19,AC237)))&gt;0),0)+IF(AE237&gt;=60,(IF($H$5="Curries/Stews",COUNTIF(Helper_Ingredient!$N$3:$N$20,AD237),IF($H$5="Salads",COUNTIF(Helper_Ingredient!$O$3:$O$20,AD237),COUNTIF(Helper_Ingredient!$P$3:$P$19,AD237)))&gt;0),0)</f>
        <v>0</v>
      </c>
      <c r="AI237">
        <f t="shared" si="11"/>
        <v>0</v>
      </c>
      <c r="AJ237">
        <f>Data!A237</f>
        <v>0</v>
      </c>
      <c r="AK237">
        <f>Data!H237</f>
        <v>0</v>
      </c>
      <c r="AL237">
        <f>Data!B237</f>
        <v>0</v>
      </c>
      <c r="AM237" t="str">
        <f>Data!R237</f>
        <v/>
      </c>
      <c r="AN237" t="str">
        <f>Data!N237</f>
        <v/>
      </c>
      <c r="AO237" t="e">
        <f t="shared" si="9"/>
        <v>#VALUE!</v>
      </c>
    </row>
    <row r="238" spans="19:41">
      <c r="S238">
        <f>Data!A238</f>
        <v>0</v>
      </c>
      <c r="T238" t="str">
        <f>Data!D238</f>
        <v/>
      </c>
      <c r="U238">
        <f>Data!B238</f>
        <v>0</v>
      </c>
      <c r="V238" t="str">
        <f>Data!P238</f>
        <v/>
      </c>
      <c r="W238" t="str">
        <f>Data!N238</f>
        <v/>
      </c>
      <c r="X238">
        <f t="shared" si="10"/>
        <v>0</v>
      </c>
      <c r="AA238">
        <f>Data!A238</f>
        <v>0</v>
      </c>
      <c r="AB238">
        <f>Data!E238</f>
        <v>0</v>
      </c>
      <c r="AC238">
        <f>Data!F238</f>
        <v>0</v>
      </c>
      <c r="AD238">
        <f>Data!G238</f>
        <v>0</v>
      </c>
      <c r="AE238">
        <f>Data!B238</f>
        <v>0</v>
      </c>
      <c r="AF238" t="str">
        <f>Data!Q238</f>
        <v/>
      </c>
      <c r="AG238" t="str">
        <f>Data!N238</f>
        <v/>
      </c>
      <c r="AH238">
        <f>(IF($H$5="Curries/Stews",COUNTIF(Helper_Ingredient!$N$3:$N$20,AB238),IF($H$5="Salads",COUNTIF(Helper_Ingredient!$O$3:$O$20,AB238),COUNTIF(Helper_Ingredient!$P$3:$P$19,AB238)))&gt;0)+IF(AE238&gt;=30,(IF($H$5="Curries/Stews",COUNTIF(Helper_Ingredient!$N$3:$N$20,AC238),IF($H$5="Salads",COUNTIF(Helper_Ingredient!$O$3:$O$20,AC238),COUNTIF(Helper_Ingredient!$P$3:$P$19,AC238)))&gt;0),0)+IF(AE238&gt;=60,(IF($H$5="Curries/Stews",COUNTIF(Helper_Ingredient!$N$3:$N$20,AD238),IF($H$5="Salads",COUNTIF(Helper_Ingredient!$O$3:$O$20,AD238),COUNTIF(Helper_Ingredient!$P$3:$P$19,AD238)))&gt;0),0)</f>
        <v>0</v>
      </c>
      <c r="AI238">
        <f t="shared" si="11"/>
        <v>0</v>
      </c>
      <c r="AJ238">
        <f>Data!A238</f>
        <v>0</v>
      </c>
      <c r="AK238">
        <f>Data!H238</f>
        <v>0</v>
      </c>
      <c r="AL238">
        <f>Data!B238</f>
        <v>0</v>
      </c>
      <c r="AM238" t="str">
        <f>Data!R238</f>
        <v/>
      </c>
      <c r="AN238" t="str">
        <f>Data!N238</f>
        <v/>
      </c>
      <c r="AO238" t="e">
        <f t="shared" si="9"/>
        <v>#VALUE!</v>
      </c>
    </row>
    <row r="239" spans="19:41">
      <c r="S239">
        <f>Data!A239</f>
        <v>0</v>
      </c>
      <c r="T239" t="str">
        <f>Data!D239</f>
        <v/>
      </c>
      <c r="U239">
        <f>Data!B239</f>
        <v>0</v>
      </c>
      <c r="V239" t="str">
        <f>Data!P239</f>
        <v/>
      </c>
      <c r="W239" t="str">
        <f>Data!N239</f>
        <v/>
      </c>
      <c r="X239">
        <f t="shared" si="10"/>
        <v>0</v>
      </c>
      <c r="AA239">
        <f>Data!A239</f>
        <v>0</v>
      </c>
      <c r="AB239">
        <f>Data!E239</f>
        <v>0</v>
      </c>
      <c r="AC239">
        <f>Data!F239</f>
        <v>0</v>
      </c>
      <c r="AD239">
        <f>Data!G239</f>
        <v>0</v>
      </c>
      <c r="AE239">
        <f>Data!B239</f>
        <v>0</v>
      </c>
      <c r="AF239" t="str">
        <f>Data!Q239</f>
        <v/>
      </c>
      <c r="AG239" t="str">
        <f>Data!N239</f>
        <v/>
      </c>
      <c r="AH239">
        <f>(IF($H$5="Curries/Stews",COUNTIF(Helper_Ingredient!$N$3:$N$20,AB239),IF($H$5="Salads",COUNTIF(Helper_Ingredient!$O$3:$O$20,AB239),COUNTIF(Helper_Ingredient!$P$3:$P$19,AB239)))&gt;0)+IF(AE239&gt;=30,(IF($H$5="Curries/Stews",COUNTIF(Helper_Ingredient!$N$3:$N$20,AC239),IF($H$5="Salads",COUNTIF(Helper_Ingredient!$O$3:$O$20,AC239),COUNTIF(Helper_Ingredient!$P$3:$P$19,AC239)))&gt;0),0)+IF(AE239&gt;=60,(IF($H$5="Curries/Stews",COUNTIF(Helper_Ingredient!$N$3:$N$20,AD239),IF($H$5="Salads",COUNTIF(Helper_Ingredient!$O$3:$O$20,AD239),COUNTIF(Helper_Ingredient!$P$3:$P$19,AD239)))&gt;0),0)</f>
        <v>0</v>
      </c>
      <c r="AI239">
        <f t="shared" si="11"/>
        <v>0</v>
      </c>
      <c r="AJ239">
        <f>Data!A239</f>
        <v>0</v>
      </c>
      <c r="AK239">
        <f>Data!H239</f>
        <v>0</v>
      </c>
      <c r="AL239">
        <f>Data!B239</f>
        <v>0</v>
      </c>
      <c r="AM239" t="str">
        <f>Data!R239</f>
        <v/>
      </c>
      <c r="AN239" t="str">
        <f>Data!N239</f>
        <v/>
      </c>
      <c r="AO239" t="e">
        <f t="shared" si="9"/>
        <v>#VALUE!</v>
      </c>
    </row>
    <row r="240" spans="19:41">
      <c r="S240">
        <f>Data!A240</f>
        <v>0</v>
      </c>
      <c r="T240" t="str">
        <f>Data!D240</f>
        <v/>
      </c>
      <c r="U240">
        <f>Data!B240</f>
        <v>0</v>
      </c>
      <c r="V240" t="str">
        <f>Data!P240</f>
        <v/>
      </c>
      <c r="W240" t="str">
        <f>Data!N240</f>
        <v/>
      </c>
      <c r="X240">
        <f t="shared" si="10"/>
        <v>0</v>
      </c>
      <c r="AA240">
        <f>Data!A240</f>
        <v>0</v>
      </c>
      <c r="AB240">
        <f>Data!E240</f>
        <v>0</v>
      </c>
      <c r="AC240">
        <f>Data!F240</f>
        <v>0</v>
      </c>
      <c r="AD240">
        <f>Data!G240</f>
        <v>0</v>
      </c>
      <c r="AE240">
        <f>Data!B240</f>
        <v>0</v>
      </c>
      <c r="AF240" t="str">
        <f>Data!Q240</f>
        <v/>
      </c>
      <c r="AG240" t="str">
        <f>Data!N240</f>
        <v/>
      </c>
      <c r="AH240">
        <f>(IF($H$5="Curries/Stews",COUNTIF(Helper_Ingredient!$N$3:$N$20,AB240),IF($H$5="Salads",COUNTIF(Helper_Ingredient!$O$3:$O$20,AB240),COUNTIF(Helper_Ingredient!$P$3:$P$19,AB240)))&gt;0)+IF(AE240&gt;=30,(IF($H$5="Curries/Stews",COUNTIF(Helper_Ingredient!$N$3:$N$20,AC240),IF($H$5="Salads",COUNTIF(Helper_Ingredient!$O$3:$O$20,AC240),COUNTIF(Helper_Ingredient!$P$3:$P$19,AC240)))&gt;0),0)+IF(AE240&gt;=60,(IF($H$5="Curries/Stews",COUNTIF(Helper_Ingredient!$N$3:$N$20,AD240),IF($H$5="Salads",COUNTIF(Helper_Ingredient!$O$3:$O$20,AD240),COUNTIF(Helper_Ingredient!$P$3:$P$19,AD240)))&gt;0),0)</f>
        <v>0</v>
      </c>
      <c r="AI240">
        <f t="shared" si="11"/>
        <v>0</v>
      </c>
      <c r="AJ240">
        <f>Data!A240</f>
        <v>0</v>
      </c>
      <c r="AK240">
        <f>Data!H240</f>
        <v>0</v>
      </c>
      <c r="AL240">
        <f>Data!B240</f>
        <v>0</v>
      </c>
      <c r="AM240" t="str">
        <f>Data!R240</f>
        <v/>
      </c>
      <c r="AN240" t="str">
        <f>Data!N240</f>
        <v/>
      </c>
      <c r="AO240" t="e">
        <f t="shared" si="9"/>
        <v>#VALUE!</v>
      </c>
    </row>
    <row r="241" spans="19:41">
      <c r="S241">
        <f>Data!A241</f>
        <v>0</v>
      </c>
      <c r="T241" t="str">
        <f>Data!D241</f>
        <v/>
      </c>
      <c r="U241">
        <f>Data!B241</f>
        <v>0</v>
      </c>
      <c r="V241" t="str">
        <f>Data!P241</f>
        <v/>
      </c>
      <c r="W241" t="str">
        <f>Data!N241</f>
        <v/>
      </c>
      <c r="X241">
        <f t="shared" si="10"/>
        <v>0</v>
      </c>
      <c r="AA241">
        <f>Data!A241</f>
        <v>0</v>
      </c>
      <c r="AB241">
        <f>Data!E241</f>
        <v>0</v>
      </c>
      <c r="AC241">
        <f>Data!F241</f>
        <v>0</v>
      </c>
      <c r="AD241">
        <f>Data!G241</f>
        <v>0</v>
      </c>
      <c r="AE241">
        <f>Data!B241</f>
        <v>0</v>
      </c>
      <c r="AF241" t="str">
        <f>Data!Q241</f>
        <v/>
      </c>
      <c r="AG241" t="str">
        <f>Data!N241</f>
        <v/>
      </c>
      <c r="AH241">
        <f>(IF($H$5="Curries/Stews",COUNTIF(Helper_Ingredient!$N$3:$N$20,AB241),IF($H$5="Salads",COUNTIF(Helper_Ingredient!$O$3:$O$20,AB241),COUNTIF(Helper_Ingredient!$P$3:$P$19,AB241)))&gt;0)+IF(AE241&gt;=30,(IF($H$5="Curries/Stews",COUNTIF(Helper_Ingredient!$N$3:$N$20,AC241),IF($H$5="Salads",COUNTIF(Helper_Ingredient!$O$3:$O$20,AC241),COUNTIF(Helper_Ingredient!$P$3:$P$19,AC241)))&gt;0),0)+IF(AE241&gt;=60,(IF($H$5="Curries/Stews",COUNTIF(Helper_Ingredient!$N$3:$N$20,AD241),IF($H$5="Salads",COUNTIF(Helper_Ingredient!$O$3:$O$20,AD241),COUNTIF(Helper_Ingredient!$P$3:$P$19,AD241)))&gt;0),0)</f>
        <v>0</v>
      </c>
      <c r="AI241">
        <f t="shared" si="11"/>
        <v>0</v>
      </c>
      <c r="AJ241">
        <f>Data!A241</f>
        <v>0</v>
      </c>
      <c r="AK241">
        <f>Data!H241</f>
        <v>0</v>
      </c>
      <c r="AL241">
        <f>Data!B241</f>
        <v>0</v>
      </c>
      <c r="AM241" t="str">
        <f>Data!R241</f>
        <v/>
      </c>
      <c r="AN241" t="str">
        <f>Data!N241</f>
        <v/>
      </c>
      <c r="AO241" t="e">
        <f t="shared" si="9"/>
        <v>#VALUE!</v>
      </c>
    </row>
    <row r="242" spans="19:41">
      <c r="S242">
        <f>Data!A242</f>
        <v>0</v>
      </c>
      <c r="T242" t="str">
        <f>Data!D242</f>
        <v/>
      </c>
      <c r="U242">
        <f>Data!B242</f>
        <v>0</v>
      </c>
      <c r="V242" t="str">
        <f>Data!P242</f>
        <v/>
      </c>
      <c r="W242" t="str">
        <f>Data!N242</f>
        <v/>
      </c>
      <c r="X242">
        <f t="shared" si="10"/>
        <v>0</v>
      </c>
      <c r="AA242">
        <f>Data!A242</f>
        <v>0</v>
      </c>
      <c r="AB242">
        <f>Data!E242</f>
        <v>0</v>
      </c>
      <c r="AC242">
        <f>Data!F242</f>
        <v>0</v>
      </c>
      <c r="AD242">
        <f>Data!G242</f>
        <v>0</v>
      </c>
      <c r="AE242">
        <f>Data!B242</f>
        <v>0</v>
      </c>
      <c r="AF242" t="str">
        <f>Data!Q242</f>
        <v/>
      </c>
      <c r="AG242" t="str">
        <f>Data!N242</f>
        <v/>
      </c>
      <c r="AH242">
        <f>(IF($H$5="Curries/Stews",COUNTIF(Helper_Ingredient!$N$3:$N$20,AB242),IF($H$5="Salads",COUNTIF(Helper_Ingredient!$O$3:$O$20,AB242),COUNTIF(Helper_Ingredient!$P$3:$P$19,AB242)))&gt;0)+IF(AE242&gt;=30,(IF($H$5="Curries/Stews",COUNTIF(Helper_Ingredient!$N$3:$N$20,AC242),IF($H$5="Salads",COUNTIF(Helper_Ingredient!$O$3:$O$20,AC242),COUNTIF(Helper_Ingredient!$P$3:$P$19,AC242)))&gt;0),0)+IF(AE242&gt;=60,(IF($H$5="Curries/Stews",COUNTIF(Helper_Ingredient!$N$3:$N$20,AD242),IF($H$5="Salads",COUNTIF(Helper_Ingredient!$O$3:$O$20,AD242),COUNTIF(Helper_Ingredient!$P$3:$P$19,AD242)))&gt;0),0)</f>
        <v>0</v>
      </c>
      <c r="AI242">
        <f t="shared" si="11"/>
        <v>0</v>
      </c>
      <c r="AJ242">
        <f>Data!A242</f>
        <v>0</v>
      </c>
      <c r="AK242">
        <f>Data!H242</f>
        <v>0</v>
      </c>
      <c r="AL242">
        <f>Data!B242</f>
        <v>0</v>
      </c>
      <c r="AM242" t="str">
        <f>Data!R242</f>
        <v/>
      </c>
      <c r="AN242" t="str">
        <f>Data!N242</f>
        <v/>
      </c>
      <c r="AO242" t="e">
        <f t="shared" ref="AO242:AO250" si="12">(AM242*1000)+AL242+ROW()/1000000</f>
        <v>#VALUE!</v>
      </c>
    </row>
    <row r="243" spans="19:41">
      <c r="S243">
        <f>Data!A243</f>
        <v>0</v>
      </c>
      <c r="T243" t="str">
        <f>Data!D243</f>
        <v/>
      </c>
      <c r="U243">
        <f>Data!B243</f>
        <v>0</v>
      </c>
      <c r="V243" t="str">
        <f>Data!P243</f>
        <v/>
      </c>
      <c r="W243" t="str">
        <f>Data!N243</f>
        <v/>
      </c>
      <c r="X243">
        <f t="shared" si="10"/>
        <v>0</v>
      </c>
      <c r="AA243">
        <f>Data!A243</f>
        <v>0</v>
      </c>
      <c r="AB243">
        <f>Data!E243</f>
        <v>0</v>
      </c>
      <c r="AC243">
        <f>Data!F243</f>
        <v>0</v>
      </c>
      <c r="AD243">
        <f>Data!G243</f>
        <v>0</v>
      </c>
      <c r="AE243">
        <f>Data!B243</f>
        <v>0</v>
      </c>
      <c r="AF243" t="str">
        <f>Data!Q243</f>
        <v/>
      </c>
      <c r="AG243" t="str">
        <f>Data!N243</f>
        <v/>
      </c>
      <c r="AH243">
        <f>(IF($H$5="Curries/Stews",COUNTIF(Helper_Ingredient!$N$3:$N$20,AB243),IF($H$5="Salads",COUNTIF(Helper_Ingredient!$O$3:$O$20,AB243),COUNTIF(Helper_Ingredient!$P$3:$P$19,AB243)))&gt;0)+IF(AE243&gt;=30,(IF($H$5="Curries/Stews",COUNTIF(Helper_Ingredient!$N$3:$N$20,AC243),IF($H$5="Salads",COUNTIF(Helper_Ingredient!$O$3:$O$20,AC243),COUNTIF(Helper_Ingredient!$P$3:$P$19,AC243)))&gt;0),0)+IF(AE243&gt;=60,(IF($H$5="Curries/Stews",COUNTIF(Helper_Ingredient!$N$3:$N$20,AD243),IF($H$5="Salads",COUNTIF(Helper_Ingredient!$O$3:$O$20,AD243),COUNTIF(Helper_Ingredient!$P$3:$P$19,AD243)))&gt;0),0)</f>
        <v>0</v>
      </c>
      <c r="AI243">
        <f t="shared" si="11"/>
        <v>0</v>
      </c>
      <c r="AJ243">
        <f>Data!A243</f>
        <v>0</v>
      </c>
      <c r="AK243">
        <f>Data!H243</f>
        <v>0</v>
      </c>
      <c r="AL243">
        <f>Data!B243</f>
        <v>0</v>
      </c>
      <c r="AM243" t="str">
        <f>Data!R243</f>
        <v/>
      </c>
      <c r="AN243" t="str">
        <f>Data!N243</f>
        <v/>
      </c>
      <c r="AO243" t="e">
        <f t="shared" si="12"/>
        <v>#VALUE!</v>
      </c>
    </row>
    <row r="244" spans="19:41">
      <c r="S244">
        <f>Data!A244</f>
        <v>0</v>
      </c>
      <c r="T244" t="str">
        <f>Data!D244</f>
        <v/>
      </c>
      <c r="U244">
        <f>Data!B244</f>
        <v>0</v>
      </c>
      <c r="V244" t="str">
        <f>Data!P244</f>
        <v/>
      </c>
      <c r="W244" t="str">
        <f>Data!N244</f>
        <v/>
      </c>
      <c r="X244">
        <f t="shared" si="10"/>
        <v>0</v>
      </c>
      <c r="AA244">
        <f>Data!A244</f>
        <v>0</v>
      </c>
      <c r="AB244">
        <f>Data!E244</f>
        <v>0</v>
      </c>
      <c r="AC244">
        <f>Data!F244</f>
        <v>0</v>
      </c>
      <c r="AD244">
        <f>Data!G244</f>
        <v>0</v>
      </c>
      <c r="AE244">
        <f>Data!B244</f>
        <v>0</v>
      </c>
      <c r="AF244" t="str">
        <f>Data!Q244</f>
        <v/>
      </c>
      <c r="AG244" t="str">
        <f>Data!N244</f>
        <v/>
      </c>
      <c r="AH244">
        <f>(IF($H$5="Curries/Stews",COUNTIF(Helper_Ingredient!$N$3:$N$20,AB244),IF($H$5="Salads",COUNTIF(Helper_Ingredient!$O$3:$O$20,AB244),COUNTIF(Helper_Ingredient!$P$3:$P$19,AB244)))&gt;0)+IF(AE244&gt;=30,(IF($H$5="Curries/Stews",COUNTIF(Helper_Ingredient!$N$3:$N$20,AC244),IF($H$5="Salads",COUNTIF(Helper_Ingredient!$O$3:$O$20,AC244),COUNTIF(Helper_Ingredient!$P$3:$P$19,AC244)))&gt;0),0)+IF(AE244&gt;=60,(IF($H$5="Curries/Stews",COUNTIF(Helper_Ingredient!$N$3:$N$20,AD244),IF($H$5="Salads",COUNTIF(Helper_Ingredient!$O$3:$O$20,AD244),COUNTIF(Helper_Ingredient!$P$3:$P$19,AD244)))&gt;0),0)</f>
        <v>0</v>
      </c>
      <c r="AI244">
        <f t="shared" si="11"/>
        <v>0</v>
      </c>
      <c r="AJ244">
        <f>Data!A244</f>
        <v>0</v>
      </c>
      <c r="AK244">
        <f>Data!H244</f>
        <v>0</v>
      </c>
      <c r="AL244">
        <f>Data!B244</f>
        <v>0</v>
      </c>
      <c r="AM244" t="str">
        <f>Data!R244</f>
        <v/>
      </c>
      <c r="AN244" t="str">
        <f>Data!N244</f>
        <v/>
      </c>
      <c r="AO244" t="e">
        <f t="shared" si="12"/>
        <v>#VALUE!</v>
      </c>
    </row>
    <row r="245" spans="19:41">
      <c r="S245">
        <f>Data!A245</f>
        <v>0</v>
      </c>
      <c r="T245" t="str">
        <f>Data!D245</f>
        <v/>
      </c>
      <c r="U245">
        <f>Data!B245</f>
        <v>0</v>
      </c>
      <c r="V245" t="str">
        <f>Data!P245</f>
        <v/>
      </c>
      <c r="W245" t="str">
        <f>Data!N245</f>
        <v/>
      </c>
      <c r="X245">
        <f t="shared" si="10"/>
        <v>0</v>
      </c>
      <c r="AA245">
        <f>Data!A245</f>
        <v>0</v>
      </c>
      <c r="AB245">
        <f>Data!E245</f>
        <v>0</v>
      </c>
      <c r="AC245">
        <f>Data!F245</f>
        <v>0</v>
      </c>
      <c r="AD245">
        <f>Data!G245</f>
        <v>0</v>
      </c>
      <c r="AE245">
        <f>Data!B245</f>
        <v>0</v>
      </c>
      <c r="AF245" t="str">
        <f>Data!Q245</f>
        <v/>
      </c>
      <c r="AG245" t="str">
        <f>Data!N245</f>
        <v/>
      </c>
      <c r="AH245">
        <f>(IF($H$5="Curries/Stews",COUNTIF(Helper_Ingredient!$N$3:$N$20,AB245),IF($H$5="Salads",COUNTIF(Helper_Ingredient!$O$3:$O$20,AB245),COUNTIF(Helper_Ingredient!$P$3:$P$19,AB245)))&gt;0)+IF(AE245&gt;=30,(IF($H$5="Curries/Stews",COUNTIF(Helper_Ingredient!$N$3:$N$20,AC245),IF($H$5="Salads",COUNTIF(Helper_Ingredient!$O$3:$O$20,AC245),COUNTIF(Helper_Ingredient!$P$3:$P$19,AC245)))&gt;0),0)+IF(AE245&gt;=60,(IF($H$5="Curries/Stews",COUNTIF(Helper_Ingredient!$N$3:$N$20,AD245),IF($H$5="Salads",COUNTIF(Helper_Ingredient!$O$3:$O$20,AD245),COUNTIF(Helper_Ingredient!$P$3:$P$19,AD245)))&gt;0),0)</f>
        <v>0</v>
      </c>
      <c r="AI245">
        <f t="shared" si="11"/>
        <v>0</v>
      </c>
      <c r="AJ245">
        <f>Data!A245</f>
        <v>0</v>
      </c>
      <c r="AK245">
        <f>Data!H245</f>
        <v>0</v>
      </c>
      <c r="AL245">
        <f>Data!B245</f>
        <v>0</v>
      </c>
      <c r="AM245" t="str">
        <f>Data!R245</f>
        <v/>
      </c>
      <c r="AN245" t="str">
        <f>Data!N245</f>
        <v/>
      </c>
      <c r="AO245" t="e">
        <f t="shared" si="12"/>
        <v>#VALUE!</v>
      </c>
    </row>
    <row r="246" spans="19:41">
      <c r="S246">
        <f>Data!A246</f>
        <v>0</v>
      </c>
      <c r="T246" t="str">
        <f>Data!D246</f>
        <v/>
      </c>
      <c r="U246">
        <f>Data!B246</f>
        <v>0</v>
      </c>
      <c r="V246" t="str">
        <f>Data!P246</f>
        <v/>
      </c>
      <c r="W246" t="str">
        <f>Data!N246</f>
        <v/>
      </c>
      <c r="X246">
        <f t="shared" si="10"/>
        <v>0</v>
      </c>
      <c r="AA246">
        <f>Data!A246</f>
        <v>0</v>
      </c>
      <c r="AB246">
        <f>Data!E246</f>
        <v>0</v>
      </c>
      <c r="AC246">
        <f>Data!F246</f>
        <v>0</v>
      </c>
      <c r="AD246">
        <f>Data!G246</f>
        <v>0</v>
      </c>
      <c r="AE246">
        <f>Data!B246</f>
        <v>0</v>
      </c>
      <c r="AF246" t="str">
        <f>Data!Q246</f>
        <v/>
      </c>
      <c r="AG246" t="str">
        <f>Data!N246</f>
        <v/>
      </c>
      <c r="AH246">
        <f>(IF($H$5="Curries/Stews",COUNTIF(Helper_Ingredient!$N$3:$N$20,AB246),IF($H$5="Salads",COUNTIF(Helper_Ingredient!$O$3:$O$20,AB246),COUNTIF(Helper_Ingredient!$P$3:$P$19,AB246)))&gt;0)+IF(AE246&gt;=30,(IF($H$5="Curries/Stews",COUNTIF(Helper_Ingredient!$N$3:$N$20,AC246),IF($H$5="Salads",COUNTIF(Helper_Ingredient!$O$3:$O$20,AC246),COUNTIF(Helper_Ingredient!$P$3:$P$19,AC246)))&gt;0),0)+IF(AE246&gt;=60,(IF($H$5="Curries/Stews",COUNTIF(Helper_Ingredient!$N$3:$N$20,AD246),IF($H$5="Salads",COUNTIF(Helper_Ingredient!$O$3:$O$20,AD246),COUNTIF(Helper_Ingredient!$P$3:$P$19,AD246)))&gt;0),0)</f>
        <v>0</v>
      </c>
      <c r="AI246">
        <f t="shared" si="11"/>
        <v>0</v>
      </c>
      <c r="AJ246">
        <f>Data!A246</f>
        <v>0</v>
      </c>
      <c r="AK246">
        <f>Data!H246</f>
        <v>0</v>
      </c>
      <c r="AL246">
        <f>Data!B246</f>
        <v>0</v>
      </c>
      <c r="AM246" t="str">
        <f>Data!R246</f>
        <v/>
      </c>
      <c r="AN246" t="str">
        <f>Data!N246</f>
        <v/>
      </c>
      <c r="AO246" t="e">
        <f t="shared" si="12"/>
        <v>#VALUE!</v>
      </c>
    </row>
    <row r="247" spans="19:41">
      <c r="S247">
        <f>Data!A247</f>
        <v>0</v>
      </c>
      <c r="T247" t="str">
        <f>Data!D247</f>
        <v/>
      </c>
      <c r="U247">
        <f>Data!B247</f>
        <v>0</v>
      </c>
      <c r="V247" t="str">
        <f>Data!P247</f>
        <v/>
      </c>
      <c r="W247" t="str">
        <f>Data!N247</f>
        <v/>
      </c>
      <c r="X247">
        <f t="shared" si="10"/>
        <v>0</v>
      </c>
      <c r="AA247">
        <f>Data!A247</f>
        <v>0</v>
      </c>
      <c r="AB247">
        <f>Data!E247</f>
        <v>0</v>
      </c>
      <c r="AC247">
        <f>Data!F247</f>
        <v>0</v>
      </c>
      <c r="AD247">
        <f>Data!G247</f>
        <v>0</v>
      </c>
      <c r="AE247">
        <f>Data!B247</f>
        <v>0</v>
      </c>
      <c r="AF247" t="str">
        <f>Data!Q247</f>
        <v/>
      </c>
      <c r="AG247" t="str">
        <f>Data!N247</f>
        <v/>
      </c>
      <c r="AH247">
        <f>(IF($H$5="Curries/Stews",COUNTIF(Helper_Ingredient!$N$3:$N$20,AB247),IF($H$5="Salads",COUNTIF(Helper_Ingredient!$O$3:$O$20,AB247),COUNTIF(Helper_Ingredient!$P$3:$P$19,AB247)))&gt;0)+IF(AE247&gt;=30,(IF($H$5="Curries/Stews",COUNTIF(Helper_Ingredient!$N$3:$N$20,AC247),IF($H$5="Salads",COUNTIF(Helper_Ingredient!$O$3:$O$20,AC247),COUNTIF(Helper_Ingredient!$P$3:$P$19,AC247)))&gt;0),0)+IF(AE247&gt;=60,(IF($H$5="Curries/Stews",COUNTIF(Helper_Ingredient!$N$3:$N$20,AD247),IF($H$5="Salads",COUNTIF(Helper_Ingredient!$O$3:$O$20,AD247),COUNTIF(Helper_Ingredient!$P$3:$P$19,AD247)))&gt;0),0)</f>
        <v>0</v>
      </c>
      <c r="AI247">
        <f t="shared" si="11"/>
        <v>0</v>
      </c>
      <c r="AJ247">
        <f>Data!A247</f>
        <v>0</v>
      </c>
      <c r="AK247">
        <f>Data!H247</f>
        <v>0</v>
      </c>
      <c r="AL247">
        <f>Data!B247</f>
        <v>0</v>
      </c>
      <c r="AM247" t="str">
        <f>Data!R247</f>
        <v/>
      </c>
      <c r="AN247" t="str">
        <f>Data!N247</f>
        <v/>
      </c>
      <c r="AO247" t="e">
        <f t="shared" si="12"/>
        <v>#VALUE!</v>
      </c>
    </row>
    <row r="248" spans="19:41">
      <c r="S248">
        <f>Data!A248</f>
        <v>0</v>
      </c>
      <c r="T248" t="str">
        <f>Data!D248</f>
        <v/>
      </c>
      <c r="U248">
        <f>Data!B248</f>
        <v>0</v>
      </c>
      <c r="V248" t="str">
        <f>Data!P248</f>
        <v/>
      </c>
      <c r="W248" t="str">
        <f>Data!N248</f>
        <v/>
      </c>
      <c r="X248">
        <f t="shared" si="10"/>
        <v>0</v>
      </c>
      <c r="AA248">
        <f>Data!A248</f>
        <v>0</v>
      </c>
      <c r="AB248">
        <f>Data!E248</f>
        <v>0</v>
      </c>
      <c r="AC248">
        <f>Data!F248</f>
        <v>0</v>
      </c>
      <c r="AD248">
        <f>Data!G248</f>
        <v>0</v>
      </c>
      <c r="AE248">
        <f>Data!B248</f>
        <v>0</v>
      </c>
      <c r="AF248" t="str">
        <f>Data!Q248</f>
        <v/>
      </c>
      <c r="AG248" t="str">
        <f>Data!N248</f>
        <v/>
      </c>
      <c r="AH248">
        <f>(IF($H$5="Curries/Stews",COUNTIF(Helper_Ingredient!$N$3:$N$20,AB248),IF($H$5="Salads",COUNTIF(Helper_Ingredient!$O$3:$O$20,AB248),COUNTIF(Helper_Ingredient!$P$3:$P$19,AB248)))&gt;0)+IF(AE248&gt;=30,(IF($H$5="Curries/Stews",COUNTIF(Helper_Ingredient!$N$3:$N$20,AC248),IF($H$5="Salads",COUNTIF(Helper_Ingredient!$O$3:$O$20,AC248),COUNTIF(Helper_Ingredient!$P$3:$P$19,AC248)))&gt;0),0)+IF(AE248&gt;=60,(IF($H$5="Curries/Stews",COUNTIF(Helper_Ingredient!$N$3:$N$20,AD248),IF($H$5="Salads",COUNTIF(Helper_Ingredient!$O$3:$O$20,AD248),COUNTIF(Helper_Ingredient!$P$3:$P$19,AD248)))&gt;0),0)</f>
        <v>0</v>
      </c>
      <c r="AI248">
        <f t="shared" si="11"/>
        <v>0</v>
      </c>
      <c r="AJ248">
        <f>Data!A248</f>
        <v>0</v>
      </c>
      <c r="AK248">
        <f>Data!H248</f>
        <v>0</v>
      </c>
      <c r="AL248">
        <f>Data!B248</f>
        <v>0</v>
      </c>
      <c r="AM248" t="str">
        <f>Data!R248</f>
        <v/>
      </c>
      <c r="AN248" t="str">
        <f>Data!N248</f>
        <v/>
      </c>
      <c r="AO248" t="e">
        <f t="shared" si="12"/>
        <v>#VALUE!</v>
      </c>
    </row>
    <row r="249" spans="19:41">
      <c r="S249">
        <f>Data!A249</f>
        <v>0</v>
      </c>
      <c r="T249" t="str">
        <f>Data!D249</f>
        <v/>
      </c>
      <c r="U249">
        <f>Data!B249</f>
        <v>0</v>
      </c>
      <c r="V249" t="str">
        <f>Data!P249</f>
        <v/>
      </c>
      <c r="W249" t="str">
        <f>Data!N249</f>
        <v/>
      </c>
      <c r="X249">
        <f t="shared" si="10"/>
        <v>0</v>
      </c>
      <c r="AA249">
        <f>Data!A249</f>
        <v>0</v>
      </c>
      <c r="AB249">
        <f>Data!E249</f>
        <v>0</v>
      </c>
      <c r="AC249">
        <f>Data!F249</f>
        <v>0</v>
      </c>
      <c r="AD249">
        <f>Data!G249</f>
        <v>0</v>
      </c>
      <c r="AE249">
        <f>Data!B249</f>
        <v>0</v>
      </c>
      <c r="AF249" t="str">
        <f>Data!Q249</f>
        <v/>
      </c>
      <c r="AG249" t="str">
        <f>Data!N249</f>
        <v/>
      </c>
      <c r="AH249">
        <f>(IF($H$5="Curries/Stews",COUNTIF(Helper_Ingredient!$N$3:$N$20,AB249),IF($H$5="Salads",COUNTIF(Helper_Ingredient!$O$3:$O$20,AB249),COUNTIF(Helper_Ingredient!$P$3:$P$19,AB249)))&gt;0)+IF(AE249&gt;=30,(IF($H$5="Curries/Stews",COUNTIF(Helper_Ingredient!$N$3:$N$20,AC249),IF($H$5="Salads",COUNTIF(Helper_Ingredient!$O$3:$O$20,AC249),COUNTIF(Helper_Ingredient!$P$3:$P$19,AC249)))&gt;0),0)+IF(AE249&gt;=60,(IF($H$5="Curries/Stews",COUNTIF(Helper_Ingredient!$N$3:$N$20,AD249),IF($H$5="Salads",COUNTIF(Helper_Ingredient!$O$3:$O$20,AD249),COUNTIF(Helper_Ingredient!$P$3:$P$19,AD249)))&gt;0),0)</f>
        <v>0</v>
      </c>
      <c r="AI249">
        <f t="shared" si="11"/>
        <v>0</v>
      </c>
      <c r="AJ249">
        <f>Data!A249</f>
        <v>0</v>
      </c>
      <c r="AK249">
        <f>Data!H249</f>
        <v>0</v>
      </c>
      <c r="AL249">
        <f>Data!B249</f>
        <v>0</v>
      </c>
      <c r="AM249" t="str">
        <f>Data!R249</f>
        <v/>
      </c>
      <c r="AN249" t="str">
        <f>Data!N249</f>
        <v/>
      </c>
      <c r="AO249" t="e">
        <f t="shared" si="12"/>
        <v>#VALUE!</v>
      </c>
    </row>
    <row r="250" spans="19:41">
      <c r="S250">
        <f>Data!A250</f>
        <v>0</v>
      </c>
      <c r="T250" t="str">
        <f>Data!D250</f>
        <v/>
      </c>
      <c r="U250">
        <f>Data!B250</f>
        <v>0</v>
      </c>
      <c r="V250" t="str">
        <f>Data!P250</f>
        <v/>
      </c>
      <c r="W250" t="str">
        <f>Data!N250</f>
        <v/>
      </c>
      <c r="X250">
        <f t="shared" si="10"/>
        <v>0</v>
      </c>
      <c r="AA250">
        <f>Data!A250</f>
        <v>0</v>
      </c>
      <c r="AB250">
        <f>Data!E250</f>
        <v>0</v>
      </c>
      <c r="AC250">
        <f>Data!F250</f>
        <v>0</v>
      </c>
      <c r="AD250">
        <f>Data!G250</f>
        <v>0</v>
      </c>
      <c r="AE250">
        <f>Data!B250</f>
        <v>0</v>
      </c>
      <c r="AF250" t="str">
        <f>Data!Q250</f>
        <v/>
      </c>
      <c r="AG250" t="str">
        <f>Data!N250</f>
        <v/>
      </c>
      <c r="AH250">
        <f>(IF($H$5="Curries/Stews",COUNTIF(Helper_Ingredient!$N$3:$N$20,AB250),IF($H$5="Salads",COUNTIF(Helper_Ingredient!$O$3:$O$20,AB250),COUNTIF(Helper_Ingredient!$P$3:$P$19,AB250)))&gt;0)+IF(AE250&gt;=30,(IF($H$5="Curries/Stews",COUNTIF(Helper_Ingredient!$N$3:$N$20,AC250),IF($H$5="Salads",COUNTIF(Helper_Ingredient!$O$3:$O$20,AC250),COUNTIF(Helper_Ingredient!$P$3:$P$19,AC250)))&gt;0),0)+IF(AE250&gt;=60,(IF($H$5="Curries/Stews",COUNTIF(Helper_Ingredient!$N$3:$N$20,AD250),IF($H$5="Salads",COUNTIF(Helper_Ingredient!$O$3:$O$20,AD250),COUNTIF(Helper_Ingredient!$P$3:$P$19,AD250)))&gt;0),0)</f>
        <v>0</v>
      </c>
      <c r="AI250">
        <f t="shared" si="11"/>
        <v>0</v>
      </c>
      <c r="AJ250">
        <f>Data!A250</f>
        <v>0</v>
      </c>
      <c r="AK250">
        <f>Data!H250</f>
        <v>0</v>
      </c>
      <c r="AL250">
        <f>Data!B250</f>
        <v>0</v>
      </c>
      <c r="AM250" t="str">
        <f>Data!R250</f>
        <v/>
      </c>
      <c r="AN250" t="str">
        <f>Data!N250</f>
        <v/>
      </c>
      <c r="AO250" t="e">
        <f t="shared" si="12"/>
        <v>#VALUE!</v>
      </c>
    </row>
  </sheetData>
  <mergeCells count="7">
    <mergeCell ref="G3:K3"/>
    <mergeCell ref="A18:E18"/>
    <mergeCell ref="M18:Q18"/>
    <mergeCell ref="M3:Q3"/>
    <mergeCell ref="A1:Q1"/>
    <mergeCell ref="G18:K18"/>
    <mergeCell ref="A3:E3"/>
  </mergeCells>
  <dataValidations count="1">
    <dataValidation type="list" sqref="H5" xr:uid="{00000000-0002-0000-0700-000001000000}">
      <formula1>"Curries/Stews,Salads,Desserts/Drinks"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Referentie!$B$2:$B$19</xm:f>
          </x14:formula1>
          <xm:sqref>B5 B6 B7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99"/>
  </sheetPr>
  <dimension ref="A1:N21"/>
  <sheetViews>
    <sheetView workbookViewId="0"/>
  </sheetViews>
  <sheetFormatPr defaultRowHeight="15"/>
  <cols>
    <col min="1" max="1" width="22.85546875" customWidth="1"/>
    <col min="2" max="2" width="7.5703125" customWidth="1"/>
    <col min="3" max="4" width="13.28515625" customWidth="1"/>
    <col min="5" max="7" width="22.85546875" customWidth="1"/>
    <col min="8" max="8" width="13.28515625" customWidth="1"/>
    <col min="9" max="10" width="22.85546875" customWidth="1"/>
    <col min="11" max="11" width="15.28515625" customWidth="1"/>
    <col min="13" max="13" width="22.85546875" customWidth="1"/>
    <col min="14" max="14" width="15.28515625" customWidth="1"/>
  </cols>
  <sheetData>
    <row r="1" spans="1:14" ht="18.75" customHeight="1">
      <c r="A1" s="16" t="s">
        <v>379</v>
      </c>
    </row>
    <row r="2" spans="1:14">
      <c r="A2" s="17" t="s">
        <v>380</v>
      </c>
    </row>
    <row r="4" spans="1:14">
      <c r="A4" s="19" t="s">
        <v>27</v>
      </c>
      <c r="B4" s="19" t="s">
        <v>32</v>
      </c>
      <c r="C4" s="19" t="s">
        <v>33</v>
      </c>
      <c r="D4" s="19" t="s">
        <v>2</v>
      </c>
      <c r="E4" s="19" t="s">
        <v>381</v>
      </c>
      <c r="F4" s="19" t="s">
        <v>382</v>
      </c>
      <c r="G4" s="19" t="s">
        <v>383</v>
      </c>
      <c r="H4" s="19" t="s">
        <v>43</v>
      </c>
      <c r="I4" s="19" t="s">
        <v>28</v>
      </c>
      <c r="J4" s="19" t="s">
        <v>384</v>
      </c>
      <c r="K4" s="19" t="s">
        <v>46</v>
      </c>
      <c r="M4" s="19" t="s">
        <v>385</v>
      </c>
    </row>
    <row r="5" spans="1:14">
      <c r="A5" t="str" cm="1">
        <f t="array" ref="A5:K21">IFERROR(_xlfn._xlws.FILTER(CHOOSE({1,2,3,4,5,6,7,8,9,10,11}, Data!A2:A200, Data!B2:B200, Data!C2:C200, Data!D2:D200, Data!E2:E200, Data!F2:F200, Data!G2:G200, Data!M2:M200, Data!N2:N200, Data!O2:O200, Data!P2:P200), Data!S2:S200="Berry"), "")</f>
        <v>Cubone</v>
      </c>
      <c r="B5">
        <v>11</v>
      </c>
      <c r="C5" t="str">
        <v>Ground</v>
      </c>
      <c r="D5" t="str">
        <v>Figy</v>
      </c>
      <c r="E5" t="str">
        <v>Warming Ginger</v>
      </c>
      <c r="F5" t="str">
        <v>Soothing Cacao</v>
      </c>
      <c r="G5" t="str">
        <v>Warming Ginger</v>
      </c>
      <c r="H5" t="str">
        <v>Naughty</v>
      </c>
      <c r="I5" t="str">
        <v>Speed of Help</v>
      </c>
      <c r="J5" t="str">
        <v>Main Skill Chance</v>
      </c>
      <c r="K5">
        <v>4</v>
      </c>
      <c r="M5" s="18" t="s">
        <v>386</v>
      </c>
      <c r="N5">
        <f>COUNTIF(Data!S2:S200,"Berry")</f>
        <v>17</v>
      </c>
    </row>
    <row r="6" spans="1:14">
      <c r="A6" t="str">
        <v>Pichu</v>
      </c>
      <c r="B6">
        <v>6</v>
      </c>
      <c r="C6" t="str">
        <v>Electric</v>
      </c>
      <c r="D6" t="str">
        <v>Grepa</v>
      </c>
      <c r="E6" t="str">
        <v>Fancy Apple</v>
      </c>
      <c r="F6" t="str">
        <v>Warming Ginger</v>
      </c>
      <c r="G6" t="str">
        <v>Fancy Apple</v>
      </c>
      <c r="H6" t="str">
        <v>Impish</v>
      </c>
      <c r="I6" t="str">
        <v>Energy Recovery</v>
      </c>
      <c r="J6" t="str">
        <v>Ingredient Finding</v>
      </c>
      <c r="K6">
        <v>2</v>
      </c>
      <c r="M6" s="18" t="s">
        <v>387</v>
      </c>
      <c r="N6" s="20">
        <f>IFERROR(AVERAGEIF(Data!S2:S200,"Berry",Data!B2:B200),0)</f>
        <v>6.9411764705882355</v>
      </c>
    </row>
    <row r="7" spans="1:14">
      <c r="A7" t="str">
        <v>Slowpoke</v>
      </c>
      <c r="B7">
        <v>9</v>
      </c>
      <c r="C7" t="str">
        <v>Water</v>
      </c>
      <c r="D7" t="str">
        <v>Oran</v>
      </c>
      <c r="E7" t="str">
        <v>Soothing Cacao</v>
      </c>
      <c r="F7" t="str">
        <v>Slowpoke Tail</v>
      </c>
      <c r="G7" t="str">
        <v>Soothing Cacao</v>
      </c>
      <c r="H7" t="str">
        <v>Jolly</v>
      </c>
      <c r="I7" t="str">
        <v>EXP Gains</v>
      </c>
      <c r="J7" t="str">
        <v>Ingredient Finding</v>
      </c>
      <c r="K7">
        <v>2</v>
      </c>
      <c r="M7" s="18" t="s">
        <v>388</v>
      </c>
      <c r="N7">
        <f t="array" ref="N7">IFERROR(MAX(_xlfn._xlws.FILTER(Data!P2:P200, Data!S2:S200="Berry")),0)</f>
        <v>6</v>
      </c>
    </row>
    <row r="8" spans="1:14">
      <c r="A8" t="str">
        <v>Swablu</v>
      </c>
      <c r="B8">
        <v>7</v>
      </c>
      <c r="C8" t="str">
        <v>Flying</v>
      </c>
      <c r="D8" t="str">
        <v>Lum</v>
      </c>
      <c r="E8" t="str">
        <v>Fancy Egg</v>
      </c>
      <c r="F8" t="str">
        <v>Greengrass Soybeans</v>
      </c>
      <c r="G8" t="str">
        <v>Fancy Egg</v>
      </c>
      <c r="H8" t="str">
        <v>Serious</v>
      </c>
      <c r="I8" t="str">
        <v>Neutral</v>
      </c>
      <c r="J8" t="str">
        <v>Neutral</v>
      </c>
      <c r="K8">
        <v>3</v>
      </c>
      <c r="M8" s="18" t="s">
        <v>389</v>
      </c>
      <c r="N8" t="str">
        <f t="array" ref="N8">IFERROR(INDEX(_xlfn._xlws.FILTER(Data!A2:A200, Data!S2:S200="Berry"), MATCH(MAX(_xlfn._xlws.FILTER(Data!P2:P200, Data!S2:S200="Berry")), _xlfn._xlws.FILTER(Data!P2:P200, Data!S2:S200="Berry"), 0)),"")</f>
        <v>Riolu</v>
      </c>
    </row>
    <row r="9" spans="1:14">
      <c r="A9" t="str">
        <v>Riolu</v>
      </c>
      <c r="B9">
        <v>6</v>
      </c>
      <c r="C9" t="str">
        <v>Fighting</v>
      </c>
      <c r="D9" t="str">
        <v>Cheri</v>
      </c>
      <c r="E9" t="str">
        <v>Pure Oil</v>
      </c>
      <c r="F9" t="str">
        <v>Soft Potato</v>
      </c>
      <c r="G9" t="str">
        <v>Pure Oil</v>
      </c>
      <c r="H9" t="str">
        <v>Adamant</v>
      </c>
      <c r="I9" t="str">
        <v>Speed of Help</v>
      </c>
      <c r="J9" t="str">
        <v>Ingredient Finding</v>
      </c>
      <c r="K9">
        <v>6</v>
      </c>
    </row>
    <row r="10" spans="1:14">
      <c r="A10" t="str">
        <v>Treecko</v>
      </c>
      <c r="B10">
        <v>8</v>
      </c>
      <c r="C10" t="str">
        <v>Grass</v>
      </c>
      <c r="D10" t="str">
        <v>Durin</v>
      </c>
      <c r="E10" t="str">
        <v>Fancy Egg</v>
      </c>
      <c r="F10" t="str">
        <v>Fancy Egg</v>
      </c>
      <c r="G10" t="str">
        <v>Rousing Coffee</v>
      </c>
      <c r="H10" t="str">
        <v>Quiet</v>
      </c>
      <c r="I10" t="str">
        <v>Ingredient Finding</v>
      </c>
      <c r="J10" t="str">
        <v>EXP Gains</v>
      </c>
      <c r="K10">
        <v>3</v>
      </c>
    </row>
    <row r="11" spans="1:14">
      <c r="A11" t="str">
        <v>Drifloon</v>
      </c>
      <c r="B11">
        <v>6</v>
      </c>
      <c r="C11" t="str">
        <v>Ghost</v>
      </c>
      <c r="D11" t="str">
        <v>Bluk</v>
      </c>
      <c r="E11" t="str">
        <v>Greengrass Corn</v>
      </c>
      <c r="F11" t="str">
        <v>Pure Oil</v>
      </c>
      <c r="G11" t="str">
        <v>Pure Oil</v>
      </c>
      <c r="H11" t="str">
        <v>Adamant</v>
      </c>
      <c r="I11" t="str">
        <v>Speed of Help</v>
      </c>
      <c r="J11" t="str">
        <v>Ingredient Finding</v>
      </c>
      <c r="K11">
        <v>3</v>
      </c>
    </row>
    <row r="12" spans="1:14">
      <c r="A12" t="str">
        <v>Igglybuff</v>
      </c>
      <c r="B12">
        <v>4</v>
      </c>
      <c r="C12" t="str">
        <v>Fairy</v>
      </c>
      <c r="D12" t="str">
        <v>Pecha</v>
      </c>
      <c r="E12" t="str">
        <v>Honey</v>
      </c>
      <c r="F12" t="str">
        <v>Pure Oil</v>
      </c>
      <c r="G12" t="str">
        <v>Honey</v>
      </c>
      <c r="H12" t="str">
        <v>Adamant</v>
      </c>
      <c r="I12" t="str">
        <v>Speed of Help</v>
      </c>
      <c r="J12" t="str">
        <v>Ingredient Finding</v>
      </c>
      <c r="K12">
        <v>5</v>
      </c>
    </row>
    <row r="13" spans="1:14">
      <c r="A13" t="str">
        <v>Wynaut</v>
      </c>
      <c r="B13">
        <v>9</v>
      </c>
      <c r="C13" t="str">
        <v>Psychic</v>
      </c>
      <c r="D13" t="str">
        <v>Mago</v>
      </c>
      <c r="E13" t="str">
        <v>Fancy Apple</v>
      </c>
      <c r="F13" t="str">
        <v>Tasty Mushroom</v>
      </c>
      <c r="G13" t="str">
        <v>Pure Oil</v>
      </c>
      <c r="H13" t="str">
        <v>Jolly</v>
      </c>
      <c r="I13" t="str">
        <v>EXP Gains</v>
      </c>
      <c r="J13" t="str">
        <v>Ingredient Finding</v>
      </c>
      <c r="K13">
        <v>4</v>
      </c>
    </row>
    <row r="14" spans="1:14">
      <c r="A14" t="str">
        <v>Larvitar</v>
      </c>
      <c r="B14">
        <v>7</v>
      </c>
      <c r="C14" t="str">
        <v>Rock</v>
      </c>
      <c r="D14" t="str">
        <v>Sitrus</v>
      </c>
      <c r="E14" t="str">
        <v>Warming Ginger</v>
      </c>
      <c r="F14" t="str">
        <v>Greengrass Soybeans</v>
      </c>
      <c r="G14" t="str">
        <v>Greengrass Soybeans</v>
      </c>
      <c r="H14" t="str">
        <v>Quirky</v>
      </c>
      <c r="I14" t="str">
        <v>Neutral</v>
      </c>
      <c r="J14" t="str">
        <v>Neutral</v>
      </c>
      <c r="K14">
        <v>3</v>
      </c>
    </row>
    <row r="15" spans="1:14">
      <c r="A15" t="str">
        <v>Bulbasaur</v>
      </c>
      <c r="B15">
        <v>6</v>
      </c>
      <c r="C15" t="str">
        <v>Grass</v>
      </c>
      <c r="D15" t="str">
        <v>Durin</v>
      </c>
      <c r="E15" t="str">
        <v>Honey</v>
      </c>
      <c r="F15" t="str">
        <v>Honey</v>
      </c>
      <c r="G15" t="str">
        <v>Honey</v>
      </c>
      <c r="H15" t="str">
        <v>Impish</v>
      </c>
      <c r="I15" t="str">
        <v>Energy Recovery</v>
      </c>
      <c r="J15" t="str">
        <v>Ingredient Finding</v>
      </c>
      <c r="K15">
        <v>3</v>
      </c>
    </row>
    <row r="16" spans="1:14">
      <c r="A16" t="str">
        <v>Mudkip</v>
      </c>
      <c r="B16">
        <v>6</v>
      </c>
      <c r="C16" t="str">
        <v>Water</v>
      </c>
      <c r="D16" t="str">
        <v>Oran</v>
      </c>
      <c r="E16" t="str">
        <v>Greengrass Corn</v>
      </c>
      <c r="F16" t="str">
        <v>Moomoo Milk</v>
      </c>
      <c r="G16" t="str">
        <v>Greengrass Corn</v>
      </c>
      <c r="H16" t="str">
        <v>Hasty</v>
      </c>
      <c r="I16" t="str">
        <v>EXP Gains</v>
      </c>
      <c r="J16" t="str">
        <v>Energy Recovery</v>
      </c>
      <c r="K16">
        <v>3</v>
      </c>
    </row>
    <row r="17" spans="1:11">
      <c r="A17" t="str">
        <v>Togepi</v>
      </c>
      <c r="B17">
        <v>8</v>
      </c>
      <c r="C17" t="str">
        <v>Fairy</v>
      </c>
      <c r="D17" t="str">
        <v>Pecha</v>
      </c>
      <c r="E17" t="str">
        <v>Fancy Egg</v>
      </c>
      <c r="F17" t="str">
        <v>Warming Ginger</v>
      </c>
      <c r="G17" t="str">
        <v>Warming Ginger</v>
      </c>
      <c r="H17" t="str">
        <v>Adamant</v>
      </c>
      <c r="I17" t="str">
        <v>Speed of Help</v>
      </c>
      <c r="J17" t="str">
        <v>Ingredient Finding</v>
      </c>
      <c r="K17">
        <v>5</v>
      </c>
    </row>
    <row r="18" spans="1:11">
      <c r="A18" t="str">
        <v>Psyduck</v>
      </c>
      <c r="B18">
        <v>5</v>
      </c>
      <c r="C18" t="str">
        <v>Water</v>
      </c>
      <c r="D18" t="str">
        <v>Oran</v>
      </c>
      <c r="E18" t="str">
        <v>Soothing Cacao</v>
      </c>
      <c r="F18" t="str">
        <v>Fancy Apple</v>
      </c>
      <c r="G18" t="str">
        <v>Bean Sausage</v>
      </c>
      <c r="H18" t="str">
        <v>Naughty</v>
      </c>
      <c r="I18" t="str">
        <v>Speed of Help</v>
      </c>
      <c r="J18" t="str">
        <v>Main Skill Chance</v>
      </c>
      <c r="K18">
        <v>4</v>
      </c>
    </row>
    <row r="19" spans="1:11">
      <c r="A19" t="str">
        <v>Eevee</v>
      </c>
      <c r="B19">
        <v>8</v>
      </c>
      <c r="C19" t="str">
        <v>Normal</v>
      </c>
      <c r="D19" t="str">
        <v>Persim</v>
      </c>
      <c r="E19" t="str">
        <v>Moomoo Milk</v>
      </c>
      <c r="F19" t="str">
        <v>Soothing Cacao</v>
      </c>
      <c r="G19" t="str">
        <v>Soothing Cacao</v>
      </c>
      <c r="H19" t="str">
        <v>Docile</v>
      </c>
      <c r="I19" t="str">
        <v>Neutral</v>
      </c>
      <c r="J19" t="str">
        <v>Neutral</v>
      </c>
      <c r="K19">
        <v>3</v>
      </c>
    </row>
    <row r="20" spans="1:11">
      <c r="A20" t="str">
        <v>Igglybuff</v>
      </c>
      <c r="B20">
        <v>6</v>
      </c>
      <c r="C20" t="str">
        <v>Fairy</v>
      </c>
      <c r="D20" t="str">
        <v>Pecha</v>
      </c>
      <c r="E20" t="str">
        <v>Honey</v>
      </c>
      <c r="F20" t="str">
        <v>Pure Oil</v>
      </c>
      <c r="G20" t="str">
        <v>Honey</v>
      </c>
      <c r="H20" t="str">
        <v>Brave</v>
      </c>
      <c r="I20" t="str">
        <v>Speed of Help</v>
      </c>
      <c r="J20" t="str">
        <v>EXP Gains</v>
      </c>
      <c r="K20">
        <v>3</v>
      </c>
    </row>
    <row r="21" spans="1:11">
      <c r="A21" t="str">
        <v>Mareep</v>
      </c>
      <c r="B21">
        <v>6</v>
      </c>
      <c r="C21" t="str">
        <v>Electric</v>
      </c>
      <c r="D21" t="str">
        <v>Grepa</v>
      </c>
      <c r="E21" t="str">
        <v>Fiery Herb</v>
      </c>
      <c r="F21" t="str">
        <v>Fancy Egg</v>
      </c>
      <c r="G21" t="str">
        <v>Fancy Egg</v>
      </c>
      <c r="H21" t="str">
        <v>Lonely</v>
      </c>
      <c r="I21" t="str">
        <v>Speed of Help</v>
      </c>
      <c r="J21" t="str">
        <v>Energy Recovery</v>
      </c>
      <c r="K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AA00"/>
  </sheetPr>
  <dimension ref="A1:N33"/>
  <sheetViews>
    <sheetView workbookViewId="0">
      <selection activeCell="A30" sqref="A30"/>
    </sheetView>
  </sheetViews>
  <sheetFormatPr defaultRowHeight="15"/>
  <cols>
    <col min="1" max="1" width="22.85546875" customWidth="1"/>
    <col min="2" max="2" width="7.5703125" customWidth="1"/>
    <col min="3" max="4" width="13.28515625" customWidth="1"/>
    <col min="5" max="7" width="22.85546875" customWidth="1"/>
    <col min="8" max="8" width="13.28515625" customWidth="1"/>
    <col min="9" max="10" width="22.85546875" customWidth="1"/>
    <col min="11" max="11" width="15.28515625" customWidth="1"/>
    <col min="13" max="13" width="22.85546875" customWidth="1"/>
    <col min="14" max="14" width="15.28515625" customWidth="1"/>
  </cols>
  <sheetData>
    <row r="1" spans="1:14" ht="18.75" customHeight="1">
      <c r="A1" s="21" t="s">
        <v>390</v>
      </c>
    </row>
    <row r="2" spans="1:14">
      <c r="A2" s="17" t="s">
        <v>391</v>
      </c>
    </row>
    <row r="4" spans="1:14">
      <c r="A4" s="22" t="s">
        <v>27</v>
      </c>
      <c r="B4" s="22" t="s">
        <v>32</v>
      </c>
      <c r="C4" s="22" t="s">
        <v>33</v>
      </c>
      <c r="D4" s="22" t="s">
        <v>2</v>
      </c>
      <c r="E4" s="22" t="s">
        <v>381</v>
      </c>
      <c r="F4" s="22" t="s">
        <v>382</v>
      </c>
      <c r="G4" s="22" t="s">
        <v>383</v>
      </c>
      <c r="H4" s="22" t="s">
        <v>43</v>
      </c>
      <c r="I4" s="22" t="s">
        <v>28</v>
      </c>
      <c r="J4" s="22" t="s">
        <v>384</v>
      </c>
      <c r="K4" s="22" t="s">
        <v>392</v>
      </c>
      <c r="M4" s="22" t="s">
        <v>385</v>
      </c>
    </row>
    <row r="5" spans="1:14">
      <c r="A5" t="str" cm="1">
        <f t="array" ref="A5:K33">IFERROR(_xlfn._xlws.FILTER(CHOOSE({1,2,3,4,5,6,7,8,9,10,11}, Data!A2:A200, Data!B2:B200, Data!C2:C200, Data!D2:D200, Data!E2:E200, Data!F2:F200, Data!G2:G200, Data!M2:M200, Data!N2:N200, Data!O2:O200, Data!Q2:Q200), Data!S2:S200="Ingredient"), "")</f>
        <v>Pikachu</v>
      </c>
      <c r="B5">
        <v>15</v>
      </c>
      <c r="C5" t="str">
        <v>Electric</v>
      </c>
      <c r="D5" t="str">
        <v>Grepa</v>
      </c>
      <c r="E5" t="str">
        <v>Fancy Apple</v>
      </c>
      <c r="F5" t="str">
        <v>Warming Ginger</v>
      </c>
      <c r="G5" t="str">
        <v>Fancy Apple</v>
      </c>
      <c r="H5" t="str">
        <v>Modest</v>
      </c>
      <c r="I5" t="str">
        <v>Ingredient Finding</v>
      </c>
      <c r="J5" t="str">
        <v>Speed of Help</v>
      </c>
      <c r="K5">
        <v>6.5</v>
      </c>
      <c r="M5" s="18" t="s">
        <v>386</v>
      </c>
      <c r="N5">
        <f>COUNTIF(Data!S2:S200,"Ingredient")</f>
        <v>29</v>
      </c>
    </row>
    <row r="6" spans="1:14">
      <c r="A6" t="str">
        <v>Squirtle</v>
      </c>
      <c r="B6">
        <v>8</v>
      </c>
      <c r="C6" t="str">
        <v>Water</v>
      </c>
      <c r="D6" t="str">
        <v>Oran</v>
      </c>
      <c r="E6" t="str">
        <v>Moomoo Milk</v>
      </c>
      <c r="F6" t="str">
        <v>Soothing Cacao</v>
      </c>
      <c r="G6" t="str">
        <v>Soothing Cacao</v>
      </c>
      <c r="H6" t="str">
        <v>Serious</v>
      </c>
      <c r="I6" t="str">
        <v>Neutral</v>
      </c>
      <c r="J6" t="str">
        <v>Neutral</v>
      </c>
      <c r="K6">
        <v>4</v>
      </c>
      <c r="M6" s="18" t="s">
        <v>387</v>
      </c>
      <c r="N6" s="20">
        <f>IFERROR(AVERAGEIF(Data!S2:S200,"Ingredient",Data!B2:B200),0)</f>
        <v>9</v>
      </c>
    </row>
    <row r="7" spans="1:14">
      <c r="A7" t="str">
        <v>Igglybuff</v>
      </c>
      <c r="B7">
        <v>9</v>
      </c>
      <c r="C7" t="str">
        <v>Fairy</v>
      </c>
      <c r="D7" t="str">
        <v>Pecha</v>
      </c>
      <c r="E7" t="str">
        <v>Honey</v>
      </c>
      <c r="F7" t="str">
        <v>Honey</v>
      </c>
      <c r="G7" t="str">
        <v>Pure Oil</v>
      </c>
      <c r="H7" t="str">
        <v>Naive</v>
      </c>
      <c r="I7" t="str">
        <v>EXP Gains</v>
      </c>
      <c r="J7" t="str">
        <v>Main Skill Chance</v>
      </c>
      <c r="K7">
        <v>5.5</v>
      </c>
      <c r="M7" s="18" t="s">
        <v>388</v>
      </c>
      <c r="N7">
        <f t="array" ref="N7">IFERROR(MAX(_xlfn._xlws.FILTER(Data!Q2:Q200, Data!S2:S200="Ingredient")),0)</f>
        <v>7.5</v>
      </c>
    </row>
    <row r="8" spans="1:14">
      <c r="A8" t="str">
        <v>Spheal</v>
      </c>
      <c r="B8">
        <v>11</v>
      </c>
      <c r="C8" t="str">
        <v>Water</v>
      </c>
      <c r="D8" t="str">
        <v>Oran</v>
      </c>
      <c r="E8" t="str">
        <v>Pure Oil</v>
      </c>
      <c r="F8" t="str">
        <v>Bean Sausage</v>
      </c>
      <c r="G8" t="str">
        <v>Pure Oil</v>
      </c>
      <c r="H8" t="str">
        <v>Bold</v>
      </c>
      <c r="I8" t="str">
        <v>Energy Recovery</v>
      </c>
      <c r="J8" t="str">
        <v>Speed of Help</v>
      </c>
      <c r="K8">
        <v>3.5</v>
      </c>
      <c r="M8" s="18" t="s">
        <v>389</v>
      </c>
      <c r="N8" t="str">
        <f t="array" ref="N8">IFERROR(INDEX(_xlfn._xlws.FILTER(Data!A2:A200, Data!S2:S200="Ingredient"), MATCH(MAX(_xlfn._xlws.FILTER(Data!Q2:Q200, Data!S2:S200="Ingredient")), _xlfn._xlws.FILTER(Data!Q2:Q200, Data!S2:S200="Ingredient"), 0)),"")</f>
        <v>Rattata</v>
      </c>
    </row>
    <row r="9" spans="1:14">
      <c r="A9" t="str">
        <v>Noibat</v>
      </c>
      <c r="B9">
        <v>14</v>
      </c>
      <c r="C9" t="str">
        <v>Dragon</v>
      </c>
      <c r="D9" t="str">
        <v>Yache</v>
      </c>
      <c r="E9" t="str">
        <v>Fancy Apple</v>
      </c>
      <c r="F9" t="str">
        <v>Large Leek</v>
      </c>
      <c r="G9" t="str">
        <v>Bean Sausage</v>
      </c>
      <c r="H9" t="str">
        <v>Bashful</v>
      </c>
      <c r="I9" t="str">
        <v>Neutral</v>
      </c>
      <c r="J9" t="str">
        <v>Neutral</v>
      </c>
      <c r="K9">
        <v>4.5</v>
      </c>
    </row>
    <row r="10" spans="1:14">
      <c r="A10" t="str">
        <v>Rattata</v>
      </c>
      <c r="B10">
        <v>8</v>
      </c>
      <c r="C10" t="str">
        <v>Normal</v>
      </c>
      <c r="D10" t="str">
        <v>Persim</v>
      </c>
      <c r="E10" t="str">
        <v>Fancy Apple</v>
      </c>
      <c r="F10" t="str">
        <v>Greengrass Soybeans</v>
      </c>
      <c r="G10" t="str">
        <v>Fancy Apple</v>
      </c>
      <c r="H10" t="str">
        <v>Mild</v>
      </c>
      <c r="I10" t="str">
        <v>Ingredient Finding</v>
      </c>
      <c r="J10" t="str">
        <v>Energy Recovery</v>
      </c>
      <c r="K10">
        <v>5</v>
      </c>
    </row>
    <row r="11" spans="1:14">
      <c r="A11" t="str">
        <v>Gulpin</v>
      </c>
      <c r="B11">
        <v>9</v>
      </c>
      <c r="C11" t="str">
        <v>Poison</v>
      </c>
      <c r="D11" t="str">
        <v>Chesto</v>
      </c>
      <c r="E11" t="str">
        <v>Greengrass Soybeans</v>
      </c>
      <c r="F11" t="str">
        <v>Greengrass Soybeans</v>
      </c>
      <c r="G11" t="str">
        <v>Tasty Mushroom</v>
      </c>
      <c r="H11" t="str">
        <v>Hasty</v>
      </c>
      <c r="I11" t="str">
        <v>EXP Gains</v>
      </c>
      <c r="J11" t="str">
        <v>Energy Recovery</v>
      </c>
      <c r="K11">
        <v>5.5</v>
      </c>
    </row>
    <row r="12" spans="1:14">
      <c r="A12" t="str">
        <v>Igglybuff</v>
      </c>
      <c r="B12">
        <v>4</v>
      </c>
      <c r="C12" t="str">
        <v>Fairy</v>
      </c>
      <c r="D12" t="str">
        <v>Pecha</v>
      </c>
      <c r="E12" t="str">
        <v>Honey</v>
      </c>
      <c r="F12" t="str">
        <v>Pure Oil</v>
      </c>
      <c r="G12" t="str">
        <v>Honey</v>
      </c>
      <c r="H12" t="str">
        <v>Rash</v>
      </c>
      <c r="I12" t="str">
        <v>Ingredient Finding</v>
      </c>
      <c r="J12" t="str">
        <v>Main Skill Chance</v>
      </c>
      <c r="K12">
        <v>4.5</v>
      </c>
    </row>
    <row r="13" spans="1:14">
      <c r="A13" t="str">
        <v>Treecko</v>
      </c>
      <c r="B13">
        <v>5</v>
      </c>
      <c r="C13" t="str">
        <v>Grass</v>
      </c>
      <c r="D13" t="str">
        <v>Durin</v>
      </c>
      <c r="E13" t="str">
        <v>Fancy Egg</v>
      </c>
      <c r="F13" t="str">
        <v>Fancy Egg</v>
      </c>
      <c r="G13" t="str">
        <v>Fancy Egg</v>
      </c>
      <c r="H13" t="str">
        <v>Naughty</v>
      </c>
      <c r="I13" t="str">
        <v>Speed of Help</v>
      </c>
      <c r="J13" t="str">
        <v>Main Skill Chance</v>
      </c>
      <c r="K13">
        <v>5</v>
      </c>
    </row>
    <row r="14" spans="1:14">
      <c r="A14" t="str">
        <v>Psyduck</v>
      </c>
      <c r="B14">
        <v>6</v>
      </c>
      <c r="C14" t="str">
        <v>Water</v>
      </c>
      <c r="D14" t="str">
        <v>Oran</v>
      </c>
      <c r="E14" t="str">
        <v>Soothing Cacao</v>
      </c>
      <c r="F14" t="str">
        <v>Soothing Cacao</v>
      </c>
      <c r="G14" t="str">
        <v>Soothing Cacao</v>
      </c>
      <c r="H14" t="str">
        <v>Relaxed</v>
      </c>
      <c r="I14" t="str">
        <v>Energy Recovery</v>
      </c>
      <c r="J14" t="str">
        <v>EXP Gains</v>
      </c>
      <c r="K14">
        <v>4.5</v>
      </c>
    </row>
    <row r="15" spans="1:14">
      <c r="A15" t="str">
        <v>Swablu</v>
      </c>
      <c r="B15">
        <v>5</v>
      </c>
      <c r="C15" t="str">
        <v>Flying</v>
      </c>
      <c r="D15" t="str">
        <v>Lum</v>
      </c>
      <c r="E15" t="str">
        <v>Fancy Egg</v>
      </c>
      <c r="F15" t="str">
        <v>Greengrass Soybeans</v>
      </c>
      <c r="G15" t="str">
        <v>Greengrass Soybeans</v>
      </c>
      <c r="H15" t="str">
        <v>Timid</v>
      </c>
      <c r="I15" t="str">
        <v>EXP Gains</v>
      </c>
      <c r="J15" t="str">
        <v>Speed of Help</v>
      </c>
      <c r="K15">
        <v>3.5</v>
      </c>
    </row>
    <row r="16" spans="1:14">
      <c r="A16" t="str">
        <v>Mareep</v>
      </c>
      <c r="B16">
        <v>11</v>
      </c>
      <c r="C16" t="str">
        <v>Electric</v>
      </c>
      <c r="D16" t="str">
        <v>Grepa</v>
      </c>
      <c r="E16" t="str">
        <v>Fiery Herb</v>
      </c>
      <c r="F16" t="str">
        <v>Fiery Herb</v>
      </c>
      <c r="G16" t="str">
        <v>Fiery Herb</v>
      </c>
      <c r="H16" t="str">
        <v>Naive</v>
      </c>
      <c r="I16" t="str">
        <v>EXP Gains</v>
      </c>
      <c r="J16" t="str">
        <v>Main Skill Chance</v>
      </c>
      <c r="K16">
        <v>4.5</v>
      </c>
    </row>
    <row r="17" spans="1:11">
      <c r="A17" t="str">
        <v>Slowpoke</v>
      </c>
      <c r="B17">
        <v>5</v>
      </c>
      <c r="C17" t="str">
        <v>Water</v>
      </c>
      <c r="D17" t="str">
        <v>Oran</v>
      </c>
      <c r="E17" t="str">
        <v>Soothing Cacao</v>
      </c>
      <c r="F17" t="str">
        <v>Slowpoke Tail</v>
      </c>
      <c r="G17" t="str">
        <v>Slowpoke Tail</v>
      </c>
      <c r="H17" t="str">
        <v>Bold</v>
      </c>
      <c r="I17" t="str">
        <v>Energy Recovery</v>
      </c>
      <c r="J17" t="str">
        <v>Speed of Help</v>
      </c>
      <c r="K17">
        <v>2.5</v>
      </c>
    </row>
    <row r="18" spans="1:11">
      <c r="A18" t="str">
        <v>Pichu</v>
      </c>
      <c r="B18">
        <v>5</v>
      </c>
      <c r="C18" t="str">
        <v>Electric</v>
      </c>
      <c r="D18" t="str">
        <v>Grepa</v>
      </c>
      <c r="E18" t="str">
        <v>Fancy Apple</v>
      </c>
      <c r="F18" t="str">
        <v>Warming Ginger</v>
      </c>
      <c r="G18" t="str">
        <v>Fancy Egg</v>
      </c>
      <c r="H18" t="str">
        <v>Bold</v>
      </c>
      <c r="I18" t="str">
        <v>Energy Recovery</v>
      </c>
      <c r="J18" t="str">
        <v>Speed of Help</v>
      </c>
      <c r="K18">
        <v>3.5</v>
      </c>
    </row>
    <row r="19" spans="1:11">
      <c r="A19" t="str">
        <v>Rattata</v>
      </c>
      <c r="B19">
        <v>6</v>
      </c>
      <c r="C19" t="str">
        <v>Normal</v>
      </c>
      <c r="D19" t="str">
        <v>Persim</v>
      </c>
      <c r="E19" t="str">
        <v>Fancy Apple</v>
      </c>
      <c r="F19" t="str">
        <v>Fancy Apple</v>
      </c>
      <c r="G19" t="str">
        <v>Greengrass Soybeans</v>
      </c>
      <c r="H19" t="str">
        <v>Naive</v>
      </c>
      <c r="I19" t="str">
        <v>EXP Gains</v>
      </c>
      <c r="J19" t="str">
        <v>Main Skill Chance</v>
      </c>
      <c r="K19">
        <v>6.5</v>
      </c>
    </row>
    <row r="20" spans="1:11">
      <c r="A20" t="str">
        <v>Geodude</v>
      </c>
      <c r="B20">
        <v>8</v>
      </c>
      <c r="C20" t="str">
        <v>Rock</v>
      </c>
      <c r="D20" t="str">
        <v>Sitrus</v>
      </c>
      <c r="E20" t="str">
        <v>Greengrass Soybeans</v>
      </c>
      <c r="F20" t="str">
        <v>Greengrass Soybeans</v>
      </c>
      <c r="G20" t="str">
        <v>Tasty Mushroom</v>
      </c>
      <c r="H20" t="str">
        <v>Bashful</v>
      </c>
      <c r="I20" t="str">
        <v>Neutral</v>
      </c>
      <c r="J20" t="str">
        <v>Neutral</v>
      </c>
      <c r="K20">
        <v>2.5</v>
      </c>
    </row>
    <row r="21" spans="1:11">
      <c r="A21" t="str">
        <v>Totodile</v>
      </c>
      <c r="B21">
        <v>6</v>
      </c>
      <c r="C21" t="str">
        <v>Water</v>
      </c>
      <c r="D21" t="str">
        <v>Oran</v>
      </c>
      <c r="E21" t="str">
        <v>Bean Sausage</v>
      </c>
      <c r="F21" t="str">
        <v>Pure Oil</v>
      </c>
      <c r="G21" t="str">
        <v>Pure Oil</v>
      </c>
      <c r="H21" t="str">
        <v>Mild</v>
      </c>
      <c r="I21" t="str">
        <v>Ingredient Finding</v>
      </c>
      <c r="J21" t="str">
        <v>Energy Recovery</v>
      </c>
      <c r="K21">
        <v>5.5</v>
      </c>
    </row>
    <row r="22" spans="1:11">
      <c r="A22" t="str">
        <v>Houndour</v>
      </c>
      <c r="B22">
        <v>4</v>
      </c>
      <c r="C22" t="str">
        <v>Dark</v>
      </c>
      <c r="D22" t="str">
        <v>Wiki</v>
      </c>
      <c r="E22" t="str">
        <v>Fiery Herb</v>
      </c>
      <c r="F22" t="str">
        <v>Fiery Herb</v>
      </c>
      <c r="G22" t="str">
        <v>Warming Ginger</v>
      </c>
      <c r="H22" t="str">
        <v>Timid</v>
      </c>
      <c r="I22" t="str">
        <v>EXP Gains</v>
      </c>
      <c r="J22" t="str">
        <v>Speed of Help</v>
      </c>
      <c r="K22">
        <v>3.5</v>
      </c>
    </row>
    <row r="23" spans="1:11">
      <c r="A23" t="str">
        <v>Diglett</v>
      </c>
      <c r="B23">
        <v>4</v>
      </c>
      <c r="C23" t="str">
        <v>Ground</v>
      </c>
      <c r="D23" t="str">
        <v>Figy</v>
      </c>
      <c r="E23" t="str">
        <v>Snoozy Tomato</v>
      </c>
      <c r="F23" t="str">
        <v>Snoozy Tomato</v>
      </c>
      <c r="G23" t="str">
        <v>Large Leek</v>
      </c>
      <c r="H23" t="str">
        <v>Jolly</v>
      </c>
      <c r="I23" t="str">
        <v>EXP Gains</v>
      </c>
      <c r="J23" t="str">
        <v>Ingredient Finding</v>
      </c>
      <c r="K23">
        <v>3.5</v>
      </c>
    </row>
    <row r="24" spans="1:11">
      <c r="A24" t="str">
        <v>Psyduck</v>
      </c>
      <c r="B24">
        <v>7</v>
      </c>
      <c r="C24" t="str">
        <v>Water</v>
      </c>
      <c r="D24" t="str">
        <v>Oran</v>
      </c>
      <c r="E24" t="str">
        <v>Soothing Cacao</v>
      </c>
      <c r="F24" t="str">
        <v>Soothing Cacao</v>
      </c>
      <c r="G24" t="str">
        <v>Fancy Apple</v>
      </c>
      <c r="H24" t="str">
        <v>Naive</v>
      </c>
      <c r="I24" t="str">
        <v>EXP Gains</v>
      </c>
      <c r="J24" t="str">
        <v>Main Skill Chance</v>
      </c>
      <c r="K24">
        <v>6.5</v>
      </c>
    </row>
    <row r="25" spans="1:11">
      <c r="A25" t="str">
        <v>Marshtomp</v>
      </c>
      <c r="B25">
        <v>12</v>
      </c>
      <c r="C25" t="str">
        <v>Ground</v>
      </c>
      <c r="D25" t="str">
        <v>Figy</v>
      </c>
      <c r="E25" t="str">
        <v>Greengrass Corn</v>
      </c>
      <c r="F25" t="str">
        <v>Moomoo Milk</v>
      </c>
      <c r="G25" t="str">
        <v>Moomoo Milk</v>
      </c>
      <c r="H25" t="str">
        <v>Naughty</v>
      </c>
      <c r="I25" t="str">
        <v>Speed of Help</v>
      </c>
      <c r="J25" t="str">
        <v>Main Skill Chance</v>
      </c>
      <c r="K25">
        <v>5</v>
      </c>
    </row>
    <row r="26" spans="1:11">
      <c r="A26" t="str">
        <v>Magnemite</v>
      </c>
      <c r="B26">
        <v>13</v>
      </c>
      <c r="C26" t="str">
        <v>Electric</v>
      </c>
      <c r="D26" t="str">
        <v>Grepa</v>
      </c>
      <c r="E26" t="str">
        <v>Pure Oil</v>
      </c>
      <c r="F26" t="str">
        <v>Fiery Herb</v>
      </c>
      <c r="G26" t="str">
        <v>Pure Oil</v>
      </c>
      <c r="H26" t="str">
        <v>Serious</v>
      </c>
      <c r="I26" t="str">
        <v>Neutral</v>
      </c>
      <c r="J26" t="str">
        <v>Neutral</v>
      </c>
      <c r="K26">
        <v>4.5</v>
      </c>
    </row>
    <row r="27" spans="1:11">
      <c r="A27" t="str">
        <v>Wynaut</v>
      </c>
      <c r="B27">
        <v>5</v>
      </c>
      <c r="C27" t="str">
        <v>Psychic</v>
      </c>
      <c r="D27" t="str">
        <v>Mago</v>
      </c>
      <c r="E27" t="str">
        <v>Fancy Apple</v>
      </c>
      <c r="F27" t="str">
        <v>Tasty Mushroom</v>
      </c>
      <c r="G27" t="str">
        <v>Pure Oil</v>
      </c>
      <c r="H27" t="str">
        <v>Bold</v>
      </c>
      <c r="I27" t="str">
        <v>Energy Recovery</v>
      </c>
      <c r="J27" t="str">
        <v>Speed of Help</v>
      </c>
      <c r="K27">
        <v>3.5</v>
      </c>
    </row>
    <row r="28" spans="1:11">
      <c r="A28" t="str">
        <v>Slowpoke</v>
      </c>
      <c r="B28">
        <v>6</v>
      </c>
      <c r="C28" t="str">
        <v>Water</v>
      </c>
      <c r="D28" t="str">
        <v>Oran</v>
      </c>
      <c r="E28" t="str">
        <v>Soothing Cacao</v>
      </c>
      <c r="F28" t="str">
        <v>Slowpoke Tail</v>
      </c>
      <c r="G28" t="str">
        <v>Snoozy Tomato</v>
      </c>
      <c r="H28" t="str">
        <v>Serious</v>
      </c>
      <c r="I28" t="str">
        <v>Neutral</v>
      </c>
      <c r="J28" t="str">
        <v>Neutral</v>
      </c>
      <c r="K28">
        <v>2.5</v>
      </c>
    </row>
    <row r="29" spans="1:11">
      <c r="A29" t="str">
        <v>Latias</v>
      </c>
      <c r="B29">
        <v>26</v>
      </c>
      <c r="C29" t="str">
        <v>Dragon</v>
      </c>
      <c r="D29" t="str">
        <v>Yache</v>
      </c>
      <c r="E29" t="str">
        <v>Snoozy Tomato</v>
      </c>
      <c r="F29" t="str">
        <v>Plump Pumpkin</v>
      </c>
      <c r="G29" t="str">
        <v>Plump Pumpkin</v>
      </c>
      <c r="H29" t="str">
        <v>Naughty</v>
      </c>
      <c r="I29" t="str">
        <v>Speed of Help</v>
      </c>
      <c r="J29" t="str">
        <v>Main Skill Chance</v>
      </c>
      <c r="K29">
        <v>4</v>
      </c>
    </row>
    <row r="30" spans="1:11">
      <c r="A30" t="str">
        <v>Ivysaur</v>
      </c>
      <c r="B30">
        <v>24</v>
      </c>
      <c r="C30" t="str">
        <v>Grass</v>
      </c>
      <c r="D30" t="str">
        <v>Durin</v>
      </c>
      <c r="E30" t="str">
        <v>Honey</v>
      </c>
      <c r="F30" t="str">
        <v>Honey</v>
      </c>
      <c r="G30" t="str">
        <v>Snoozy Tomato</v>
      </c>
      <c r="H30" t="str">
        <v>Mild</v>
      </c>
      <c r="I30" t="str">
        <v>Ingredient Finding</v>
      </c>
      <c r="J30" t="str">
        <v>Energy Recovery</v>
      </c>
      <c r="K30">
        <v>5</v>
      </c>
    </row>
    <row r="31" spans="1:11">
      <c r="A31" t="str">
        <v>Rattata</v>
      </c>
      <c r="B31">
        <v>8</v>
      </c>
      <c r="C31" t="str">
        <v>Normal</v>
      </c>
      <c r="D31" t="str">
        <v>Persim</v>
      </c>
      <c r="E31" t="str">
        <v>Fancy Apple</v>
      </c>
      <c r="F31" t="str">
        <v>Fancy Apple</v>
      </c>
      <c r="G31" t="str">
        <v>Fancy Apple</v>
      </c>
      <c r="H31" t="str">
        <v>Naive</v>
      </c>
      <c r="I31" t="str">
        <v>EXP Gains</v>
      </c>
      <c r="J31" t="str">
        <v>Main Skill Chance</v>
      </c>
      <c r="K31">
        <v>7.5</v>
      </c>
    </row>
    <row r="32" spans="1:11">
      <c r="A32" t="str">
        <v>Treecko</v>
      </c>
      <c r="B32">
        <v>9</v>
      </c>
      <c r="C32" t="str">
        <v>Grass</v>
      </c>
      <c r="D32" t="str">
        <v>Durin</v>
      </c>
      <c r="E32" t="str">
        <v>Fancy Egg</v>
      </c>
      <c r="F32" t="str">
        <v>Rousing Coffee</v>
      </c>
      <c r="G32" t="str">
        <v>Large Leek</v>
      </c>
      <c r="H32" t="str">
        <v>Rash</v>
      </c>
      <c r="I32" t="str">
        <v>Ingredient Finding</v>
      </c>
      <c r="J32" t="str">
        <v>Main Skill Chance</v>
      </c>
      <c r="K32">
        <v>3.5</v>
      </c>
    </row>
    <row r="33" spans="1:11">
      <c r="A33" t="str">
        <v>Wynaut</v>
      </c>
      <c r="B33">
        <v>8</v>
      </c>
      <c r="C33" t="str">
        <v>Psychic</v>
      </c>
      <c r="D33" t="str">
        <v>Mago</v>
      </c>
      <c r="E33" t="str">
        <v>Fancy Apple</v>
      </c>
      <c r="F33" t="str">
        <v>Tasty Mushroom</v>
      </c>
      <c r="G33" t="str">
        <v>Pure Oil</v>
      </c>
      <c r="H33" t="str">
        <v>Sassy</v>
      </c>
      <c r="I33" t="str">
        <v>Main Skill Chance</v>
      </c>
      <c r="J33" t="str">
        <v>EXP Gains</v>
      </c>
      <c r="K3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66FF"/>
  </sheetPr>
  <dimension ref="A1:P12"/>
  <sheetViews>
    <sheetView workbookViewId="0">
      <selection activeCell="A12" sqref="A12"/>
    </sheetView>
  </sheetViews>
  <sheetFormatPr defaultRowHeight="15"/>
  <cols>
    <col min="1" max="1" width="22.85546875" customWidth="1"/>
    <col min="2" max="2" width="7.5703125" customWidth="1"/>
    <col min="3" max="4" width="13.28515625" customWidth="1"/>
    <col min="5" max="9" width="26.7109375" customWidth="1"/>
    <col min="10" max="10" width="13.28515625" customWidth="1"/>
    <col min="11" max="12" width="22.85546875" customWidth="1"/>
    <col min="13" max="13" width="15.28515625" customWidth="1"/>
    <col min="15" max="15" width="22.85546875" customWidth="1"/>
    <col min="16" max="16" width="15.28515625" customWidth="1"/>
  </cols>
  <sheetData>
    <row r="1" spans="1:16" ht="18.75" customHeight="1">
      <c r="A1" s="23" t="s">
        <v>393</v>
      </c>
    </row>
    <row r="2" spans="1:16">
      <c r="A2" s="17" t="s">
        <v>394</v>
      </c>
    </row>
    <row r="4" spans="1:16">
      <c r="A4" s="24" t="s">
        <v>27</v>
      </c>
      <c r="B4" s="24" t="s">
        <v>32</v>
      </c>
      <c r="C4" s="24" t="s">
        <v>33</v>
      </c>
      <c r="D4" s="24" t="s">
        <v>2</v>
      </c>
      <c r="E4" s="24" t="s">
        <v>395</v>
      </c>
      <c r="F4" s="24" t="s">
        <v>396</v>
      </c>
      <c r="G4" s="24" t="s">
        <v>397</v>
      </c>
      <c r="H4" s="24" t="s">
        <v>398</v>
      </c>
      <c r="I4" s="24" t="s">
        <v>399</v>
      </c>
      <c r="J4" s="24" t="s">
        <v>43</v>
      </c>
      <c r="K4" s="24" t="s">
        <v>28</v>
      </c>
      <c r="L4" s="24" t="s">
        <v>384</v>
      </c>
      <c r="M4" s="24" t="s">
        <v>48</v>
      </c>
      <c r="O4" s="24" t="s">
        <v>385</v>
      </c>
    </row>
    <row r="5" spans="1:16">
      <c r="A5" t="str" cm="1">
        <f t="array" ref="A5:M12">IFERROR(_xlfn._xlws.FILTER(CHOOSE({1,2,3,4,5,6,7,8,9,10,11,12,13}, Data!A2:A200, Data!B2:B200, Data!C2:C200, Data!D2:D200, Data!H2:H200, Data!I2:I200, Data!J2:J200, Data!K2:K200, Data!L2:L200, Data!M2:M200, Data!N2:N200, Data!O2:O200, Data!R2:R200), Data!S2:S200="Skill"), "")</f>
        <v>Growlithe</v>
      </c>
      <c r="B5">
        <v>10</v>
      </c>
      <c r="C5" t="str">
        <v>Fire</v>
      </c>
      <c r="D5" t="str">
        <v>Leppa</v>
      </c>
      <c r="E5" t="str">
        <v>Energy Recovery Bonus</v>
      </c>
      <c r="F5" t="str">
        <v>Ingredient Finder M</v>
      </c>
      <c r="G5" t="str">
        <v>Ingredient Finder S</v>
      </c>
      <c r="H5" t="str">
        <v>Inventory Up M</v>
      </c>
      <c r="I5" t="str">
        <v>Skill Level Up S</v>
      </c>
      <c r="J5" t="str">
        <v>Jolly</v>
      </c>
      <c r="K5" t="str">
        <v>EXP Gains</v>
      </c>
      <c r="L5" t="str">
        <v>Ingredient Finding</v>
      </c>
      <c r="M5">
        <v>3.5</v>
      </c>
      <c r="O5" s="18" t="s">
        <v>386</v>
      </c>
      <c r="P5">
        <f>COUNTIF(Data!S2:S200,"Skill")</f>
        <v>8</v>
      </c>
    </row>
    <row r="6" spans="1:16">
      <c r="A6" t="str">
        <v>Cubone</v>
      </c>
      <c r="B6">
        <v>5</v>
      </c>
      <c r="C6" t="str">
        <v>Ground</v>
      </c>
      <c r="D6" t="str">
        <v>Figy</v>
      </c>
      <c r="E6" t="str">
        <v>Skill Level Up M</v>
      </c>
      <c r="F6" t="str">
        <v>Helping Speed S</v>
      </c>
      <c r="G6" t="str">
        <v>Helping Bonus</v>
      </c>
      <c r="H6" t="str">
        <v>Sleep EXP Bonus</v>
      </c>
      <c r="I6" t="str">
        <v>Skill Trigger M</v>
      </c>
      <c r="J6" t="str">
        <v>Impish</v>
      </c>
      <c r="K6" t="str">
        <v>Energy Recovery</v>
      </c>
      <c r="L6" t="str">
        <v>Ingredient Finding</v>
      </c>
      <c r="M6">
        <v>5</v>
      </c>
      <c r="O6" s="18" t="s">
        <v>387</v>
      </c>
      <c r="P6" s="20">
        <f>IFERROR(AVERAGEIF(Data!S2:S200,"Skill",Data!B2:B200),0)</f>
        <v>9.625</v>
      </c>
    </row>
    <row r="7" spans="1:16">
      <c r="A7" t="str">
        <v>Riolu</v>
      </c>
      <c r="B7">
        <v>5</v>
      </c>
      <c r="C7" t="str">
        <v>Fighting</v>
      </c>
      <c r="D7" t="str">
        <v>Cheri</v>
      </c>
      <c r="E7" t="str">
        <v>Inventory Up L</v>
      </c>
      <c r="F7" t="str">
        <v>Skill Level Up S</v>
      </c>
      <c r="G7" t="str">
        <v>Inventory Up M</v>
      </c>
      <c r="H7" t="str">
        <v>Skill Trigger M</v>
      </c>
      <c r="I7" t="str">
        <v>Ingredient Finder S</v>
      </c>
      <c r="J7" t="str">
        <v>Sassy</v>
      </c>
      <c r="K7" t="str">
        <v>Main Skill Chance</v>
      </c>
      <c r="L7" t="str">
        <v>EXP Gains</v>
      </c>
      <c r="M7">
        <v>4</v>
      </c>
      <c r="O7" s="18" t="s">
        <v>388</v>
      </c>
      <c r="P7">
        <f t="array" ref="P7">IFERROR(MAX(_xlfn._xlws.FILTER(Data!R2:R200, Data!S2:S200="Skill")),0)</f>
        <v>5</v>
      </c>
    </row>
    <row r="8" spans="1:16">
      <c r="A8" t="str">
        <v>Ivysaur</v>
      </c>
      <c r="B8">
        <v>15</v>
      </c>
      <c r="C8" t="str">
        <v>Grass</v>
      </c>
      <c r="D8" t="str">
        <v>Durin</v>
      </c>
      <c r="E8" t="str">
        <v>Skill Level Up S</v>
      </c>
      <c r="F8" t="str">
        <v>Helping Speed S</v>
      </c>
      <c r="G8" t="str">
        <v>Research EXP Bonus</v>
      </c>
      <c r="H8" t="str">
        <v>Skill Trigger S</v>
      </c>
      <c r="I8" t="str">
        <v>Inventory Up M</v>
      </c>
      <c r="J8" t="str">
        <v>Sassy</v>
      </c>
      <c r="K8" t="str">
        <v>Main Skill Chance</v>
      </c>
      <c r="L8" t="str">
        <v>EXP Gains</v>
      </c>
      <c r="M8">
        <v>4</v>
      </c>
      <c r="O8" s="18" t="s">
        <v>389</v>
      </c>
      <c r="P8" t="str">
        <f t="array" ref="P8">IFERROR(INDEX(_xlfn._xlws.FILTER(Data!A2:A200, Data!S2:S200="Skill"), MATCH(MAX(_xlfn._xlws.FILTER(Data!R2:R200, Data!S2:S200="Skill")), _xlfn._xlws.FILTER(Data!R2:R200, Data!S2:S200="Skill"), 0)),"")</f>
        <v>Cubone</v>
      </c>
    </row>
    <row r="9" spans="1:16">
      <c r="A9" t="str">
        <v>Charmander</v>
      </c>
      <c r="B9">
        <v>7</v>
      </c>
      <c r="C9" t="str">
        <v>Fire</v>
      </c>
      <c r="D9" t="str">
        <v>Leppa</v>
      </c>
      <c r="E9" t="str">
        <v>Helping Speed S</v>
      </c>
      <c r="F9" t="str">
        <v>Skill Trigger S</v>
      </c>
      <c r="G9" t="str">
        <v>Helping Speed M</v>
      </c>
      <c r="H9" t="str">
        <v>Ingredient Finder S</v>
      </c>
      <c r="I9" t="str">
        <v>Skill Trigger M</v>
      </c>
      <c r="J9" t="str">
        <v>Timid</v>
      </c>
      <c r="K9" t="str">
        <v>EXP Gains</v>
      </c>
      <c r="L9" t="str">
        <v>Speed of Help</v>
      </c>
      <c r="M9">
        <v>4</v>
      </c>
    </row>
    <row r="10" spans="1:16">
      <c r="A10" t="str">
        <v>Bonsly</v>
      </c>
      <c r="B10">
        <v>7</v>
      </c>
      <c r="C10" t="str">
        <v>Rock</v>
      </c>
      <c r="D10" t="str">
        <v>Sitrus</v>
      </c>
      <c r="E10" t="str">
        <v>Helping Speed S</v>
      </c>
      <c r="F10" t="str">
        <v>Ingredient Finder S</v>
      </c>
      <c r="G10" t="str">
        <v>Inventory Up M</v>
      </c>
      <c r="H10" t="str">
        <v>Skill Trigger M</v>
      </c>
      <c r="I10" t="str">
        <v>Skill Level Up M</v>
      </c>
      <c r="J10" t="str">
        <v>Adamant</v>
      </c>
      <c r="K10" t="str">
        <v>Speed of Help</v>
      </c>
      <c r="L10" t="str">
        <v>Ingredient Finding</v>
      </c>
      <c r="M10">
        <v>4</v>
      </c>
    </row>
    <row r="11" spans="1:16">
      <c r="A11" t="str">
        <v>Latias</v>
      </c>
      <c r="B11">
        <v>18</v>
      </c>
      <c r="C11" t="str">
        <v>Dragon</v>
      </c>
      <c r="D11" t="str">
        <v>Yache</v>
      </c>
      <c r="E11" t="str">
        <v>Sleep EXP Bonus</v>
      </c>
      <c r="F11" t="str">
        <v>Skill Level Up S</v>
      </c>
      <c r="G11" t="str">
        <v>Inventory Up L</v>
      </c>
      <c r="H11" t="str">
        <v>Helping Speed S</v>
      </c>
      <c r="I11" t="str">
        <v>Skill Trigger S</v>
      </c>
      <c r="J11" t="str">
        <v>Hardy</v>
      </c>
      <c r="K11" t="str">
        <v>Neutral</v>
      </c>
      <c r="L11" t="str">
        <v>Neutral</v>
      </c>
      <c r="M11">
        <v>3</v>
      </c>
    </row>
    <row r="12" spans="1:16">
      <c r="A12" t="str">
        <v>Wobbuffet</v>
      </c>
      <c r="B12">
        <v>10</v>
      </c>
      <c r="C12" t="str">
        <v>Psychic</v>
      </c>
      <c r="D12" t="str">
        <v>Mago</v>
      </c>
      <c r="E12" t="str">
        <v>Skill Trigger S</v>
      </c>
      <c r="F12" t="str">
        <v>Helping Speed S</v>
      </c>
      <c r="G12" t="str">
        <v>Ingredient Finder S</v>
      </c>
      <c r="H12" t="str">
        <v>Inventory Up S</v>
      </c>
      <c r="I12" t="str">
        <v>Skill Level Up M</v>
      </c>
      <c r="J12" t="str">
        <v>Quirky</v>
      </c>
      <c r="K12" t="str">
        <v>Neutral</v>
      </c>
      <c r="L12" t="str">
        <v>Neutral</v>
      </c>
      <c r="M1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D700"/>
  </sheetPr>
  <dimension ref="A1:O100"/>
  <sheetViews>
    <sheetView topLeftCell="A19" workbookViewId="0">
      <selection activeCell="E7" sqref="E7"/>
    </sheetView>
  </sheetViews>
  <sheetFormatPr defaultRowHeight="15"/>
  <cols>
    <col min="1" max="1" width="17.140625" customWidth="1"/>
    <col min="2" max="2" width="6.7109375" customWidth="1"/>
    <col min="3" max="3" width="11.42578125" customWidth="1"/>
    <col min="4" max="4" width="13.28515625" customWidth="1"/>
    <col min="5" max="6" width="22.85546875" customWidth="1"/>
    <col min="7" max="8" width="21" customWidth="1"/>
    <col min="9" max="9" width="8.5703125" customWidth="1"/>
    <col min="10" max="10" width="53.28515625" customWidth="1"/>
    <col min="11" max="12" width="22.85546875" customWidth="1"/>
    <col min="13" max="13" width="19" customWidth="1"/>
    <col min="14" max="14" width="41.85546875" customWidth="1"/>
    <col min="15" max="15" width="9.5703125" customWidth="1"/>
  </cols>
  <sheetData>
    <row r="1" spans="1:15" ht="15" customHeight="1">
      <c r="A1" s="28" t="s">
        <v>400</v>
      </c>
    </row>
    <row r="2" spans="1:15" ht="15" customHeight="1">
      <c r="A2" s="17" t="s">
        <v>401</v>
      </c>
    </row>
    <row r="3" spans="1:15" ht="15" customHeight="1"/>
    <row r="4" spans="1:15" ht="15" customHeight="1">
      <c r="A4" s="29" t="s">
        <v>402</v>
      </c>
      <c r="J4" s="37" t="s">
        <v>403</v>
      </c>
      <c r="L4" s="37" t="s">
        <v>403</v>
      </c>
    </row>
    <row r="5" spans="1:15" ht="15" customHeight="1">
      <c r="A5" s="30" t="s">
        <v>27</v>
      </c>
      <c r="B5" s="30" t="s">
        <v>32</v>
      </c>
      <c r="C5" s="30" t="s">
        <v>33</v>
      </c>
      <c r="D5" s="30" t="s">
        <v>49</v>
      </c>
      <c r="E5" s="30" t="s">
        <v>395</v>
      </c>
      <c r="F5" s="30" t="s">
        <v>396</v>
      </c>
      <c r="G5" s="30" t="s">
        <v>28</v>
      </c>
      <c r="H5" s="30" t="s">
        <v>384</v>
      </c>
      <c r="I5" s="30" t="s">
        <v>4</v>
      </c>
      <c r="J5" s="30" t="s">
        <v>52</v>
      </c>
      <c r="L5" s="38" t="s">
        <v>27</v>
      </c>
      <c r="M5" s="38" t="s">
        <v>404</v>
      </c>
      <c r="N5" s="38" t="s">
        <v>405</v>
      </c>
      <c r="O5" s="38" t="s">
        <v>406</v>
      </c>
    </row>
    <row r="6" spans="1:15" ht="15" customHeight="1">
      <c r="A6" t="str" cm="1">
        <f t="array" ref="A6:J8">IFERROR(_xlfn._xlws.FILTER(CHOOSE({1,2,3,4,5,6,7,8,9,10}, Data!A2:A200, Data!B2:B200, Data!C2:C200, Data!S2:S200, Data!H2:H200, Data!I2:I200, Data!N2:N200, Data!O2:O200, Data!T2:T200, Data!V2:V200), Data!U2:U200="⭐ Keep"), "")</f>
        <v>Pikachu</v>
      </c>
      <c r="B6">
        <v>15</v>
      </c>
      <c r="C6" t="str">
        <v>Electric</v>
      </c>
      <c r="D6" t="str">
        <v>Ingredient</v>
      </c>
      <c r="E6" t="str">
        <v>Inventory Up S</v>
      </c>
      <c r="F6" t="str">
        <v>Ingredient Finder S</v>
      </c>
      <c r="G6" t="str">
        <v>Ingredient Finding</v>
      </c>
      <c r="H6" t="str">
        <v>Speed of Help</v>
      </c>
      <c r="I6">
        <v>8</v>
      </c>
      <c r="J6" t="str">
        <v>Evolve naar Raichu = snelste berry helper!; Perfecte nature voor Ingredient team!</v>
      </c>
      <c r="L6" t="str">
        <f>IF(COUNTIF(Data!A2:A200,"Pikachu")&gt;0,"Pikachu (✓)","Pikachu (✗)")</f>
        <v>Pikachu (✓)</v>
      </c>
      <c r="M6" t="s">
        <v>205</v>
      </c>
      <c r="N6" t="s">
        <v>407</v>
      </c>
      <c r="O6" t="s">
        <v>408</v>
      </c>
    </row>
    <row r="7" spans="1:15" ht="15" customHeight="1">
      <c r="A7" t="str">
        <v>Riolu</v>
      </c>
      <c r="B7">
        <v>6</v>
      </c>
      <c r="C7" t="str">
        <v>Fighting</v>
      </c>
      <c r="D7" t="str">
        <v>Berry</v>
      </c>
      <c r="E7" t="str">
        <v>Helping Speed M</v>
      </c>
      <c r="F7" t="str">
        <v>Inventory Up M</v>
      </c>
      <c r="G7" t="str">
        <v>Speed of Help</v>
      </c>
      <c r="H7" t="str">
        <v>Ingredient Finding</v>
      </c>
      <c r="I7">
        <v>7</v>
      </c>
      <c r="J7" t="str">
        <v>Evolve → Lucario = sterke fighter; Perfecte nature voor Berry team!</v>
      </c>
      <c r="L7" t="str">
        <f>IF(COUNTIF(Data!A2:A200,"Igglybuff")&gt;0,"Igglybuff (✓)","Igglybuff (✗)")</f>
        <v>Igglybuff (✓)</v>
      </c>
      <c r="M7" t="s">
        <v>214</v>
      </c>
      <c r="N7" t="s">
        <v>409</v>
      </c>
      <c r="O7" t="s">
        <v>408</v>
      </c>
    </row>
    <row r="8" spans="1:15" ht="15" customHeight="1">
      <c r="A8" t="str">
        <v>Rattata</v>
      </c>
      <c r="B8">
        <v>8</v>
      </c>
      <c r="C8" t="str">
        <v>Normal</v>
      </c>
      <c r="D8" t="str">
        <v>Ingredient</v>
      </c>
      <c r="E8" t="str">
        <v>Helping Speed M</v>
      </c>
      <c r="F8" t="str">
        <v>Helping Speed S</v>
      </c>
      <c r="G8" t="str">
        <v>EXP Gains</v>
      </c>
      <c r="H8" t="str">
        <v>Main Skill Chance</v>
      </c>
      <c r="I8">
        <v>7.5</v>
      </c>
      <c r="J8" t="str">
        <v/>
      </c>
      <c r="L8" t="str">
        <f>IF(COUNTIF(Data!A2:A200,"Eevee")&gt;0,"Eevee (✓)","Eevee (✗)")</f>
        <v>Eevee (✓)</v>
      </c>
      <c r="M8" t="s">
        <v>346</v>
      </c>
      <c r="N8" t="s">
        <v>410</v>
      </c>
      <c r="O8" t="s">
        <v>408</v>
      </c>
    </row>
    <row r="9" spans="1:15" ht="15" customHeight="1">
      <c r="L9" t="str">
        <f>IF(COUNTIF(Data!A2:A200,"Charmander")&gt;0,"Charmander (✓)","Charmander (✗)")</f>
        <v>Charmander (✓)</v>
      </c>
      <c r="M9" t="s">
        <v>177</v>
      </c>
      <c r="N9" t="s">
        <v>411</v>
      </c>
      <c r="O9" t="s">
        <v>408</v>
      </c>
    </row>
    <row r="10" spans="1:15" ht="15" customHeight="1">
      <c r="L10" t="str">
        <f>IF(COUNTIF(Data!A2:A200,"Spheal")&gt;0,"Spheal (✓)","Spheal (✗)")</f>
        <v>Spheal (✓)</v>
      </c>
      <c r="M10" t="s">
        <v>315</v>
      </c>
      <c r="N10" t="s">
        <v>412</v>
      </c>
      <c r="O10" t="s">
        <v>413</v>
      </c>
    </row>
    <row r="11" spans="1:15" ht="15" customHeight="1">
      <c r="L11" t="str">
        <f>IF(COUNTIF(Data!A2:A200,"Mareep")&gt;0,"Mareep (✓)","Mareep (✗)")</f>
        <v>Mareep (✓)</v>
      </c>
      <c r="M11" t="s">
        <v>264</v>
      </c>
      <c r="N11" t="s">
        <v>414</v>
      </c>
      <c r="O11" t="s">
        <v>413</v>
      </c>
    </row>
    <row r="12" spans="1:15" ht="15" customHeight="1">
      <c r="L12" t="str">
        <f>IF(COUNTIF(Data!A2:A200,"Totodile")&gt;0,"Totodile (✓)","Totodile (✗)")</f>
        <v>Totodile (✓)</v>
      </c>
      <c r="M12" t="s">
        <v>258</v>
      </c>
      <c r="N12" t="s">
        <v>415</v>
      </c>
      <c r="O12" t="s">
        <v>413</v>
      </c>
    </row>
    <row r="13" spans="1:15" ht="15" customHeight="1">
      <c r="L13" t="str">
        <f>IF(COUNTIF(Data!A2:A200,"Riolu")&gt;0,"Riolu (✓)","Riolu (✗)")</f>
        <v>Riolu (✓)</v>
      </c>
      <c r="M13" t="s">
        <v>327</v>
      </c>
      <c r="N13" t="s">
        <v>416</v>
      </c>
      <c r="O13" t="s">
        <v>413</v>
      </c>
    </row>
    <row r="14" spans="1:15" ht="15" customHeight="1"/>
    <row r="15" spans="1:15" ht="15" customHeight="1">
      <c r="L15" s="39" t="s">
        <v>417</v>
      </c>
    </row>
    <row r="16" spans="1:15" ht="15" customHeight="1">
      <c r="A16" s="31" t="s">
        <v>418</v>
      </c>
    </row>
    <row r="17" spans="1:13" ht="15" customHeight="1">
      <c r="A17" s="32" t="s">
        <v>27</v>
      </c>
      <c r="B17" s="32" t="s">
        <v>32</v>
      </c>
      <c r="C17" s="32" t="s">
        <v>33</v>
      </c>
      <c r="D17" s="32" t="s">
        <v>49</v>
      </c>
      <c r="E17" s="32" t="s">
        <v>395</v>
      </c>
      <c r="F17" s="32" t="s">
        <v>396</v>
      </c>
      <c r="G17" s="32" t="s">
        <v>28</v>
      </c>
      <c r="H17" s="32" t="s">
        <v>384</v>
      </c>
      <c r="I17" s="32" t="s">
        <v>4</v>
      </c>
      <c r="L17" s="40" t="s">
        <v>419</v>
      </c>
    </row>
    <row r="18" spans="1:13" ht="15" customHeight="1">
      <c r="A18" t="str" cm="1">
        <f t="array" ref="A18:J39">IFERROR(_xlfn._xlws.FILTER(CHOOSE({1,2,3,4,5,6,7,8,9,10}, Data!A2:A200, Data!B2:B200, Data!C2:C200, Data!S2:S200, Data!H2:H200, Data!I2:I200, Data!N2:N200, Data!O2:O200, Data!T2:T200, Data!V2:V200), Data!U2:U200="📈 Level Up"), "")</f>
        <v>Igglybuff</v>
      </c>
      <c r="B18">
        <v>9</v>
      </c>
      <c r="C18" t="str">
        <v>Fairy</v>
      </c>
      <c r="D18" t="str">
        <v>Ingredient</v>
      </c>
      <c r="E18" t="str">
        <v>Helping Speed S</v>
      </c>
      <c r="F18" t="str">
        <v>Ingredient Finder M</v>
      </c>
      <c r="G18" t="str">
        <v>EXP Gains</v>
      </c>
      <c r="H18" t="str">
        <v>Main Skill Chance</v>
      </c>
      <c r="I18">
        <v>5.5</v>
      </c>
      <c r="J18" t="str">
        <v>Evolve → Wigglytuff = Energy for Everyone S (top skill!)</v>
      </c>
      <c r="L18" s="41" t="s">
        <v>420</v>
      </c>
      <c r="M18">
        <f>COUNTIF(Data!U2:U200,"⭐ Keep")</f>
        <v>3</v>
      </c>
    </row>
    <row r="19" spans="1:13" ht="15" customHeight="1">
      <c r="A19" t="str">
        <v>Cubone</v>
      </c>
      <c r="B19">
        <v>11</v>
      </c>
      <c r="C19" t="str">
        <v>Ground</v>
      </c>
      <c r="D19" t="str">
        <v>Berry</v>
      </c>
      <c r="E19" t="str">
        <v>Helping Speed M</v>
      </c>
      <c r="F19" t="str">
        <v>Ingredient Finder S</v>
      </c>
      <c r="G19" t="str">
        <v>Speed of Help</v>
      </c>
      <c r="H19" t="str">
        <v>Main Skill Chance</v>
      </c>
      <c r="I19">
        <v>5.5</v>
      </c>
      <c r="J19" t="str">
        <v>Perfecte nature voor Berry team!</v>
      </c>
      <c r="L19" s="42" t="s">
        <v>421</v>
      </c>
      <c r="M19">
        <f>COUNTIF(Data!U2:U200,"📈 Level Up")</f>
        <v>22</v>
      </c>
    </row>
    <row r="20" spans="1:13" ht="15" customHeight="1">
      <c r="A20" t="str">
        <v>Noibat</v>
      </c>
      <c r="B20">
        <v>14</v>
      </c>
      <c r="C20" t="str">
        <v>Dragon</v>
      </c>
      <c r="D20" t="str">
        <v>Ingredient</v>
      </c>
      <c r="E20" t="str">
        <v>Inventory Up S</v>
      </c>
      <c r="F20" t="str">
        <v>Inventory Up M</v>
      </c>
      <c r="G20" t="str">
        <v>Neutral</v>
      </c>
      <c r="H20" t="str">
        <v>Neutral</v>
      </c>
      <c r="I20">
        <v>5</v>
      </c>
      <c r="J20" t="str">
        <v>Neutrale nature = ok maar niet ideaal</v>
      </c>
      <c r="L20" s="43" t="s">
        <v>422</v>
      </c>
      <c r="M20">
        <f>COUNTIF(Data!U2:U200,"🤔 Bench")</f>
        <v>24</v>
      </c>
    </row>
    <row r="21" spans="1:13" ht="15" customHeight="1">
      <c r="A21" t="str">
        <v>Rattata</v>
      </c>
      <c r="B21">
        <v>8</v>
      </c>
      <c r="C21" t="str">
        <v>Normal</v>
      </c>
      <c r="D21" t="str">
        <v>Ingredient</v>
      </c>
      <c r="E21" t="str">
        <v>Helping Speed S</v>
      </c>
      <c r="F21" t="str">
        <v>Ingredient Finder M</v>
      </c>
      <c r="G21" t="str">
        <v>Ingredient Finding</v>
      </c>
      <c r="H21" t="str">
        <v>Energy Recovery</v>
      </c>
      <c r="I21">
        <v>6</v>
      </c>
      <c r="J21" t="str">
        <v>Perfecte nature voor Ingredient team!</v>
      </c>
      <c r="L21" s="44" t="s">
        <v>423</v>
      </c>
      <c r="M21">
        <f>COUNTIF(Data!U2:U200,"❌ Transfer")</f>
        <v>5</v>
      </c>
    </row>
    <row r="22" spans="1:13" ht="15" customHeight="1">
      <c r="A22" t="str">
        <v>Gulpin</v>
      </c>
      <c r="B22">
        <v>9</v>
      </c>
      <c r="C22" t="str">
        <v>Poison</v>
      </c>
      <c r="D22" t="str">
        <v>Ingredient</v>
      </c>
      <c r="E22" t="str">
        <v>Ingredient Finder M</v>
      </c>
      <c r="F22" t="str">
        <v>Ingredient Finder S</v>
      </c>
      <c r="G22" t="str">
        <v>EXP Gains</v>
      </c>
      <c r="H22" t="str">
        <v>Energy Recovery</v>
      </c>
      <c r="I22">
        <v>5.5</v>
      </c>
      <c r="J22" t="str">
        <v/>
      </c>
      <c r="L22" s="18" t="s">
        <v>424</v>
      </c>
      <c r="M22">
        <f>COUNTA(Data!A2:A200)</f>
        <v>54</v>
      </c>
    </row>
    <row r="23" spans="1:13" ht="15" customHeight="1">
      <c r="A23" t="str">
        <v>Igglybuff</v>
      </c>
      <c r="B23">
        <v>4</v>
      </c>
      <c r="C23" t="str">
        <v>Fairy</v>
      </c>
      <c r="D23" t="str">
        <v>Ingredient</v>
      </c>
      <c r="E23" t="str">
        <v>Ingredient Finder M</v>
      </c>
      <c r="F23" t="str">
        <v>Skill Level Up S</v>
      </c>
      <c r="G23" t="str">
        <v>Ingredient Finding</v>
      </c>
      <c r="H23" t="str">
        <v>Main Skill Chance</v>
      </c>
      <c r="I23">
        <v>5.5</v>
      </c>
      <c r="J23" t="str">
        <v>Evolve → Wigglytuff = Energy for Everyone S (top skill!); Perfecte nature voor Ingredient team!</v>
      </c>
    </row>
    <row r="24" spans="1:13" ht="15" customHeight="1">
      <c r="A24" t="str">
        <v>Treecko</v>
      </c>
      <c r="B24">
        <v>5</v>
      </c>
      <c r="C24" t="str">
        <v>Grass</v>
      </c>
      <c r="D24" t="str">
        <v>Ingredient</v>
      </c>
      <c r="E24" t="str">
        <v>Inventory Up L</v>
      </c>
      <c r="F24" t="str">
        <v>Ingredient Finder S</v>
      </c>
      <c r="G24" t="str">
        <v>Speed of Help</v>
      </c>
      <c r="H24" t="str">
        <v>Main Skill Chance</v>
      </c>
      <c r="I24">
        <v>6</v>
      </c>
      <c r="J24" t="str">
        <v>Perfecte nature voor Ingredient team!</v>
      </c>
    </row>
    <row r="25" spans="1:13" ht="15" customHeight="1">
      <c r="A25" t="str">
        <v>Mareep</v>
      </c>
      <c r="B25">
        <v>11</v>
      </c>
      <c r="C25" t="str">
        <v>Electric</v>
      </c>
      <c r="D25" t="str">
        <v>Ingredient</v>
      </c>
      <c r="E25" t="str">
        <v>Helping Speed S</v>
      </c>
      <c r="F25" t="str">
        <v>Ingredient Finder S</v>
      </c>
      <c r="G25" t="str">
        <v>EXP Gains</v>
      </c>
      <c r="H25" t="str">
        <v>Main Skill Chance</v>
      </c>
      <c r="I25">
        <v>5</v>
      </c>
      <c r="J25" t="str">
        <v>Evolve → Ampharos = hoge frequentie + waardevolle ingrediënten</v>
      </c>
    </row>
    <row r="26" spans="1:13" ht="15" customHeight="1">
      <c r="A26" t="str">
        <v>Igglybuff</v>
      </c>
      <c r="B26">
        <v>4</v>
      </c>
      <c r="C26" t="str">
        <v>Fairy</v>
      </c>
      <c r="D26" t="str">
        <v>Berry</v>
      </c>
      <c r="E26" t="str">
        <v>Ingredient Finder S</v>
      </c>
      <c r="F26" t="str">
        <v>Helping Speed S</v>
      </c>
      <c r="G26" t="str">
        <v>Speed of Help</v>
      </c>
      <c r="H26" t="str">
        <v>Ingredient Finding</v>
      </c>
      <c r="I26">
        <v>6</v>
      </c>
      <c r="J26" t="str">
        <v>Evolve → Wigglytuff = Energy for Everyone S (top skill!); Perfecte nature voor Berry team!</v>
      </c>
    </row>
    <row r="27" spans="1:13" ht="15" customHeight="1">
      <c r="A27" t="str">
        <v>Rattata</v>
      </c>
      <c r="B27">
        <v>6</v>
      </c>
      <c r="C27" t="str">
        <v>Normal</v>
      </c>
      <c r="D27" t="str">
        <v>Ingredient</v>
      </c>
      <c r="E27" t="str">
        <v>Skill Level Up S</v>
      </c>
      <c r="F27" t="str">
        <v>Skill Trigger S</v>
      </c>
      <c r="G27" t="str">
        <v>EXP Gains</v>
      </c>
      <c r="H27" t="str">
        <v>Main Skill Chance</v>
      </c>
      <c r="I27">
        <v>6.5</v>
      </c>
      <c r="J27" t="str">
        <v/>
      </c>
    </row>
    <row r="28" spans="1:13" ht="15" customHeight="1">
      <c r="A28" t="str">
        <v>Cubone</v>
      </c>
      <c r="B28">
        <v>5</v>
      </c>
      <c r="C28" t="str">
        <v>Ground</v>
      </c>
      <c r="D28" t="str">
        <v>Skill</v>
      </c>
      <c r="E28" t="str">
        <v>Skill Level Up M</v>
      </c>
      <c r="F28" t="str">
        <v>Helping Speed S</v>
      </c>
      <c r="G28" t="str">
        <v>Energy Recovery</v>
      </c>
      <c r="H28" t="str">
        <v>Ingredient Finding</v>
      </c>
      <c r="I28">
        <v>5</v>
      </c>
      <c r="J28" t="str">
        <v/>
      </c>
    </row>
    <row r="29" spans="1:13" ht="15" customHeight="1">
      <c r="A29" t="str">
        <v>Togepi</v>
      </c>
      <c r="B29">
        <v>8</v>
      </c>
      <c r="C29" t="str">
        <v>Fairy</v>
      </c>
      <c r="D29" t="str">
        <v>Berry</v>
      </c>
      <c r="E29" t="str">
        <v>Inventory Up L</v>
      </c>
      <c r="F29" t="str">
        <v>Ingredient Finder S</v>
      </c>
      <c r="G29" t="str">
        <v>Speed of Help</v>
      </c>
      <c r="H29" t="str">
        <v>Ingredient Finding</v>
      </c>
      <c r="I29">
        <v>6</v>
      </c>
      <c r="J29" t="str">
        <v>Let op: Togekiss Metronome is onbetrouwbaar; Perfecte nature voor Berry team!</v>
      </c>
    </row>
    <row r="30" spans="1:13" ht="15" customHeight="1">
      <c r="A30" t="str">
        <v>Totodile</v>
      </c>
      <c r="B30">
        <v>6</v>
      </c>
      <c r="C30" t="str">
        <v>Water</v>
      </c>
      <c r="D30" t="str">
        <v>Ingredient</v>
      </c>
      <c r="E30" t="str">
        <v>Skill Trigger S</v>
      </c>
      <c r="F30" t="str">
        <v>Inventory Up M</v>
      </c>
      <c r="G30" t="str">
        <v>Ingredient Finding</v>
      </c>
      <c r="H30" t="str">
        <v>Energy Recovery</v>
      </c>
      <c r="I30">
        <v>6.5</v>
      </c>
      <c r="J30" t="str">
        <v>Evolve → Feraligatr = top berry voor Cyan Beach; Perfecte nature voor Ingredient team!</v>
      </c>
    </row>
    <row r="31" spans="1:13" ht="15" customHeight="1">
      <c r="A31" t="str">
        <v>Riolu</v>
      </c>
      <c r="B31">
        <v>5</v>
      </c>
      <c r="C31" t="str">
        <v>Fighting</v>
      </c>
      <c r="D31" t="str">
        <v>Skill</v>
      </c>
      <c r="E31" t="str">
        <v>Inventory Up L</v>
      </c>
      <c r="F31" t="str">
        <v>Skill Level Up S</v>
      </c>
      <c r="G31" t="str">
        <v>Main Skill Chance</v>
      </c>
      <c r="H31" t="str">
        <v>EXP Gains</v>
      </c>
      <c r="I31">
        <v>5</v>
      </c>
      <c r="J31" t="str">
        <v>Evolve → Lucario = sterke fighter; Perfecte nature voor Skill team!</v>
      </c>
    </row>
    <row r="32" spans="1:13" ht="15" customHeight="1">
      <c r="A32" t="str">
        <v>Psyduck</v>
      </c>
      <c r="B32">
        <v>7</v>
      </c>
      <c r="C32" t="str">
        <v>Water</v>
      </c>
      <c r="D32" t="str">
        <v>Ingredient</v>
      </c>
      <c r="E32" t="str">
        <v>Energy Recovery Bonus</v>
      </c>
      <c r="F32" t="str">
        <v>Inventory Up L</v>
      </c>
      <c r="G32" t="str">
        <v>EXP Gains</v>
      </c>
      <c r="H32" t="str">
        <v>Main Skill Chance</v>
      </c>
      <c r="I32">
        <v>6.5</v>
      </c>
      <c r="J32" t="str">
        <v/>
      </c>
    </row>
    <row r="33" spans="1:10" ht="15" customHeight="1">
      <c r="A33" t="str">
        <v>Ivysaur</v>
      </c>
      <c r="B33">
        <v>15</v>
      </c>
      <c r="C33" t="str">
        <v>Grass</v>
      </c>
      <c r="D33" t="str">
        <v>Skill</v>
      </c>
      <c r="E33" t="str">
        <v>Skill Level Up S</v>
      </c>
      <c r="F33" t="str">
        <v>Helping Speed S</v>
      </c>
      <c r="G33" t="str">
        <v>Main Skill Chance</v>
      </c>
      <c r="H33" t="str">
        <v>EXP Gains</v>
      </c>
      <c r="I33">
        <v>5.5</v>
      </c>
      <c r="J33" t="str">
        <v>Evolve → Venusaur = 2x ingrediënten specialist; Perfecte nature voor Skill team!</v>
      </c>
    </row>
    <row r="34" spans="1:10" ht="15" customHeight="1">
      <c r="A34" t="str">
        <v>Marshtomp</v>
      </c>
      <c r="B34">
        <v>12</v>
      </c>
      <c r="C34" t="str">
        <v>Ground</v>
      </c>
      <c r="D34" t="str">
        <v>Ingredient</v>
      </c>
      <c r="E34" t="str">
        <v>Skill Trigger M</v>
      </c>
      <c r="F34" t="str">
        <v>Ingredient Finder S</v>
      </c>
      <c r="G34" t="str">
        <v>Speed of Help</v>
      </c>
      <c r="H34" t="str">
        <v>Main Skill Chance</v>
      </c>
      <c r="I34">
        <v>6.5</v>
      </c>
      <c r="J34" t="str">
        <v>Perfecte nature voor Ingredient team!</v>
      </c>
    </row>
    <row r="35" spans="1:10" ht="15" customHeight="1">
      <c r="A35" t="str">
        <v>Magnemite</v>
      </c>
      <c r="B35">
        <v>13</v>
      </c>
      <c r="C35" t="str">
        <v>Electric</v>
      </c>
      <c r="D35" t="str">
        <v>Ingredient</v>
      </c>
      <c r="E35" t="str">
        <v>Inventory Up L</v>
      </c>
      <c r="F35" t="str">
        <v>Skill Level Up M</v>
      </c>
      <c r="G35" t="str">
        <v>Neutral</v>
      </c>
      <c r="H35" t="str">
        <v>Neutral</v>
      </c>
      <c r="I35">
        <v>5</v>
      </c>
      <c r="J35" t="str">
        <v>Evolve → Magnezone = sterke skill helper; Neutrale nature = ok maar niet ideaal</v>
      </c>
    </row>
    <row r="36" spans="1:10" ht="15" customHeight="1">
      <c r="A36" t="str">
        <v>Psyduck</v>
      </c>
      <c r="B36">
        <v>5</v>
      </c>
      <c r="C36" t="str">
        <v>Water</v>
      </c>
      <c r="D36" t="str">
        <v>Berry</v>
      </c>
      <c r="E36" t="str">
        <v>Ingredient Finder S</v>
      </c>
      <c r="F36" t="str">
        <v>Helping Speed M</v>
      </c>
      <c r="G36" t="str">
        <v>Speed of Help</v>
      </c>
      <c r="H36" t="str">
        <v>Main Skill Chance</v>
      </c>
      <c r="I36">
        <v>5</v>
      </c>
      <c r="J36" t="str">
        <v>Perfecte nature voor Berry team!</v>
      </c>
    </row>
    <row r="37" spans="1:10" ht="15" customHeight="1">
      <c r="A37" t="str">
        <v>Bonsly</v>
      </c>
      <c r="B37">
        <v>7</v>
      </c>
      <c r="C37" t="str">
        <v>Rock</v>
      </c>
      <c r="D37" t="str">
        <v>Skill</v>
      </c>
      <c r="E37" t="str">
        <v>Helping Speed S</v>
      </c>
      <c r="F37" t="str">
        <v>Ingredient Finder S</v>
      </c>
      <c r="G37" t="str">
        <v>Speed of Help</v>
      </c>
      <c r="H37" t="str">
        <v>Ingredient Finding</v>
      </c>
      <c r="I37">
        <v>5</v>
      </c>
      <c r="J37" t="str">
        <v/>
      </c>
    </row>
    <row r="38" spans="1:10" ht="15" customHeight="1">
      <c r="A38" t="str">
        <v>Latias</v>
      </c>
      <c r="B38">
        <v>26</v>
      </c>
      <c r="C38" t="str">
        <v>Dragon</v>
      </c>
      <c r="D38" t="str">
        <v>Ingredient</v>
      </c>
      <c r="E38" t="str">
        <v>Sleep EXP Bonus</v>
      </c>
      <c r="F38" t="str">
        <v>Ingredient Finder M</v>
      </c>
      <c r="G38" t="str">
        <v>Speed of Help</v>
      </c>
      <c r="H38" t="str">
        <v>Main Skill Chance</v>
      </c>
      <c r="I38">
        <v>5.5</v>
      </c>
      <c r="J38" t="str">
        <v>Perfecte nature voor Ingredient team!</v>
      </c>
    </row>
    <row r="39" spans="1:10" ht="15" customHeight="1">
      <c r="A39" t="str">
        <v>Ivysaur</v>
      </c>
      <c r="B39">
        <v>24</v>
      </c>
      <c r="C39" t="str">
        <v>Grass</v>
      </c>
      <c r="D39" t="str">
        <v>Ingredient</v>
      </c>
      <c r="E39" t="str">
        <v>Helping Speed S</v>
      </c>
      <c r="F39" t="str">
        <v>Helping Speed M</v>
      </c>
      <c r="G39" t="str">
        <v>Ingredient Finding</v>
      </c>
      <c r="H39" t="str">
        <v>Energy Recovery</v>
      </c>
      <c r="I39">
        <v>6.5</v>
      </c>
      <c r="J39" t="str">
        <v>Evolve → Venusaur = 2x ingrediënten specialist; Perfecte nature voor Ingredient team!</v>
      </c>
    </row>
    <row r="40" spans="1:10" ht="15" customHeight="1"/>
    <row r="41" spans="1:10" ht="15" customHeight="1"/>
    <row r="42" spans="1:10" ht="15" customHeight="1"/>
    <row r="43" spans="1:10" ht="15" customHeight="1"/>
    <row r="44" spans="1:10" ht="15" customHeight="1"/>
    <row r="45" spans="1:10" ht="15" customHeight="1">
      <c r="A45" s="33" t="s">
        <v>425</v>
      </c>
    </row>
    <row r="46" spans="1:10" ht="15" customHeight="1">
      <c r="A46" s="34" t="s">
        <v>27</v>
      </c>
      <c r="B46" s="34" t="s">
        <v>32</v>
      </c>
      <c r="C46" s="34" t="s">
        <v>33</v>
      </c>
      <c r="D46" s="34" t="s">
        <v>49</v>
      </c>
      <c r="E46" s="34" t="s">
        <v>395</v>
      </c>
      <c r="F46" s="34" t="s">
        <v>396</v>
      </c>
      <c r="G46" s="34" t="s">
        <v>28</v>
      </c>
      <c r="H46" s="34" t="s">
        <v>384</v>
      </c>
      <c r="I46" s="34" t="s">
        <v>4</v>
      </c>
      <c r="J46" s="34" t="s">
        <v>426</v>
      </c>
    </row>
    <row r="47" spans="1:10" ht="15" customHeight="1">
      <c r="A47" t="str" cm="1">
        <f t="array" ref="A47:J70">IFERROR(_xlfn._xlws.FILTER(CHOOSE({1,2,3,4,5,6,7,8,9,10}, Data!A2:A200, Data!B2:B200, Data!C2:C200, Data!S2:S200, Data!H2:H200, Data!I2:I200, Data!N2:N200, Data!O2:O200, Data!T2:T200, Data!V2:V200), Data!U2:U200="🤔 Bench"), "")</f>
        <v>Squirtle</v>
      </c>
      <c r="B47">
        <v>8</v>
      </c>
      <c r="C47" t="str">
        <v>Water</v>
      </c>
      <c r="D47" t="str">
        <v>Ingredient</v>
      </c>
      <c r="E47" t="str">
        <v>Ingredient Finder S</v>
      </c>
      <c r="F47" t="str">
        <v>Skill Trigger S</v>
      </c>
      <c r="G47" t="str">
        <v>Neutral</v>
      </c>
      <c r="H47" t="str">
        <v>Neutral</v>
      </c>
      <c r="I47">
        <v>4</v>
      </c>
      <c r="J47" t="str">
        <v>Kanto starter: 2x ingrediënten + Ingredient Magnet S; Neutrale nature = ok maar niet ideaal</v>
      </c>
    </row>
    <row r="48" spans="1:10" ht="15" customHeight="1">
      <c r="A48" t="str">
        <v>Spheal</v>
      </c>
      <c r="B48">
        <v>11</v>
      </c>
      <c r="C48" t="str">
        <v>Water</v>
      </c>
      <c r="D48" t="str">
        <v>Ingredient</v>
      </c>
      <c r="E48" t="str">
        <v>Ingredient Finder S</v>
      </c>
      <c r="F48" t="str">
        <v>Helping Speed S</v>
      </c>
      <c r="G48" t="str">
        <v>Energy Recovery</v>
      </c>
      <c r="H48" t="str">
        <v>Speed of Help</v>
      </c>
      <c r="I48">
        <v>4</v>
      </c>
      <c r="J48" t="str">
        <v>Evolve → Walrein = key voor Snowdrop Tundra (berry+ingr)</v>
      </c>
    </row>
    <row r="49" spans="1:10" ht="15" customHeight="1">
      <c r="A49" t="str">
        <v>Swablu</v>
      </c>
      <c r="B49">
        <v>7</v>
      </c>
      <c r="C49" t="str">
        <v>Flying</v>
      </c>
      <c r="D49" t="str">
        <v>Berry</v>
      </c>
      <c r="E49" t="str">
        <v>Skill Trigger S</v>
      </c>
      <c r="F49" t="str">
        <v>Inventory Up S</v>
      </c>
      <c r="G49" t="str">
        <v>Neutral</v>
      </c>
      <c r="H49" t="str">
        <v>Neutral</v>
      </c>
      <c r="I49">
        <v>3</v>
      </c>
      <c r="J49" t="str">
        <v>Neutrale nature = ok maar niet ideaal</v>
      </c>
    </row>
    <row r="50" spans="1:10" ht="15" customHeight="1">
      <c r="A50" t="str">
        <v>Growlithe</v>
      </c>
      <c r="B50">
        <v>10</v>
      </c>
      <c r="C50" t="str">
        <v>Fire</v>
      </c>
      <c r="D50" t="str">
        <v>Skill</v>
      </c>
      <c r="E50" t="str">
        <v>Energy Recovery Bonus</v>
      </c>
      <c r="F50" t="str">
        <v>Ingredient Finder M</v>
      </c>
      <c r="G50" t="str">
        <v>EXP Gains</v>
      </c>
      <c r="H50" t="str">
        <v>Ingredient Finding</v>
      </c>
      <c r="I50">
        <v>4</v>
      </c>
      <c r="J50" t="str">
        <v>Evolve → Arcanine = sterke all-rounder</v>
      </c>
    </row>
    <row r="51" spans="1:10" ht="15" customHeight="1">
      <c r="A51" t="str">
        <v>Psyduck</v>
      </c>
      <c r="B51">
        <v>6</v>
      </c>
      <c r="C51" t="str">
        <v>Water</v>
      </c>
      <c r="D51" t="str">
        <v>Ingredient</v>
      </c>
      <c r="E51" t="str">
        <v>Inventory Up M</v>
      </c>
      <c r="F51" t="str">
        <v>Ingredient Finder M</v>
      </c>
      <c r="G51" t="str">
        <v>Energy Recovery</v>
      </c>
      <c r="H51" t="str">
        <v>EXP Gains</v>
      </c>
      <c r="I51">
        <v>4.5</v>
      </c>
      <c r="J51" t="str">
        <v/>
      </c>
    </row>
    <row r="52" spans="1:10" ht="15" customHeight="1">
      <c r="A52" t="str">
        <v>Treecko</v>
      </c>
      <c r="B52">
        <v>8</v>
      </c>
      <c r="C52" t="str">
        <v>Grass</v>
      </c>
      <c r="D52" t="str">
        <v>Berry</v>
      </c>
      <c r="E52" t="str">
        <v>Helping Speed S</v>
      </c>
      <c r="F52" t="str">
        <v>Skill Trigger S</v>
      </c>
      <c r="G52" t="str">
        <v>Ingredient Finding</v>
      </c>
      <c r="H52" t="str">
        <v>EXP Gains</v>
      </c>
      <c r="I52">
        <v>4</v>
      </c>
      <c r="J52" t="str">
        <v/>
      </c>
    </row>
    <row r="53" spans="1:10" ht="15" customHeight="1">
      <c r="A53" t="str">
        <v>Swablu</v>
      </c>
      <c r="B53">
        <v>5</v>
      </c>
      <c r="C53" t="str">
        <v>Flying</v>
      </c>
      <c r="D53" t="str">
        <v>Ingredient</v>
      </c>
      <c r="E53" t="str">
        <v>Skill Trigger S</v>
      </c>
      <c r="F53" t="str">
        <v>Skill Level Up S</v>
      </c>
      <c r="G53" t="str">
        <v>EXP Gains</v>
      </c>
      <c r="H53" t="str">
        <v>Speed of Help</v>
      </c>
      <c r="I53">
        <v>3.5</v>
      </c>
      <c r="J53" t="str">
        <v/>
      </c>
    </row>
    <row r="54" spans="1:10" ht="15" customHeight="1">
      <c r="A54" t="str">
        <v>Drifloon</v>
      </c>
      <c r="B54">
        <v>6</v>
      </c>
      <c r="C54" t="str">
        <v>Ghost</v>
      </c>
      <c r="D54" t="str">
        <v>Berry</v>
      </c>
      <c r="E54" t="str">
        <v>Ingredient Finder S</v>
      </c>
      <c r="F54" t="str">
        <v>Skill Trigger M</v>
      </c>
      <c r="G54" t="str">
        <v>Speed of Help</v>
      </c>
      <c r="H54" t="str">
        <v>Ingredient Finding</v>
      </c>
      <c r="I54">
        <v>4</v>
      </c>
      <c r="J54" t="str">
        <v>Perfecte nature voor Berry team!</v>
      </c>
    </row>
    <row r="55" spans="1:10" ht="15" customHeight="1">
      <c r="A55" t="str">
        <v>Wynaut</v>
      </c>
      <c r="B55">
        <v>9</v>
      </c>
      <c r="C55" t="str">
        <v>Psychic</v>
      </c>
      <c r="D55" t="str">
        <v>Berry</v>
      </c>
      <c r="E55" t="str">
        <v>Helping Speed M</v>
      </c>
      <c r="F55" t="str">
        <v>Skill Trigger S</v>
      </c>
      <c r="G55" t="str">
        <v>EXP Gains</v>
      </c>
      <c r="H55" t="str">
        <v>Ingredient Finding</v>
      </c>
      <c r="I55">
        <v>4</v>
      </c>
      <c r="J55" t="str">
        <v/>
      </c>
    </row>
    <row r="56" spans="1:10" ht="15" customHeight="1">
      <c r="A56" t="str">
        <v>Pichu</v>
      </c>
      <c r="B56">
        <v>5</v>
      </c>
      <c r="C56" t="str">
        <v>Electric</v>
      </c>
      <c r="D56" t="str">
        <v>Ingredient</v>
      </c>
      <c r="E56" t="str">
        <v>Ingredient Finder M</v>
      </c>
      <c r="F56" t="str">
        <v>Inventory Up S</v>
      </c>
      <c r="G56" t="str">
        <v>Energy Recovery</v>
      </c>
      <c r="H56" t="str">
        <v>Speed of Help</v>
      </c>
      <c r="I56">
        <v>3.5</v>
      </c>
      <c r="J56" t="str">
        <v>Evolve → Pikachu → Raichu (top berry)</v>
      </c>
    </row>
    <row r="57" spans="1:10" ht="15" customHeight="1">
      <c r="A57" t="str">
        <v>Larvitar</v>
      </c>
      <c r="B57">
        <v>7</v>
      </c>
      <c r="C57" t="str">
        <v>Rock</v>
      </c>
      <c r="D57" t="str">
        <v>Berry</v>
      </c>
      <c r="E57" t="str">
        <v>Helping Speed S</v>
      </c>
      <c r="F57" t="str">
        <v>Ingredient Finder S</v>
      </c>
      <c r="G57" t="str">
        <v>Neutral</v>
      </c>
      <c r="H57" t="str">
        <v>Neutral</v>
      </c>
      <c r="I57">
        <v>3</v>
      </c>
      <c r="J57" t="str">
        <v>Neutrale nature = ok maar niet ideaal</v>
      </c>
    </row>
    <row r="58" spans="1:10" ht="15" customHeight="1">
      <c r="A58" t="str">
        <v>Bulbasaur</v>
      </c>
      <c r="B58">
        <v>6</v>
      </c>
      <c r="C58" t="str">
        <v>Grass</v>
      </c>
      <c r="D58" t="str">
        <v>Berry</v>
      </c>
      <c r="E58" t="str">
        <v>Helping Speed M</v>
      </c>
      <c r="F58" t="str">
        <v>Inventory Up S</v>
      </c>
      <c r="G58" t="str">
        <v>Energy Recovery</v>
      </c>
      <c r="H58" t="str">
        <v>Ingredient Finding</v>
      </c>
      <c r="I58">
        <v>3</v>
      </c>
      <c r="J58" t="str">
        <v>Kanto starter: 2x ingrediënten + Ingredient Magnet S</v>
      </c>
    </row>
    <row r="59" spans="1:10" ht="15" customHeight="1">
      <c r="A59" t="str">
        <v>Mudkip</v>
      </c>
      <c r="B59">
        <v>6</v>
      </c>
      <c r="C59" t="str">
        <v>Water</v>
      </c>
      <c r="D59" t="str">
        <v>Berry</v>
      </c>
      <c r="E59" t="str">
        <v>Ingredient Finder S</v>
      </c>
      <c r="F59" t="str">
        <v>Skill Trigger S</v>
      </c>
      <c r="G59" t="str">
        <v>EXP Gains</v>
      </c>
      <c r="H59" t="str">
        <v>Energy Recovery</v>
      </c>
      <c r="I59">
        <v>3</v>
      </c>
      <c r="J59" t="str">
        <v/>
      </c>
    </row>
    <row r="60" spans="1:10" ht="15" customHeight="1">
      <c r="A60" t="str">
        <v>Houndour</v>
      </c>
      <c r="B60">
        <v>4</v>
      </c>
      <c r="C60" t="str">
        <v>Dark</v>
      </c>
      <c r="D60" t="str">
        <v>Ingredient</v>
      </c>
      <c r="E60" t="str">
        <v>Skill Trigger M</v>
      </c>
      <c r="F60" t="str">
        <v>Inventory Up S</v>
      </c>
      <c r="G60" t="str">
        <v>EXP Gains</v>
      </c>
      <c r="H60" t="str">
        <v>Speed of Help</v>
      </c>
      <c r="I60">
        <v>3.5</v>
      </c>
      <c r="J60" t="str">
        <v/>
      </c>
    </row>
    <row r="61" spans="1:10" ht="15" customHeight="1">
      <c r="A61" t="str">
        <v>Diglett</v>
      </c>
      <c r="B61">
        <v>4</v>
      </c>
      <c r="C61" t="str">
        <v>Ground</v>
      </c>
      <c r="D61" t="str">
        <v>Ingredient</v>
      </c>
      <c r="E61" t="str">
        <v>Ingredient Finder M</v>
      </c>
      <c r="F61" t="str">
        <v>Skill Trigger S</v>
      </c>
      <c r="G61" t="str">
        <v>EXP Gains</v>
      </c>
      <c r="H61" t="str">
        <v>Ingredient Finding</v>
      </c>
      <c r="I61">
        <v>3.5</v>
      </c>
      <c r="J61" t="str">
        <v>Let op: Ingredient Finding NEGATIEF schaadt ingredient-prestatie</v>
      </c>
    </row>
    <row r="62" spans="1:10" ht="15" customHeight="1">
      <c r="A62" t="str">
        <v>Wynaut</v>
      </c>
      <c r="B62">
        <v>5</v>
      </c>
      <c r="C62" t="str">
        <v>Psychic</v>
      </c>
      <c r="D62" t="str">
        <v>Ingredient</v>
      </c>
      <c r="E62" t="str">
        <v>Inventory Up S</v>
      </c>
      <c r="F62" t="str">
        <v>Helping Speed M</v>
      </c>
      <c r="G62" t="str">
        <v>Energy Recovery</v>
      </c>
      <c r="H62" t="str">
        <v>Speed of Help</v>
      </c>
      <c r="I62">
        <v>3.5</v>
      </c>
      <c r="J62" t="str">
        <v/>
      </c>
    </row>
    <row r="63" spans="1:10" ht="15" customHeight="1">
      <c r="A63" t="str">
        <v>Charmander</v>
      </c>
      <c r="B63">
        <v>7</v>
      </c>
      <c r="C63" t="str">
        <v>Fire</v>
      </c>
      <c r="D63" t="str">
        <v>Skill</v>
      </c>
      <c r="E63" t="str">
        <v>Helping Speed S</v>
      </c>
      <c r="F63" t="str">
        <v>Skill Trigger S</v>
      </c>
      <c r="G63" t="str">
        <v>EXP Gains</v>
      </c>
      <c r="H63" t="str">
        <v>Speed of Help</v>
      </c>
      <c r="I63">
        <v>4</v>
      </c>
      <c r="J63" t="str">
        <v>Evolve → Charizard = snelle berry+ingredient verzamelaar</v>
      </c>
    </row>
    <row r="64" spans="1:10" ht="15" customHeight="1">
      <c r="A64" t="str">
        <v>Eevee</v>
      </c>
      <c r="B64">
        <v>8</v>
      </c>
      <c r="C64" t="str">
        <v>Normal</v>
      </c>
      <c r="D64" t="str">
        <v>Berry</v>
      </c>
      <c r="E64" t="str">
        <v>Ingredient Finder S</v>
      </c>
      <c r="F64" t="str">
        <v>Skill Trigger S</v>
      </c>
      <c r="G64" t="str">
        <v>Neutral</v>
      </c>
      <c r="H64" t="str">
        <v>Neutral</v>
      </c>
      <c r="I64">
        <v>3</v>
      </c>
      <c r="J64" t="str">
        <v>Sylveon (skill) of Jolteon (berry) = top evoluties; Neutrale nature = ok maar niet ideaal</v>
      </c>
    </row>
    <row r="65" spans="1:10" ht="15" customHeight="1">
      <c r="A65" t="str">
        <v>Igglybuff</v>
      </c>
      <c r="B65">
        <v>6</v>
      </c>
      <c r="C65" t="str">
        <v>Fairy</v>
      </c>
      <c r="D65" t="str">
        <v>Berry</v>
      </c>
      <c r="E65" t="str">
        <v>Inventory Up M</v>
      </c>
      <c r="F65" t="str">
        <v>Inventory Up S</v>
      </c>
      <c r="G65" t="str">
        <v>Speed of Help</v>
      </c>
      <c r="H65" t="str">
        <v>EXP Gains</v>
      </c>
      <c r="I65">
        <v>4</v>
      </c>
      <c r="J65" t="str">
        <v>Evolve → Wigglytuff = Energy for Everyone S (top skill!); Perfecte nature voor Berry team!</v>
      </c>
    </row>
    <row r="66" spans="1:10" ht="15" customHeight="1">
      <c r="A66" t="str">
        <v>Mareep</v>
      </c>
      <c r="B66">
        <v>6</v>
      </c>
      <c r="C66" t="str">
        <v>Electric</v>
      </c>
      <c r="D66" t="str">
        <v>Berry</v>
      </c>
      <c r="E66" t="str">
        <v>Skill Trigger M</v>
      </c>
      <c r="F66" t="str">
        <v>Inventory Up S</v>
      </c>
      <c r="G66" t="str">
        <v>Speed of Help</v>
      </c>
      <c r="H66" t="str">
        <v>Energy Recovery</v>
      </c>
      <c r="I66">
        <v>4</v>
      </c>
      <c r="J66" t="str">
        <v>Evolve → Ampharos = hoge frequentie + waardevolle ingrediënten; Perfecte nature voor Berry team!</v>
      </c>
    </row>
    <row r="67" spans="1:10" ht="15" customHeight="1">
      <c r="A67" t="str">
        <v>Latias</v>
      </c>
      <c r="B67">
        <v>18</v>
      </c>
      <c r="C67" t="str">
        <v>Dragon</v>
      </c>
      <c r="D67" t="str">
        <v>Skill</v>
      </c>
      <c r="E67" t="str">
        <v>Sleep EXP Bonus</v>
      </c>
      <c r="F67" t="str">
        <v>Skill Level Up S</v>
      </c>
      <c r="G67" t="str">
        <v>Neutral</v>
      </c>
      <c r="H67" t="str">
        <v>Neutral</v>
      </c>
      <c r="I67">
        <v>3.5</v>
      </c>
      <c r="J67" t="str">
        <v>Neutrale nature = ok maar niet ideaal</v>
      </c>
    </row>
    <row r="68" spans="1:10" ht="15" customHeight="1">
      <c r="A68" t="str">
        <v>Wobbuffet</v>
      </c>
      <c r="B68">
        <v>10</v>
      </c>
      <c r="C68" t="str">
        <v>Psychic</v>
      </c>
      <c r="D68" t="str">
        <v>Skill</v>
      </c>
      <c r="E68" t="str">
        <v>Skill Trigger S</v>
      </c>
      <c r="F68" t="str">
        <v>Helping Speed S</v>
      </c>
      <c r="G68" t="str">
        <v>Neutral</v>
      </c>
      <c r="H68" t="str">
        <v>Neutral</v>
      </c>
      <c r="I68">
        <v>3.5</v>
      </c>
      <c r="J68" t="str">
        <v>Neutrale nature = ok maar niet ideaal</v>
      </c>
    </row>
    <row r="69" spans="1:10" ht="15" customHeight="1">
      <c r="A69" t="str">
        <v>Treecko</v>
      </c>
      <c r="B69">
        <v>9</v>
      </c>
      <c r="C69" t="str">
        <v>Grass</v>
      </c>
      <c r="D69" t="str">
        <v>Ingredient</v>
      </c>
      <c r="E69" t="str">
        <v>Skill Trigger S</v>
      </c>
      <c r="F69" t="str">
        <v>Research EXP Bonus</v>
      </c>
      <c r="G69" t="str">
        <v>Ingredient Finding</v>
      </c>
      <c r="H69" t="str">
        <v>Main Skill Chance</v>
      </c>
      <c r="I69">
        <v>4.5</v>
      </c>
      <c r="J69" t="str">
        <v>Perfecte nature voor Ingredient team!</v>
      </c>
    </row>
    <row r="70" spans="1:10" ht="15" customHeight="1">
      <c r="A70" t="str">
        <v>Wynaut</v>
      </c>
      <c r="B70">
        <v>8</v>
      </c>
      <c r="C70" t="str">
        <v>Psychic</v>
      </c>
      <c r="D70" t="str">
        <v>Ingredient</v>
      </c>
      <c r="E70" t="str">
        <v>Inventory Up L</v>
      </c>
      <c r="F70" t="str">
        <v>Berry Finding S</v>
      </c>
      <c r="G70" t="str">
        <v>Main Skill Chance</v>
      </c>
      <c r="H70" t="str">
        <v>EXP Gains</v>
      </c>
      <c r="I70">
        <v>3</v>
      </c>
      <c r="J70" t="str">
        <v/>
      </c>
    </row>
    <row r="71" spans="1:10" ht="15" customHeight="1"/>
    <row r="72" spans="1:10" ht="15" customHeight="1"/>
    <row r="73" spans="1:10" ht="15" customHeight="1"/>
    <row r="74" spans="1:10" ht="15" customHeight="1"/>
    <row r="75" spans="1:10" ht="15" customHeight="1"/>
    <row r="76" spans="1:10" ht="15" customHeight="1"/>
    <row r="77" spans="1:10" ht="15" customHeight="1"/>
    <row r="78" spans="1:10" ht="15" customHeight="1">
      <c r="A78" s="35" t="s">
        <v>427</v>
      </c>
    </row>
    <row r="79" spans="1:10" ht="15" customHeight="1">
      <c r="A79" s="36" t="s">
        <v>27</v>
      </c>
      <c r="B79" s="36" t="s">
        <v>32</v>
      </c>
      <c r="C79" s="36" t="s">
        <v>33</v>
      </c>
      <c r="D79" s="36" t="s">
        <v>49</v>
      </c>
      <c r="E79" s="36" t="s">
        <v>395</v>
      </c>
      <c r="F79" s="36" t="s">
        <v>396</v>
      </c>
      <c r="G79" s="36" t="s">
        <v>28</v>
      </c>
      <c r="H79" s="36" t="s">
        <v>384</v>
      </c>
      <c r="I79" s="36" t="s">
        <v>4</v>
      </c>
      <c r="J79" s="36" t="s">
        <v>428</v>
      </c>
    </row>
    <row r="80" spans="1:10" ht="15" customHeight="1">
      <c r="A80" t="str" cm="1">
        <f t="array" ref="A80:J84">IFERROR(_xlfn._xlws.FILTER(CHOOSE({1,2,3,4,5,6,7,8,9,10}, Data!A2:A200, Data!B2:B200, Data!C2:C200, Data!S2:S200, Data!H2:H200, Data!I2:I200, Data!N2:N200, Data!O2:O200, Data!T2:T200, Data!V2:V200), Data!U2:U200="❌ Transfer"), "")</f>
        <v>Pichu</v>
      </c>
      <c r="B80">
        <v>6</v>
      </c>
      <c r="C80" t="str">
        <v>Electric</v>
      </c>
      <c r="D80" t="str">
        <v>Berry</v>
      </c>
      <c r="E80" t="str">
        <v>Inventory Up S</v>
      </c>
      <c r="F80" t="str">
        <v>Inventory Up L</v>
      </c>
      <c r="G80" t="str">
        <v>Energy Recovery</v>
      </c>
      <c r="H80" t="str">
        <v>Ingredient Finding</v>
      </c>
      <c r="I80">
        <v>2</v>
      </c>
      <c r="J80" t="str">
        <v>Evolve → Pikachu → Raichu (top berry)</v>
      </c>
    </row>
    <row r="81" spans="1:10" ht="15" customHeight="1">
      <c r="A81" t="str">
        <v>Slowpoke</v>
      </c>
      <c r="B81">
        <v>9</v>
      </c>
      <c r="C81" t="str">
        <v>Water</v>
      </c>
      <c r="D81" t="str">
        <v>Berry</v>
      </c>
      <c r="E81" t="str">
        <v>Ingredient Finder S</v>
      </c>
      <c r="F81" t="str">
        <v>Helping Speed S</v>
      </c>
      <c r="G81" t="str">
        <v>EXP Gains</v>
      </c>
      <c r="H81" t="str">
        <v>Ingredient Finding</v>
      </c>
      <c r="I81">
        <v>2</v>
      </c>
      <c r="J81" t="str">
        <v/>
      </c>
    </row>
    <row r="82" spans="1:10" ht="15" customHeight="1">
      <c r="A82" t="str">
        <v>Slowpoke</v>
      </c>
      <c r="B82">
        <v>5</v>
      </c>
      <c r="C82" t="str">
        <v>Water</v>
      </c>
      <c r="D82" t="str">
        <v>Ingredient</v>
      </c>
      <c r="E82" t="str">
        <v>Skill Trigger S</v>
      </c>
      <c r="F82" t="str">
        <v>Ingredient Finder S</v>
      </c>
      <c r="G82" t="str">
        <v>Energy Recovery</v>
      </c>
      <c r="H82" t="str">
        <v>Speed of Help</v>
      </c>
      <c r="I82">
        <v>2.5</v>
      </c>
      <c r="J82" t="str">
        <v/>
      </c>
    </row>
    <row r="83" spans="1:10" ht="15" customHeight="1">
      <c r="A83" t="str">
        <v>Geodude</v>
      </c>
      <c r="B83">
        <v>8</v>
      </c>
      <c r="C83" t="str">
        <v>Rock</v>
      </c>
      <c r="D83" t="str">
        <v>Ingredient</v>
      </c>
      <c r="E83" t="str">
        <v>Inventory Up S</v>
      </c>
      <c r="F83" t="str">
        <v>Helping Speed S</v>
      </c>
      <c r="G83" t="str">
        <v>Neutral</v>
      </c>
      <c r="H83" t="str">
        <v>Neutral</v>
      </c>
      <c r="I83">
        <v>2.5</v>
      </c>
      <c r="J83" t="str">
        <v>Neutrale nature = ok maar niet ideaal</v>
      </c>
    </row>
    <row r="84" spans="1:10" ht="15" customHeight="1">
      <c r="A84" t="str">
        <v>Slowpoke</v>
      </c>
      <c r="B84">
        <v>6</v>
      </c>
      <c r="C84" t="str">
        <v>Water</v>
      </c>
      <c r="D84" t="str">
        <v>Ingredient</v>
      </c>
      <c r="E84" t="str">
        <v>Skill Trigger S</v>
      </c>
      <c r="F84" t="str">
        <v>Ingredient Finder S</v>
      </c>
      <c r="G84" t="str">
        <v>Neutral</v>
      </c>
      <c r="H84" t="str">
        <v>Neutral</v>
      </c>
      <c r="I84">
        <v>2.5</v>
      </c>
      <c r="J84" t="str">
        <v>Neutrale nature = ok maar niet ideaal</v>
      </c>
    </row>
    <row r="85" spans="1:10" ht="15" customHeight="1"/>
    <row r="86" spans="1:10" ht="15" customHeight="1"/>
    <row r="87" spans="1:10" ht="15" customHeight="1"/>
    <row r="88" spans="1:10" ht="15" customHeight="1"/>
    <row r="89" spans="1:10" ht="15" customHeight="1"/>
    <row r="90" spans="1:10" ht="15" customHeight="1"/>
    <row r="91" spans="1:10" ht="15" customHeight="1"/>
    <row r="92" spans="1:10" ht="15" customHeight="1"/>
    <row r="93" spans="1:10" ht="15" customHeight="1"/>
    <row r="94" spans="1:10" ht="15" customHeight="1"/>
    <row r="95" spans="1:10" ht="15" customHeight="1"/>
    <row r="96" spans="1:10" ht="15" customHeight="1"/>
    <row r="97" ht="15" customHeight="1"/>
    <row r="98" ht="15" customHeight="1"/>
    <row r="99" ht="15" customHeight="1"/>
    <row r="100" ht="1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0"/>
  <sheetViews>
    <sheetView workbookViewId="0">
      <selection activeCell="E7" sqref="E7"/>
    </sheetView>
  </sheetViews>
  <sheetFormatPr defaultRowHeight="15"/>
  <cols>
    <col min="1" max="1" width="36.5703125" bestFit="1" customWidth="1"/>
    <col min="2" max="2" width="16.85546875" style="56" bestFit="1" customWidth="1"/>
    <col min="4" max="4" width="19.42578125" bestFit="1" customWidth="1"/>
    <col min="5" max="5" width="21.140625" bestFit="1" customWidth="1"/>
    <col min="8" max="9" width="16.7109375" bestFit="1" customWidth="1"/>
    <col min="10" max="10" width="12.85546875" bestFit="1" customWidth="1"/>
    <col min="11" max="11" width="23.85546875" bestFit="1" customWidth="1"/>
  </cols>
  <sheetData>
    <row r="1" spans="1:11">
      <c r="A1" s="5" t="s">
        <v>33</v>
      </c>
      <c r="B1" s="54" t="s">
        <v>2</v>
      </c>
      <c r="D1" t="s">
        <v>157</v>
      </c>
      <c r="E1" t="s">
        <v>158</v>
      </c>
      <c r="F1" t="s">
        <v>159</v>
      </c>
      <c r="G1" t="s">
        <v>43</v>
      </c>
      <c r="H1" t="s">
        <v>160</v>
      </c>
      <c r="I1" t="s">
        <v>161</v>
      </c>
      <c r="K1" t="s">
        <v>162</v>
      </c>
    </row>
    <row r="2" spans="1:11">
      <c r="A2" s="5" t="s">
        <v>96</v>
      </c>
      <c r="B2" s="55" t="s">
        <v>163</v>
      </c>
      <c r="D2" t="s">
        <v>55</v>
      </c>
      <c r="E2" t="s">
        <v>78</v>
      </c>
      <c r="F2" t="s">
        <v>164</v>
      </c>
      <c r="G2" t="s">
        <v>100</v>
      </c>
      <c r="H2" t="s">
        <v>165</v>
      </c>
      <c r="I2" t="s">
        <v>166</v>
      </c>
      <c r="K2" t="s">
        <v>135</v>
      </c>
    </row>
    <row r="3" spans="1:11">
      <c r="A3" s="5" t="s">
        <v>113</v>
      </c>
      <c r="B3" s="55" t="s">
        <v>167</v>
      </c>
      <c r="D3" t="s">
        <v>97</v>
      </c>
      <c r="E3" t="s">
        <v>121</v>
      </c>
      <c r="F3" t="s">
        <v>164</v>
      </c>
      <c r="G3" t="s">
        <v>105</v>
      </c>
      <c r="H3" t="s">
        <v>168</v>
      </c>
      <c r="I3" t="s">
        <v>166</v>
      </c>
      <c r="K3" t="s">
        <v>145</v>
      </c>
    </row>
    <row r="4" spans="1:11">
      <c r="A4" s="5" t="s">
        <v>64</v>
      </c>
      <c r="B4" s="55" t="s">
        <v>16</v>
      </c>
      <c r="D4" t="s">
        <v>144</v>
      </c>
      <c r="E4" t="s">
        <v>99</v>
      </c>
      <c r="F4" t="s">
        <v>164</v>
      </c>
      <c r="G4" t="s">
        <v>125</v>
      </c>
      <c r="H4" t="s">
        <v>168</v>
      </c>
      <c r="I4" t="s">
        <v>169</v>
      </c>
      <c r="K4" t="s">
        <v>170</v>
      </c>
    </row>
    <row r="5" spans="1:11">
      <c r="A5" s="5" t="s">
        <v>111</v>
      </c>
      <c r="B5" s="55" t="s">
        <v>171</v>
      </c>
      <c r="D5" t="s">
        <v>120</v>
      </c>
      <c r="E5" t="s">
        <v>83</v>
      </c>
      <c r="F5" t="s">
        <v>164</v>
      </c>
      <c r="G5" t="s">
        <v>142</v>
      </c>
      <c r="H5" t="s">
        <v>172</v>
      </c>
      <c r="I5" t="s">
        <v>168</v>
      </c>
      <c r="K5" t="s">
        <v>148</v>
      </c>
    </row>
    <row r="6" spans="1:11">
      <c r="A6" s="5" t="s">
        <v>54</v>
      </c>
      <c r="B6" s="55" t="s">
        <v>22</v>
      </c>
      <c r="D6" t="s">
        <v>114</v>
      </c>
      <c r="E6" t="s">
        <v>98</v>
      </c>
      <c r="F6" t="s">
        <v>164</v>
      </c>
      <c r="G6" t="s">
        <v>90</v>
      </c>
      <c r="H6" t="s">
        <v>168</v>
      </c>
      <c r="I6" t="s">
        <v>165</v>
      </c>
      <c r="K6" t="s">
        <v>173</v>
      </c>
    </row>
    <row r="7" spans="1:11">
      <c r="A7" s="5" t="s">
        <v>174</v>
      </c>
      <c r="B7" s="55" t="s">
        <v>175</v>
      </c>
      <c r="D7" t="s">
        <v>77</v>
      </c>
      <c r="E7" t="s">
        <v>115</v>
      </c>
      <c r="F7" t="s">
        <v>164</v>
      </c>
      <c r="G7" t="s">
        <v>176</v>
      </c>
      <c r="H7" t="s">
        <v>172</v>
      </c>
      <c r="I7" t="s">
        <v>165</v>
      </c>
      <c r="K7" t="s">
        <v>177</v>
      </c>
    </row>
    <row r="8" spans="1:11">
      <c r="A8" s="5" t="s">
        <v>119</v>
      </c>
      <c r="B8" s="55" t="s">
        <v>178</v>
      </c>
      <c r="D8" t="s">
        <v>72</v>
      </c>
      <c r="E8" t="s">
        <v>104</v>
      </c>
      <c r="F8" t="s">
        <v>164</v>
      </c>
      <c r="G8" t="s">
        <v>179</v>
      </c>
      <c r="H8" t="s">
        <v>172</v>
      </c>
      <c r="I8" t="s">
        <v>166</v>
      </c>
      <c r="K8" t="s">
        <v>63</v>
      </c>
    </row>
    <row r="9" spans="1:11">
      <c r="A9" s="5" t="s">
        <v>102</v>
      </c>
      <c r="B9" s="55" t="s">
        <v>432</v>
      </c>
      <c r="D9" t="s">
        <v>65</v>
      </c>
      <c r="E9" t="s">
        <v>68</v>
      </c>
      <c r="F9" t="s">
        <v>180</v>
      </c>
      <c r="G9" t="s">
        <v>181</v>
      </c>
      <c r="H9" t="s">
        <v>172</v>
      </c>
      <c r="I9" t="s">
        <v>169</v>
      </c>
      <c r="K9" t="s">
        <v>182</v>
      </c>
    </row>
    <row r="10" spans="1:11">
      <c r="A10" s="5" t="s">
        <v>81</v>
      </c>
      <c r="B10" s="55" t="s">
        <v>183</v>
      </c>
      <c r="D10" t="s">
        <v>108</v>
      </c>
      <c r="E10" t="s">
        <v>86</v>
      </c>
      <c r="F10" t="s">
        <v>180</v>
      </c>
      <c r="G10" t="s">
        <v>124</v>
      </c>
      <c r="H10" t="s">
        <v>165</v>
      </c>
      <c r="I10" t="s">
        <v>168</v>
      </c>
      <c r="K10" t="s">
        <v>184</v>
      </c>
    </row>
    <row r="11" spans="1:11">
      <c r="A11" s="5" t="s">
        <v>107</v>
      </c>
      <c r="B11" s="55" t="s">
        <v>185</v>
      </c>
      <c r="D11" t="s">
        <v>73</v>
      </c>
      <c r="E11" t="s">
        <v>59</v>
      </c>
      <c r="F11" t="s">
        <v>180</v>
      </c>
      <c r="G11" t="s">
        <v>109</v>
      </c>
      <c r="H11" t="s">
        <v>165</v>
      </c>
      <c r="I11" t="s">
        <v>172</v>
      </c>
      <c r="K11" t="s">
        <v>186</v>
      </c>
    </row>
    <row r="12" spans="1:11">
      <c r="A12" s="5" t="s">
        <v>131</v>
      </c>
      <c r="B12" s="55" t="s">
        <v>187</v>
      </c>
      <c r="D12" t="s">
        <v>56</v>
      </c>
      <c r="E12" t="s">
        <v>67</v>
      </c>
      <c r="F12" t="s">
        <v>180</v>
      </c>
      <c r="G12" t="s">
        <v>75</v>
      </c>
      <c r="H12" t="s">
        <v>168</v>
      </c>
      <c r="I12" t="s">
        <v>172</v>
      </c>
      <c r="K12" t="s">
        <v>188</v>
      </c>
    </row>
    <row r="13" spans="1:11">
      <c r="A13" s="5" t="s">
        <v>189</v>
      </c>
      <c r="B13" s="55" t="s">
        <v>185</v>
      </c>
      <c r="D13" t="s">
        <v>103</v>
      </c>
      <c r="E13" t="s">
        <v>60</v>
      </c>
      <c r="F13" t="s">
        <v>180</v>
      </c>
      <c r="G13" t="s">
        <v>62</v>
      </c>
      <c r="H13" t="s">
        <v>165</v>
      </c>
      <c r="I13" t="s">
        <v>169</v>
      </c>
      <c r="K13" t="s">
        <v>190</v>
      </c>
    </row>
    <row r="14" spans="1:11">
      <c r="A14" s="5" t="s">
        <v>133</v>
      </c>
      <c r="B14" s="55" t="s">
        <v>191</v>
      </c>
      <c r="D14" t="s">
        <v>66</v>
      </c>
      <c r="E14" t="s">
        <v>82</v>
      </c>
      <c r="F14" t="s">
        <v>180</v>
      </c>
      <c r="G14" t="s">
        <v>117</v>
      </c>
      <c r="H14" t="s">
        <v>166</v>
      </c>
      <c r="I14" t="s">
        <v>168</v>
      </c>
      <c r="K14" t="s">
        <v>95</v>
      </c>
    </row>
    <row r="15" spans="1:11">
      <c r="A15" s="5" t="s">
        <v>127</v>
      </c>
      <c r="B15" s="55" t="s">
        <v>192</v>
      </c>
      <c r="D15" t="s">
        <v>89</v>
      </c>
      <c r="E15" t="s">
        <v>61</v>
      </c>
      <c r="F15" t="s">
        <v>193</v>
      </c>
      <c r="G15" t="s">
        <v>194</v>
      </c>
      <c r="H15" t="s">
        <v>166</v>
      </c>
      <c r="I15" t="s">
        <v>172</v>
      </c>
      <c r="K15" t="s">
        <v>195</v>
      </c>
    </row>
    <row r="16" spans="1:11">
      <c r="A16" s="5" t="s">
        <v>92</v>
      </c>
      <c r="B16" s="55" t="s">
        <v>196</v>
      </c>
      <c r="D16" t="s">
        <v>93</v>
      </c>
      <c r="E16" t="s">
        <v>57</v>
      </c>
      <c r="F16" t="s">
        <v>193</v>
      </c>
      <c r="G16" t="s">
        <v>87</v>
      </c>
      <c r="H16" t="s">
        <v>166</v>
      </c>
      <c r="I16" t="s">
        <v>165</v>
      </c>
      <c r="K16" t="s">
        <v>197</v>
      </c>
    </row>
    <row r="17" spans="1:11">
      <c r="A17" s="5" t="s">
        <v>141</v>
      </c>
      <c r="B17" s="55" t="s">
        <v>198</v>
      </c>
      <c r="D17" t="s">
        <v>123</v>
      </c>
      <c r="E17" t="s">
        <v>58</v>
      </c>
      <c r="F17" t="s">
        <v>193</v>
      </c>
      <c r="G17" t="s">
        <v>79</v>
      </c>
      <c r="H17" t="s">
        <v>166</v>
      </c>
      <c r="I17" t="s">
        <v>169</v>
      </c>
      <c r="K17" t="s">
        <v>199</v>
      </c>
    </row>
    <row r="18" spans="1:11">
      <c r="A18" s="5" t="s">
        <v>200</v>
      </c>
      <c r="B18" s="55" t="s">
        <v>201</v>
      </c>
      <c r="D18" t="s">
        <v>128</v>
      </c>
      <c r="E18" t="s">
        <v>74</v>
      </c>
      <c r="F18" t="s">
        <v>193</v>
      </c>
      <c r="G18" t="s">
        <v>151</v>
      </c>
      <c r="H18" t="s">
        <v>169</v>
      </c>
      <c r="I18" t="s">
        <v>168</v>
      </c>
      <c r="K18" t="s">
        <v>53</v>
      </c>
    </row>
    <row r="19" spans="1:11">
      <c r="A19" s="5" t="s">
        <v>71</v>
      </c>
      <c r="B19" s="55" t="s">
        <v>20</v>
      </c>
      <c r="D19" t="s">
        <v>202</v>
      </c>
      <c r="G19" t="s">
        <v>84</v>
      </c>
      <c r="H19" t="s">
        <v>169</v>
      </c>
      <c r="I19" t="s">
        <v>172</v>
      </c>
      <c r="K19" t="s">
        <v>203</v>
      </c>
    </row>
    <row r="20" spans="1:11">
      <c r="D20" t="s">
        <v>155</v>
      </c>
      <c r="G20" t="s">
        <v>122</v>
      </c>
      <c r="H20" t="s">
        <v>169</v>
      </c>
      <c r="I20" t="s">
        <v>165</v>
      </c>
      <c r="K20" t="s">
        <v>204</v>
      </c>
    </row>
    <row r="21" spans="1:11">
      <c r="G21" t="s">
        <v>153</v>
      </c>
      <c r="H21" t="s">
        <v>169</v>
      </c>
      <c r="I21" t="s">
        <v>166</v>
      </c>
      <c r="K21" t="s">
        <v>205</v>
      </c>
    </row>
    <row r="22" spans="1:11">
      <c r="G22" t="s">
        <v>69</v>
      </c>
      <c r="H22" t="s">
        <v>206</v>
      </c>
      <c r="I22" t="s">
        <v>206</v>
      </c>
      <c r="K22" t="s">
        <v>207</v>
      </c>
    </row>
    <row r="23" spans="1:11">
      <c r="G23" t="s">
        <v>156</v>
      </c>
      <c r="H23" t="s">
        <v>206</v>
      </c>
      <c r="I23" t="s">
        <v>206</v>
      </c>
      <c r="K23" t="s">
        <v>208</v>
      </c>
    </row>
    <row r="24" spans="1:11">
      <c r="G24" t="s">
        <v>134</v>
      </c>
      <c r="H24" t="s">
        <v>206</v>
      </c>
      <c r="I24" t="s">
        <v>206</v>
      </c>
      <c r="K24" t="s">
        <v>209</v>
      </c>
    </row>
    <row r="25" spans="1:11">
      <c r="G25" t="s">
        <v>94</v>
      </c>
      <c r="H25" t="s">
        <v>206</v>
      </c>
      <c r="I25" t="s">
        <v>206</v>
      </c>
      <c r="K25" t="s">
        <v>210</v>
      </c>
    </row>
    <row r="26" spans="1:11">
      <c r="G26" t="s">
        <v>150</v>
      </c>
      <c r="H26" t="s">
        <v>206</v>
      </c>
      <c r="I26" t="s">
        <v>206</v>
      </c>
      <c r="K26" t="s">
        <v>211</v>
      </c>
    </row>
    <row r="27" spans="1:11">
      <c r="K27" t="s">
        <v>212</v>
      </c>
    </row>
    <row r="28" spans="1:11">
      <c r="K28" t="s">
        <v>213</v>
      </c>
    </row>
    <row r="29" spans="1:11">
      <c r="K29" t="s">
        <v>214</v>
      </c>
    </row>
    <row r="30" spans="1:11">
      <c r="K30" t="s">
        <v>143</v>
      </c>
    </row>
    <row r="31" spans="1:11">
      <c r="K31" t="s">
        <v>215</v>
      </c>
    </row>
    <row r="32" spans="1:11">
      <c r="K32" t="s">
        <v>216</v>
      </c>
    </row>
    <row r="33" spans="11:11">
      <c r="K33" t="s">
        <v>217</v>
      </c>
    </row>
    <row r="34" spans="11:11">
      <c r="K34" t="s">
        <v>116</v>
      </c>
    </row>
    <row r="35" spans="11:11">
      <c r="K35" t="s">
        <v>218</v>
      </c>
    </row>
    <row r="36" spans="11:11">
      <c r="K36" t="s">
        <v>219</v>
      </c>
    </row>
    <row r="37" spans="11:11">
      <c r="K37" t="s">
        <v>220</v>
      </c>
    </row>
    <row r="38" spans="11:11">
      <c r="K38" t="s">
        <v>112</v>
      </c>
    </row>
    <row r="39" spans="11:11">
      <c r="K39" t="s">
        <v>221</v>
      </c>
    </row>
    <row r="40" spans="11:11">
      <c r="K40" t="s">
        <v>222</v>
      </c>
    </row>
    <row r="41" spans="11:11">
      <c r="K41" t="s">
        <v>223</v>
      </c>
    </row>
    <row r="42" spans="11:11">
      <c r="K42" t="s">
        <v>224</v>
      </c>
    </row>
    <row r="43" spans="11:11">
      <c r="K43" t="s">
        <v>138</v>
      </c>
    </row>
    <row r="44" spans="11:11">
      <c r="K44" t="s">
        <v>225</v>
      </c>
    </row>
    <row r="45" spans="11:11">
      <c r="K45" t="s">
        <v>226</v>
      </c>
    </row>
    <row r="46" spans="11:11">
      <c r="K46" t="s">
        <v>88</v>
      </c>
    </row>
    <row r="47" spans="11:11">
      <c r="K47" t="s">
        <v>227</v>
      </c>
    </row>
    <row r="48" spans="11:11">
      <c r="K48" t="s">
        <v>147</v>
      </c>
    </row>
    <row r="49" spans="11:11">
      <c r="K49" t="s">
        <v>228</v>
      </c>
    </row>
    <row r="50" spans="11:11">
      <c r="K50" t="s">
        <v>229</v>
      </c>
    </row>
    <row r="51" spans="11:11">
      <c r="K51" t="s">
        <v>230</v>
      </c>
    </row>
    <row r="52" spans="11:11">
      <c r="K52" t="s">
        <v>231</v>
      </c>
    </row>
    <row r="53" spans="11:11">
      <c r="K53" t="s">
        <v>232</v>
      </c>
    </row>
    <row r="54" spans="11:11">
      <c r="K54" t="s">
        <v>233</v>
      </c>
    </row>
    <row r="55" spans="11:11">
      <c r="K55" t="s">
        <v>234</v>
      </c>
    </row>
    <row r="56" spans="11:11">
      <c r="K56" t="s">
        <v>235</v>
      </c>
    </row>
    <row r="57" spans="11:11">
      <c r="K57" t="s">
        <v>80</v>
      </c>
    </row>
    <row r="58" spans="11:11">
      <c r="K58" t="s">
        <v>236</v>
      </c>
    </row>
    <row r="59" spans="11:11">
      <c r="K59" t="s">
        <v>237</v>
      </c>
    </row>
    <row r="60" spans="11:11">
      <c r="K60" t="s">
        <v>238</v>
      </c>
    </row>
    <row r="61" spans="11:11">
      <c r="K61" t="s">
        <v>239</v>
      </c>
    </row>
    <row r="62" spans="11:11">
      <c r="K62" t="s">
        <v>240</v>
      </c>
    </row>
    <row r="63" spans="11:11">
      <c r="K63" t="s">
        <v>241</v>
      </c>
    </row>
    <row r="64" spans="11:11">
      <c r="K64" t="s">
        <v>149</v>
      </c>
    </row>
    <row r="65" spans="11:11">
      <c r="K65" t="s">
        <v>242</v>
      </c>
    </row>
    <row r="66" spans="11:11">
      <c r="K66" t="s">
        <v>243</v>
      </c>
    </row>
    <row r="67" spans="11:11">
      <c r="K67" t="s">
        <v>244</v>
      </c>
    </row>
    <row r="68" spans="11:11">
      <c r="K68" t="s">
        <v>245</v>
      </c>
    </row>
    <row r="69" spans="11:11">
      <c r="K69" t="s">
        <v>246</v>
      </c>
    </row>
    <row r="70" spans="11:11">
      <c r="K70" t="s">
        <v>247</v>
      </c>
    </row>
    <row r="71" spans="11:11">
      <c r="K71" t="s">
        <v>248</v>
      </c>
    </row>
    <row r="72" spans="11:11">
      <c r="K72" t="s">
        <v>249</v>
      </c>
    </row>
    <row r="73" spans="11:11">
      <c r="K73" t="s">
        <v>250</v>
      </c>
    </row>
    <row r="74" spans="11:11">
      <c r="K74" t="s">
        <v>251</v>
      </c>
    </row>
    <row r="75" spans="11:11">
      <c r="K75" t="s">
        <v>252</v>
      </c>
    </row>
    <row r="76" spans="11:11">
      <c r="K76" t="s">
        <v>253</v>
      </c>
    </row>
    <row r="77" spans="11:11">
      <c r="K77" t="s">
        <v>254</v>
      </c>
    </row>
    <row r="78" spans="11:11">
      <c r="K78" t="s">
        <v>255</v>
      </c>
    </row>
    <row r="79" spans="11:11">
      <c r="K79" t="s">
        <v>256</v>
      </c>
    </row>
    <row r="80" spans="11:11">
      <c r="K80" t="s">
        <v>139</v>
      </c>
    </row>
    <row r="81" spans="11:11">
      <c r="K81" t="s">
        <v>257</v>
      </c>
    </row>
    <row r="82" spans="11:11">
      <c r="K82" t="s">
        <v>258</v>
      </c>
    </row>
    <row r="83" spans="11:11">
      <c r="K83" t="s">
        <v>85</v>
      </c>
    </row>
    <row r="84" spans="11:11">
      <c r="K84" t="s">
        <v>259</v>
      </c>
    </row>
    <row r="85" spans="11:11">
      <c r="K85" t="s">
        <v>70</v>
      </c>
    </row>
    <row r="86" spans="11:11">
      <c r="K86" t="s">
        <v>137</v>
      </c>
    </row>
    <row r="87" spans="11:11">
      <c r="K87" t="s">
        <v>260</v>
      </c>
    </row>
    <row r="88" spans="11:11">
      <c r="K88" t="s">
        <v>261</v>
      </c>
    </row>
    <row r="89" spans="11:11">
      <c r="K89" t="s">
        <v>262</v>
      </c>
    </row>
    <row r="90" spans="11:11">
      <c r="K90" t="s">
        <v>129</v>
      </c>
    </row>
    <row r="91" spans="11:11">
      <c r="K91" t="s">
        <v>263</v>
      </c>
    </row>
    <row r="92" spans="11:11">
      <c r="K92" t="s">
        <v>264</v>
      </c>
    </row>
    <row r="93" spans="11:11">
      <c r="K93" t="s">
        <v>265</v>
      </c>
    </row>
    <row r="94" spans="11:11">
      <c r="K94" t="s">
        <v>266</v>
      </c>
    </row>
    <row r="95" spans="11:11">
      <c r="K95" t="s">
        <v>267</v>
      </c>
    </row>
    <row r="96" spans="11:11">
      <c r="K96" t="s">
        <v>268</v>
      </c>
    </row>
    <row r="97" spans="11:11">
      <c r="K97" t="s">
        <v>269</v>
      </c>
    </row>
    <row r="98" spans="11:11">
      <c r="K98" t="s">
        <v>270</v>
      </c>
    </row>
    <row r="99" spans="11:11">
      <c r="K99" t="s">
        <v>271</v>
      </c>
    </row>
    <row r="100" spans="11:11">
      <c r="K100" t="s">
        <v>272</v>
      </c>
    </row>
    <row r="101" spans="11:11">
      <c r="K101" t="s">
        <v>273</v>
      </c>
    </row>
    <row r="102" spans="11:11">
      <c r="K102" t="s">
        <v>274</v>
      </c>
    </row>
    <row r="103" spans="11:11">
      <c r="K103" t="s">
        <v>275</v>
      </c>
    </row>
    <row r="104" spans="11:11">
      <c r="K104" t="s">
        <v>276</v>
      </c>
    </row>
    <row r="105" spans="11:11">
      <c r="K105" t="s">
        <v>277</v>
      </c>
    </row>
    <row r="106" spans="11:11">
      <c r="K106" t="s">
        <v>278</v>
      </c>
    </row>
    <row r="107" spans="11:11">
      <c r="K107" t="s">
        <v>140</v>
      </c>
    </row>
    <row r="108" spans="11:11">
      <c r="K108" t="s">
        <v>279</v>
      </c>
    </row>
    <row r="109" spans="11:11">
      <c r="K109" t="s">
        <v>280</v>
      </c>
    </row>
    <row r="110" spans="11:11">
      <c r="K110" t="s">
        <v>281</v>
      </c>
    </row>
    <row r="111" spans="11:11">
      <c r="K111" t="s">
        <v>282</v>
      </c>
    </row>
    <row r="112" spans="11:11">
      <c r="K112" t="s">
        <v>283</v>
      </c>
    </row>
    <row r="113" spans="11:11">
      <c r="K113" t="s">
        <v>132</v>
      </c>
    </row>
    <row r="114" spans="11:11">
      <c r="K114" t="s">
        <v>284</v>
      </c>
    </row>
    <row r="115" spans="11:11">
      <c r="K115" t="s">
        <v>285</v>
      </c>
    </row>
    <row r="116" spans="11:11">
      <c r="K116" t="s">
        <v>110</v>
      </c>
    </row>
    <row r="117" spans="11:11">
      <c r="K117" t="s">
        <v>286</v>
      </c>
    </row>
    <row r="118" spans="11:11">
      <c r="K118" t="s">
        <v>287</v>
      </c>
    </row>
    <row r="119" spans="11:11">
      <c r="K119" t="s">
        <v>288</v>
      </c>
    </row>
    <row r="120" spans="11:11">
      <c r="K120" t="s">
        <v>289</v>
      </c>
    </row>
    <row r="121" spans="11:11">
      <c r="K121" t="s">
        <v>290</v>
      </c>
    </row>
    <row r="122" spans="11:11">
      <c r="K122" t="s">
        <v>136</v>
      </c>
    </row>
    <row r="123" spans="11:11">
      <c r="K123" t="s">
        <v>146</v>
      </c>
    </row>
    <row r="124" spans="11:11">
      <c r="K124" t="s">
        <v>291</v>
      </c>
    </row>
    <row r="125" spans="11:11">
      <c r="K125" t="s">
        <v>292</v>
      </c>
    </row>
    <row r="126" spans="11:11">
      <c r="K126" t="s">
        <v>293</v>
      </c>
    </row>
    <row r="127" spans="11:11">
      <c r="K127" t="s">
        <v>294</v>
      </c>
    </row>
    <row r="128" spans="11:11">
      <c r="K128" t="s">
        <v>295</v>
      </c>
    </row>
    <row r="129" spans="11:11">
      <c r="K129" t="s">
        <v>296</v>
      </c>
    </row>
    <row r="130" spans="11:11">
      <c r="K130" t="s">
        <v>297</v>
      </c>
    </row>
    <row r="131" spans="11:11">
      <c r="K131" t="s">
        <v>298</v>
      </c>
    </row>
    <row r="132" spans="11:11">
      <c r="K132" t="s">
        <v>299</v>
      </c>
    </row>
    <row r="133" spans="11:11">
      <c r="K133" t="s">
        <v>300</v>
      </c>
    </row>
    <row r="134" spans="11:11">
      <c r="K134" t="s">
        <v>301</v>
      </c>
    </row>
    <row r="135" spans="11:11">
      <c r="K135" t="s">
        <v>302</v>
      </c>
    </row>
    <row r="136" spans="11:11">
      <c r="K136" t="s">
        <v>303</v>
      </c>
    </row>
    <row r="137" spans="11:11">
      <c r="K137" t="s">
        <v>304</v>
      </c>
    </row>
    <row r="138" spans="11:11">
      <c r="K138" t="s">
        <v>101</v>
      </c>
    </row>
    <row r="139" spans="11:11">
      <c r="K139" t="s">
        <v>305</v>
      </c>
    </row>
    <row r="140" spans="11:11">
      <c r="K140" t="s">
        <v>306</v>
      </c>
    </row>
    <row r="141" spans="11:11">
      <c r="K141" t="s">
        <v>307</v>
      </c>
    </row>
    <row r="142" spans="11:11">
      <c r="K142" t="s">
        <v>308</v>
      </c>
    </row>
    <row r="143" spans="11:11">
      <c r="K143" t="s">
        <v>106</v>
      </c>
    </row>
    <row r="144" spans="11:11">
      <c r="K144" t="s">
        <v>309</v>
      </c>
    </row>
    <row r="145" spans="11:11">
      <c r="K145" t="s">
        <v>310</v>
      </c>
    </row>
    <row r="146" spans="11:11">
      <c r="K146" t="s">
        <v>311</v>
      </c>
    </row>
    <row r="147" spans="11:11">
      <c r="K147" t="s">
        <v>312</v>
      </c>
    </row>
    <row r="148" spans="11:11">
      <c r="K148" t="s">
        <v>130</v>
      </c>
    </row>
    <row r="149" spans="11:11">
      <c r="K149" t="s">
        <v>76</v>
      </c>
    </row>
    <row r="150" spans="11:11">
      <c r="K150" t="s">
        <v>313</v>
      </c>
    </row>
    <row r="151" spans="11:11">
      <c r="K151" t="s">
        <v>314</v>
      </c>
    </row>
    <row r="152" spans="11:11">
      <c r="K152" t="s">
        <v>315</v>
      </c>
    </row>
    <row r="153" spans="11:11">
      <c r="K153" t="s">
        <v>316</v>
      </c>
    </row>
    <row r="154" spans="11:11">
      <c r="K154" t="s">
        <v>317</v>
      </c>
    </row>
    <row r="155" spans="11:11">
      <c r="K155" t="s">
        <v>318</v>
      </c>
    </row>
    <row r="156" spans="11:11">
      <c r="K156" t="s">
        <v>319</v>
      </c>
    </row>
    <row r="157" spans="11:11">
      <c r="K157" t="s">
        <v>320</v>
      </c>
    </row>
    <row r="158" spans="11:11">
      <c r="K158" t="s">
        <v>321</v>
      </c>
    </row>
    <row r="159" spans="11:11">
      <c r="K159" t="s">
        <v>126</v>
      </c>
    </row>
    <row r="160" spans="11:11">
      <c r="K160" t="s">
        <v>322</v>
      </c>
    </row>
    <row r="161" spans="11:11">
      <c r="K161" t="s">
        <v>323</v>
      </c>
    </row>
    <row r="162" spans="11:11">
      <c r="K162" t="s">
        <v>152</v>
      </c>
    </row>
    <row r="163" spans="11:11">
      <c r="K163" t="s">
        <v>324</v>
      </c>
    </row>
    <row r="164" spans="11:11">
      <c r="K164" t="s">
        <v>325</v>
      </c>
    </row>
    <row r="165" spans="11:11">
      <c r="K165" t="s">
        <v>326</v>
      </c>
    </row>
    <row r="166" spans="11:11">
      <c r="K166" t="s">
        <v>118</v>
      </c>
    </row>
    <row r="167" spans="11:11">
      <c r="K167" t="s">
        <v>327</v>
      </c>
    </row>
    <row r="168" spans="11:11">
      <c r="K168" t="s">
        <v>328</v>
      </c>
    </row>
    <row r="169" spans="11:11">
      <c r="K169" t="s">
        <v>329</v>
      </c>
    </row>
    <row r="170" spans="11:11">
      <c r="K170" t="s">
        <v>330</v>
      </c>
    </row>
    <row r="171" spans="11:11">
      <c r="K171" t="s">
        <v>331</v>
      </c>
    </row>
    <row r="172" spans="11:11">
      <c r="K172" t="s">
        <v>332</v>
      </c>
    </row>
    <row r="173" spans="11:11">
      <c r="K173" t="s">
        <v>333</v>
      </c>
    </row>
    <row r="174" spans="11:11">
      <c r="K174" t="s">
        <v>334</v>
      </c>
    </row>
    <row r="175" spans="11:11">
      <c r="K175" t="s">
        <v>335</v>
      </c>
    </row>
    <row r="176" spans="11:11">
      <c r="K176" t="s">
        <v>336</v>
      </c>
    </row>
    <row r="177" spans="11:11">
      <c r="K177" t="s">
        <v>337</v>
      </c>
    </row>
    <row r="178" spans="11:11">
      <c r="K178" t="s">
        <v>338</v>
      </c>
    </row>
    <row r="179" spans="11:11">
      <c r="K179" t="s">
        <v>339</v>
      </c>
    </row>
    <row r="180" spans="11:11">
      <c r="K180" t="s">
        <v>340</v>
      </c>
    </row>
    <row r="181" spans="11:11">
      <c r="K181" t="s">
        <v>341</v>
      </c>
    </row>
    <row r="182" spans="11:11">
      <c r="K182" t="s">
        <v>342</v>
      </c>
    </row>
    <row r="183" spans="11:11">
      <c r="K183" t="s">
        <v>343</v>
      </c>
    </row>
    <row r="184" spans="11:11">
      <c r="K184" t="s">
        <v>344</v>
      </c>
    </row>
    <row r="185" spans="11:11">
      <c r="K185" t="s">
        <v>345</v>
      </c>
    </row>
    <row r="186" spans="11:11">
      <c r="K186" t="s">
        <v>346</v>
      </c>
    </row>
    <row r="187" spans="11:11">
      <c r="K187" t="s">
        <v>347</v>
      </c>
    </row>
    <row r="188" spans="11:11">
      <c r="K188" t="s">
        <v>348</v>
      </c>
    </row>
    <row r="189" spans="11:11">
      <c r="K189" t="s">
        <v>349</v>
      </c>
    </row>
    <row r="190" spans="11:11">
      <c r="K190" t="s">
        <v>350</v>
      </c>
    </row>
    <row r="191" spans="11:11">
      <c r="K191" t="s">
        <v>351</v>
      </c>
    </row>
    <row r="192" spans="11:11">
      <c r="K192" t="s">
        <v>352</v>
      </c>
    </row>
    <row r="193" spans="11:11">
      <c r="K193" t="s">
        <v>353</v>
      </c>
    </row>
    <row r="194" spans="11:11">
      <c r="K194" t="s">
        <v>354</v>
      </c>
    </row>
    <row r="195" spans="11:11">
      <c r="K195" t="s">
        <v>355</v>
      </c>
    </row>
    <row r="196" spans="11:11">
      <c r="K196" t="s">
        <v>356</v>
      </c>
    </row>
    <row r="197" spans="11:11">
      <c r="K197" t="s">
        <v>357</v>
      </c>
    </row>
    <row r="198" spans="11:11">
      <c r="K198" t="s">
        <v>358</v>
      </c>
    </row>
    <row r="199" spans="11:11">
      <c r="K199" t="s">
        <v>359</v>
      </c>
    </row>
    <row r="200" spans="11:11">
      <c r="K200" t="s">
        <v>360</v>
      </c>
    </row>
    <row r="201" spans="11:11">
      <c r="K201" t="s">
        <v>361</v>
      </c>
    </row>
    <row r="202" spans="11:11">
      <c r="K202" t="s">
        <v>362</v>
      </c>
    </row>
    <row r="203" spans="11:11">
      <c r="K203" t="s">
        <v>363</v>
      </c>
    </row>
    <row r="204" spans="11:11">
      <c r="K204" t="s">
        <v>364</v>
      </c>
    </row>
    <row r="205" spans="11:11">
      <c r="K205" t="s">
        <v>365</v>
      </c>
    </row>
    <row r="206" spans="11:11">
      <c r="K206" t="s">
        <v>366</v>
      </c>
    </row>
    <row r="207" spans="11:11">
      <c r="K207" t="s">
        <v>367</v>
      </c>
    </row>
    <row r="208" spans="11:11">
      <c r="K208" t="s">
        <v>368</v>
      </c>
    </row>
    <row r="209" spans="11:11">
      <c r="K209" t="s">
        <v>369</v>
      </c>
    </row>
    <row r="210" spans="11:11">
      <c r="K210" t="s">
        <v>370</v>
      </c>
    </row>
    <row r="211" spans="11:11">
      <c r="K211" t="s">
        <v>371</v>
      </c>
    </row>
    <row r="212" spans="11:11">
      <c r="K212" t="s">
        <v>372</v>
      </c>
    </row>
    <row r="213" spans="11:11">
      <c r="K213" t="s">
        <v>373</v>
      </c>
    </row>
    <row r="214" spans="11:11">
      <c r="K214" t="s">
        <v>374</v>
      </c>
    </row>
    <row r="215" spans="11:11">
      <c r="K215" t="s">
        <v>375</v>
      </c>
    </row>
    <row r="216" spans="11:11">
      <c r="K216" t="s">
        <v>376</v>
      </c>
    </row>
    <row r="217" spans="11:11">
      <c r="K217" t="s">
        <v>377</v>
      </c>
    </row>
    <row r="218" spans="11:11">
      <c r="K218" t="s">
        <v>378</v>
      </c>
    </row>
    <row r="219" spans="11:11">
      <c r="K219" t="s">
        <v>91</v>
      </c>
    </row>
    <row r="220" spans="11:11">
      <c r="K220" t="s">
        <v>154</v>
      </c>
    </row>
  </sheetData>
  <dataValidations count="1">
    <dataValidation type="list" allowBlank="1" showInputMessage="1" showErrorMessage="1" sqref="A2:A19" xr:uid="{00000000-0002-0000-0100-000000000000}">
      <formula1>$A$3:$A$19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workbookViewId="0"/>
  </sheetViews>
  <sheetFormatPr defaultRowHeight="15"/>
  <sheetData>
    <row r="1" spans="1:16">
      <c r="A1" s="45" t="s">
        <v>429</v>
      </c>
      <c r="B1" s="46" t="s">
        <v>18</v>
      </c>
    </row>
    <row r="2" spans="1:16">
      <c r="N2" s="45" t="s">
        <v>18</v>
      </c>
      <c r="O2" s="45" t="s">
        <v>430</v>
      </c>
      <c r="P2" s="45" t="s">
        <v>431</v>
      </c>
    </row>
    <row r="3" spans="1:16">
      <c r="N3" t="s">
        <v>77</v>
      </c>
      <c r="O3" t="s">
        <v>73</v>
      </c>
      <c r="P3" t="s">
        <v>72</v>
      </c>
    </row>
    <row r="4" spans="1:16">
      <c r="N4" t="s">
        <v>65</v>
      </c>
      <c r="O4" t="s">
        <v>77</v>
      </c>
      <c r="P4" t="s">
        <v>65</v>
      </c>
    </row>
    <row r="5" spans="1:16">
      <c r="N5" t="s">
        <v>144</v>
      </c>
      <c r="O5" t="s">
        <v>144</v>
      </c>
      <c r="P5" t="s">
        <v>55</v>
      </c>
    </row>
    <row r="6" spans="1:16">
      <c r="N6" t="s">
        <v>114</v>
      </c>
      <c r="O6" t="s">
        <v>108</v>
      </c>
      <c r="P6" t="s">
        <v>66</v>
      </c>
    </row>
    <row r="7" spans="1:16">
      <c r="N7" t="s">
        <v>72</v>
      </c>
      <c r="O7" t="s">
        <v>128</v>
      </c>
      <c r="P7" t="s">
        <v>56</v>
      </c>
    </row>
    <row r="8" spans="1:16">
      <c r="N8" t="s">
        <v>120</v>
      </c>
      <c r="O8" t="s">
        <v>56</v>
      </c>
      <c r="P8" t="s">
        <v>108</v>
      </c>
    </row>
    <row r="9" spans="1:16">
      <c r="N9" t="s">
        <v>97</v>
      </c>
      <c r="O9" t="s">
        <v>103</v>
      </c>
      <c r="P9" t="s">
        <v>73</v>
      </c>
    </row>
    <row r="10" spans="1:16">
      <c r="N10" t="s">
        <v>93</v>
      </c>
      <c r="O10" t="s">
        <v>97</v>
      </c>
      <c r="P10" t="s">
        <v>97</v>
      </c>
    </row>
    <row r="11" spans="1:16">
      <c r="N11" t="s">
        <v>56</v>
      </c>
      <c r="O11" t="s">
        <v>65</v>
      </c>
      <c r="P11" t="s">
        <v>123</v>
      </c>
    </row>
    <row r="12" spans="1:16">
      <c r="N12" t="s">
        <v>103</v>
      </c>
      <c r="O12" t="s">
        <v>55</v>
      </c>
      <c r="P12" t="s">
        <v>128</v>
      </c>
    </row>
    <row r="13" spans="1:16">
      <c r="N13" t="s">
        <v>128</v>
      </c>
      <c r="O13" t="s">
        <v>114</v>
      </c>
      <c r="P13" t="s">
        <v>144</v>
      </c>
    </row>
    <row r="14" spans="1:16">
      <c r="N14" t="s">
        <v>66</v>
      </c>
      <c r="O14" t="s">
        <v>66</v>
      </c>
      <c r="P14" t="s">
        <v>103</v>
      </c>
    </row>
    <row r="15" spans="1:16">
      <c r="N15" t="s">
        <v>89</v>
      </c>
      <c r="O15" t="s">
        <v>89</v>
      </c>
      <c r="P15" t="s">
        <v>93</v>
      </c>
    </row>
    <row r="16" spans="1:16">
      <c r="N16" t="s">
        <v>123</v>
      </c>
      <c r="O16" t="s">
        <v>202</v>
      </c>
      <c r="P16" t="s">
        <v>155</v>
      </c>
    </row>
    <row r="17" spans="14:16">
      <c r="N17" t="s">
        <v>155</v>
      </c>
      <c r="O17" t="s">
        <v>123</v>
      </c>
      <c r="P17" t="s">
        <v>202</v>
      </c>
    </row>
    <row r="18" spans="14:16">
      <c r="N18" t="s">
        <v>202</v>
      </c>
      <c r="O18" t="s">
        <v>120</v>
      </c>
      <c r="P18" t="s">
        <v>89</v>
      </c>
    </row>
    <row r="19" spans="14:16">
      <c r="N19" t="s">
        <v>108</v>
      </c>
      <c r="O19" t="s">
        <v>93</v>
      </c>
      <c r="P19" t="s">
        <v>120</v>
      </c>
    </row>
    <row r="20" spans="14:16">
      <c r="N20" t="s">
        <v>73</v>
      </c>
      <c r="O20" t="s">
        <v>72</v>
      </c>
    </row>
  </sheetData>
  <dataValidations count="1">
    <dataValidation type="list" sqref="B1" xr:uid="{00000000-0002-0000-0600-000000000000}">
      <formula1>"Curries/Stews,Salads,Desserts/Drinks"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Data</vt:lpstr>
      <vt:lpstr>Weekplanner</vt:lpstr>
      <vt:lpstr>Berry Team</vt:lpstr>
      <vt:lpstr>Ingredient Team</vt:lpstr>
      <vt:lpstr>Skill Team</vt:lpstr>
      <vt:lpstr>Advies</vt:lpstr>
      <vt:lpstr>Referentie</vt:lpstr>
      <vt:lpstr>Helper_Ingredient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Brouwer</cp:lastModifiedBy>
  <dcterms:created xsi:type="dcterms:W3CDTF">2026-04-08T07:18:31Z</dcterms:created>
  <dcterms:modified xsi:type="dcterms:W3CDTF">2026-04-19T17:50:01Z</dcterms:modified>
</cp:coreProperties>
</file>